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https://grucombr-my.sharepoint.com/personal/evandro_santiago_gru_com_br/Documents/Documentos/Linux/Preventivas/9 - Setembro/"/>
    </mc:Choice>
  </mc:AlternateContent>
  <bookViews>
    <workbookView xWindow="0" yWindow="0" windowWidth="28800" windowHeight="12312" tabRatio="898" firstSheet="15" activeTab="15"/>
  </bookViews>
  <sheets>
    <sheet name="DASHBOARD_01_205" sheetId="11" r:id="rId1"/>
    <sheet name="INVENTÁRIO_01_2025" sheetId="10" r:id="rId2"/>
    <sheet name="DASHBOARD_03_205" sheetId="14" r:id="rId3"/>
    <sheet name="INVENTÁRIO_03_2025" sheetId="15" r:id="rId4"/>
    <sheet name="DASHBOARD_04_2025" sheetId="17" r:id="rId5"/>
    <sheet name="INVENTÁRIO_04_2025" sheetId="16" r:id="rId6"/>
    <sheet name="DASHBOARD_05_2025" sheetId="19" r:id="rId7"/>
    <sheet name="INVENTÁRIO_05_2025" sheetId="18" r:id="rId8"/>
    <sheet name="DASHBOARD_06_2025" sheetId="20" r:id="rId9"/>
    <sheet name="INVENTÁRIO_06_2025" sheetId="21" r:id="rId10"/>
    <sheet name="DASHBOARD_07_2025" sheetId="22" r:id="rId11"/>
    <sheet name="INVENTÁRIO_07_2025" sheetId="23" r:id="rId12"/>
    <sheet name="DASHBOARD_08_2025" sheetId="24" r:id="rId13"/>
    <sheet name="INVENTÁRIO_08_2025" sheetId="25" r:id="rId14"/>
    <sheet name="DASHBOARD_09_2025" sheetId="27" r:id="rId15"/>
    <sheet name="INVENTÁRIO_09_2025" sheetId="26" r:id="rId16"/>
  </sheets>
  <definedNames>
    <definedName name="_xlnm._FilterDatabase" localSheetId="1" hidden="1">#REF!</definedName>
    <definedName name="_xlnm._FilterDatabase" localSheetId="3" hidden="1">INVENTÁRIO_03_2025!$A$1:$F$488</definedName>
    <definedName name="_xlnm._FilterDatabase" localSheetId="5" hidden="1">INVENTÁRIO_04_2025!$A$1:$G$488</definedName>
    <definedName name="_xlnm._FilterDatabase" localSheetId="7" hidden="1">INVENTÁRIO_05_2025!$A$1:$H$489</definedName>
    <definedName name="_xlnm._FilterDatabase" localSheetId="9" hidden="1">INVENTÁRIO_06_2025!$A$1:$G$465</definedName>
    <definedName name="_xlnm._FilterDatabase" localSheetId="11" hidden="1">INVENTÁRIO_07_2025!$A$1:$H$448</definedName>
    <definedName name="_xlnm._FilterDatabase" localSheetId="13" hidden="1">INVENTÁRIO_08_2025!$A$1:$G$484</definedName>
    <definedName name="_xlnm._FilterDatabase" localSheetId="15" hidden="1">INVENTÁRIO_09_2025!$A$1:$F$485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7" l="1"/>
  <c r="C17" i="27"/>
  <c r="C31" i="27" s="1"/>
  <c r="L16" i="27"/>
  <c r="I16" i="27"/>
  <c r="F16" i="27"/>
  <c r="C16" i="27"/>
  <c r="L15" i="27"/>
  <c r="I15" i="27"/>
  <c r="F15" i="27"/>
  <c r="C15" i="27"/>
  <c r="C30" i="27" s="1"/>
  <c r="L14" i="27"/>
  <c r="I14" i="27"/>
  <c r="F14" i="27"/>
  <c r="C14" i="27"/>
  <c r="C29" i="27" s="1"/>
  <c r="L13" i="27"/>
  <c r="I13" i="27"/>
  <c r="C26" i="27" s="1"/>
  <c r="F13" i="27"/>
  <c r="C13" i="27"/>
  <c r="L12" i="27"/>
  <c r="I12" i="27"/>
  <c r="C27" i="27" s="1"/>
  <c r="F12" i="27"/>
  <c r="C12" i="27"/>
  <c r="L11" i="27"/>
  <c r="I11" i="27"/>
  <c r="C25" i="27" s="1"/>
  <c r="F11" i="27"/>
  <c r="C11" i="27"/>
  <c r="L10" i="27"/>
  <c r="I10" i="27"/>
  <c r="C24" i="27" s="1"/>
  <c r="F10" i="27"/>
  <c r="C10" i="27"/>
  <c r="L9" i="27"/>
  <c r="I9" i="27"/>
  <c r="C23" i="27" s="1"/>
  <c r="F9" i="27"/>
  <c r="F18" i="27" s="1"/>
  <c r="C9" i="27"/>
  <c r="L7" i="27"/>
  <c r="I7" i="27"/>
  <c r="F7" i="27"/>
  <c r="C7" i="27"/>
  <c r="L28" i="27" s="1"/>
  <c r="L6" i="27"/>
  <c r="I6" i="27"/>
  <c r="F6" i="27"/>
  <c r="C6" i="27"/>
  <c r="L5" i="27"/>
  <c r="L25" i="27" s="1"/>
  <c r="I5" i="27"/>
  <c r="F5" i="27"/>
  <c r="C5" i="27"/>
  <c r="G484" i="26"/>
  <c r="G483" i="26"/>
  <c r="G482" i="26"/>
  <c r="G481" i="26"/>
  <c r="G480" i="26"/>
  <c r="G479" i="26"/>
  <c r="G478" i="26"/>
  <c r="G477" i="26"/>
  <c r="G476" i="26"/>
  <c r="G475" i="26"/>
  <c r="G474" i="26"/>
  <c r="G473" i="26"/>
  <c r="G472" i="26"/>
  <c r="G471" i="26"/>
  <c r="G470" i="26"/>
  <c r="G469" i="26"/>
  <c r="G468" i="26"/>
  <c r="G467" i="26"/>
  <c r="G466" i="26"/>
  <c r="G465" i="26"/>
  <c r="G464" i="26"/>
  <c r="G463" i="26"/>
  <c r="G462" i="26"/>
  <c r="G461" i="26"/>
  <c r="G460" i="26"/>
  <c r="G459" i="26"/>
  <c r="G458" i="26"/>
  <c r="G457" i="26"/>
  <c r="G456" i="26"/>
  <c r="G455" i="26"/>
  <c r="G454" i="26"/>
  <c r="G453" i="26"/>
  <c r="G452" i="26"/>
  <c r="G451" i="26"/>
  <c r="G450" i="26"/>
  <c r="G449" i="26"/>
  <c r="G448" i="26"/>
  <c r="G447" i="26"/>
  <c r="G446" i="26"/>
  <c r="G445" i="26"/>
  <c r="G444" i="26"/>
  <c r="G443" i="26"/>
  <c r="G442" i="26"/>
  <c r="G441" i="26"/>
  <c r="G440" i="26"/>
  <c r="G439" i="26"/>
  <c r="G438" i="26"/>
  <c r="G437" i="26"/>
  <c r="G436" i="26"/>
  <c r="G435" i="26"/>
  <c r="G434" i="26"/>
  <c r="G433" i="26"/>
  <c r="G432" i="26"/>
  <c r="G431" i="26"/>
  <c r="G430" i="26"/>
  <c r="G429" i="26"/>
  <c r="G428" i="26"/>
  <c r="G427" i="26"/>
  <c r="G426" i="26"/>
  <c r="G425" i="26"/>
  <c r="G424" i="26"/>
  <c r="G423" i="26"/>
  <c r="G422" i="26"/>
  <c r="G421" i="26"/>
  <c r="G420" i="26"/>
  <c r="G419" i="26"/>
  <c r="G418" i="26"/>
  <c r="G417" i="26"/>
  <c r="G416" i="26"/>
  <c r="G415" i="26"/>
  <c r="G414" i="26"/>
  <c r="G413" i="26"/>
  <c r="G412" i="26"/>
  <c r="G411" i="26"/>
  <c r="G410" i="26"/>
  <c r="G409" i="26"/>
  <c r="G408" i="26"/>
  <c r="G407" i="26"/>
  <c r="G406" i="26"/>
  <c r="G405" i="26"/>
  <c r="G404" i="26"/>
  <c r="G403" i="26"/>
  <c r="G402" i="26"/>
  <c r="G401" i="26"/>
  <c r="G400" i="26"/>
  <c r="G399" i="26"/>
  <c r="G398" i="26"/>
  <c r="G397" i="26"/>
  <c r="G396" i="26"/>
  <c r="G395" i="26"/>
  <c r="G394" i="26"/>
  <c r="G393" i="26"/>
  <c r="G392" i="26"/>
  <c r="G391" i="26"/>
  <c r="G390" i="26"/>
  <c r="G389" i="26"/>
  <c r="G388" i="26"/>
  <c r="G387" i="26"/>
  <c r="G386" i="26"/>
  <c r="G385" i="26"/>
  <c r="G384" i="26"/>
  <c r="G383" i="26"/>
  <c r="G382" i="26"/>
  <c r="G381" i="26"/>
  <c r="G380" i="26"/>
  <c r="G379" i="26"/>
  <c r="G378" i="26"/>
  <c r="G377" i="26"/>
  <c r="G376" i="26"/>
  <c r="G375" i="26"/>
  <c r="G374" i="26"/>
  <c r="G373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G325" i="26"/>
  <c r="G324" i="26"/>
  <c r="G323" i="26"/>
  <c r="G322" i="26"/>
  <c r="G321" i="26"/>
  <c r="G320" i="26"/>
  <c r="G319" i="26"/>
  <c r="G318" i="26"/>
  <c r="G317" i="26"/>
  <c r="G316" i="26"/>
  <c r="G315" i="26"/>
  <c r="G314" i="26"/>
  <c r="G313" i="26"/>
  <c r="G312" i="26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G298" i="26"/>
  <c r="G297" i="26"/>
  <c r="G296" i="26"/>
  <c r="G295" i="26"/>
  <c r="G294" i="26"/>
  <c r="G293" i="26"/>
  <c r="G292" i="26"/>
  <c r="G291" i="26"/>
  <c r="G290" i="26"/>
  <c r="G289" i="26"/>
  <c r="G288" i="26"/>
  <c r="G287" i="26"/>
  <c r="G286" i="26"/>
  <c r="G285" i="26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3" i="26"/>
  <c r="G242" i="26"/>
  <c r="G241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4" i="26"/>
  <c r="G93" i="26"/>
  <c r="G92" i="26"/>
  <c r="G91" i="26"/>
  <c r="G90" i="26"/>
  <c r="G89" i="26"/>
  <c r="G88" i="26"/>
  <c r="G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" i="26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02" i="23"/>
  <c r="H203" i="23"/>
  <c r="H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49" i="23"/>
  <c r="H250" i="23"/>
  <c r="H251" i="23"/>
  <c r="H252" i="23"/>
  <c r="H253" i="23"/>
  <c r="H254" i="23"/>
  <c r="H255" i="23"/>
  <c r="H256" i="23"/>
  <c r="H257" i="23"/>
  <c r="H258" i="23"/>
  <c r="H259" i="23"/>
  <c r="H260" i="23"/>
  <c r="H261" i="23"/>
  <c r="H262" i="23"/>
  <c r="H263" i="23"/>
  <c r="H264" i="23"/>
  <c r="H265" i="23"/>
  <c r="H266" i="23"/>
  <c r="H267" i="23"/>
  <c r="H268" i="23"/>
  <c r="H269" i="23"/>
  <c r="H270" i="23"/>
  <c r="H271" i="23"/>
  <c r="H272" i="23"/>
  <c r="H273" i="23"/>
  <c r="H274" i="23"/>
  <c r="H275" i="23"/>
  <c r="H276" i="23"/>
  <c r="H277" i="23"/>
  <c r="H278" i="23"/>
  <c r="H279" i="23"/>
  <c r="H280" i="23"/>
  <c r="H281" i="23"/>
  <c r="H282" i="23"/>
  <c r="H283" i="23"/>
  <c r="H284" i="23"/>
  <c r="H285" i="23"/>
  <c r="H286" i="23"/>
  <c r="H287" i="23"/>
  <c r="H288" i="23"/>
  <c r="H289" i="23"/>
  <c r="H290" i="23"/>
  <c r="H291" i="23"/>
  <c r="H292" i="23"/>
  <c r="H293" i="23"/>
  <c r="H294" i="23"/>
  <c r="H295" i="23"/>
  <c r="H296" i="23"/>
  <c r="H297" i="23"/>
  <c r="H298" i="23"/>
  <c r="H299" i="23"/>
  <c r="H300" i="23"/>
  <c r="H301" i="23"/>
  <c r="H302" i="23"/>
  <c r="H303" i="23"/>
  <c r="H304" i="23"/>
  <c r="H305" i="23"/>
  <c r="H306" i="23"/>
  <c r="H307" i="23"/>
  <c r="H308" i="23"/>
  <c r="H309" i="23"/>
  <c r="H310" i="23"/>
  <c r="H311" i="23"/>
  <c r="H312" i="23"/>
  <c r="H313" i="23"/>
  <c r="H314" i="23"/>
  <c r="H315" i="23"/>
  <c r="H316" i="23"/>
  <c r="H317" i="23"/>
  <c r="H318" i="23"/>
  <c r="H319" i="23"/>
  <c r="H320" i="23"/>
  <c r="H321" i="23"/>
  <c r="H322" i="23"/>
  <c r="H323" i="23"/>
  <c r="H324" i="23"/>
  <c r="H325" i="23"/>
  <c r="H326" i="23"/>
  <c r="H327" i="23"/>
  <c r="H328" i="23"/>
  <c r="H329" i="23"/>
  <c r="H330" i="23"/>
  <c r="H331" i="23"/>
  <c r="H332" i="23"/>
  <c r="H333" i="23"/>
  <c r="H334" i="23"/>
  <c r="H335" i="23"/>
  <c r="H336" i="23"/>
  <c r="H337" i="23"/>
  <c r="H338" i="23"/>
  <c r="H339" i="23"/>
  <c r="H340" i="23"/>
  <c r="H341" i="23"/>
  <c r="H342" i="23"/>
  <c r="H343" i="23"/>
  <c r="H344" i="23"/>
  <c r="H345" i="23"/>
  <c r="H346" i="23"/>
  <c r="H347" i="23"/>
  <c r="H348" i="23"/>
  <c r="H349" i="23"/>
  <c r="H350" i="23"/>
  <c r="H351" i="23"/>
  <c r="H352" i="23"/>
  <c r="H353" i="23"/>
  <c r="H354" i="23"/>
  <c r="H355" i="23"/>
  <c r="H356" i="23"/>
  <c r="H357" i="23"/>
  <c r="H358" i="23"/>
  <c r="H359" i="23"/>
  <c r="H360" i="23"/>
  <c r="H361" i="23"/>
  <c r="H362" i="23"/>
  <c r="H363" i="23"/>
  <c r="H364" i="23"/>
  <c r="H365" i="23"/>
  <c r="H366" i="23"/>
  <c r="H367" i="23"/>
  <c r="H368" i="23"/>
  <c r="H369" i="23"/>
  <c r="H370" i="23"/>
  <c r="H371" i="23"/>
  <c r="H372" i="23"/>
  <c r="H373" i="23"/>
  <c r="H374" i="23"/>
  <c r="H375" i="23"/>
  <c r="H376" i="23"/>
  <c r="H377" i="23"/>
  <c r="H378" i="23"/>
  <c r="H379" i="23"/>
  <c r="H380" i="23"/>
  <c r="H381" i="23"/>
  <c r="H382" i="23"/>
  <c r="H383" i="23"/>
  <c r="H384" i="23"/>
  <c r="H385" i="23"/>
  <c r="H386" i="23"/>
  <c r="H387" i="23"/>
  <c r="H388" i="23"/>
  <c r="H389" i="23"/>
  <c r="H390" i="23"/>
  <c r="H391" i="23"/>
  <c r="H392" i="23"/>
  <c r="H393" i="23"/>
  <c r="H394" i="23"/>
  <c r="H395" i="23"/>
  <c r="H396" i="23"/>
  <c r="H397" i="23"/>
  <c r="H398" i="23"/>
  <c r="H399" i="23"/>
  <c r="H400" i="23"/>
  <c r="H401" i="23"/>
  <c r="H402" i="23"/>
  <c r="H403" i="23"/>
  <c r="H404" i="23"/>
  <c r="H405" i="23"/>
  <c r="H406" i="23"/>
  <c r="H407" i="23"/>
  <c r="H408" i="23"/>
  <c r="H409" i="23"/>
  <c r="H410" i="23"/>
  <c r="H411" i="23"/>
  <c r="H412" i="23"/>
  <c r="H413" i="23"/>
  <c r="H414" i="23"/>
  <c r="H415" i="23"/>
  <c r="H416" i="23"/>
  <c r="H417" i="23"/>
  <c r="H418" i="23"/>
  <c r="H419" i="23"/>
  <c r="H420" i="23"/>
  <c r="H421" i="23"/>
  <c r="H422" i="23"/>
  <c r="H423" i="23"/>
  <c r="H424" i="23"/>
  <c r="H425" i="23"/>
  <c r="H426" i="23"/>
  <c r="H427" i="23"/>
  <c r="H428" i="23"/>
  <c r="H429" i="23"/>
  <c r="H430" i="23"/>
  <c r="H431" i="23"/>
  <c r="H432" i="23"/>
  <c r="H433" i="23"/>
  <c r="H434" i="23"/>
  <c r="H435" i="23"/>
  <c r="H436" i="23"/>
  <c r="H437" i="23"/>
  <c r="H438" i="23"/>
  <c r="H439" i="23"/>
  <c r="H440" i="23"/>
  <c r="H441" i="23"/>
  <c r="H442" i="23"/>
  <c r="H443" i="23"/>
  <c r="H444" i="23"/>
  <c r="H445" i="23"/>
  <c r="H446" i="23"/>
  <c r="H447" i="23"/>
  <c r="H448" i="23"/>
  <c r="H2" i="23"/>
  <c r="G311" i="25"/>
  <c r="G106" i="25"/>
  <c r="G107" i="25"/>
  <c r="G460" i="25"/>
  <c r="G461" i="25"/>
  <c r="G464" i="25"/>
  <c r="G462" i="25"/>
  <c r="G463" i="25"/>
  <c r="G465" i="25"/>
  <c r="G466" i="25"/>
  <c r="G467" i="25"/>
  <c r="G468" i="25"/>
  <c r="G469" i="25"/>
  <c r="G374" i="25"/>
  <c r="G375" i="25"/>
  <c r="G376" i="25"/>
  <c r="G377" i="25"/>
  <c r="G378" i="25"/>
  <c r="G379" i="25"/>
  <c r="G380" i="25"/>
  <c r="G370" i="25"/>
  <c r="G345" i="25"/>
  <c r="G58" i="25"/>
  <c r="G114" i="25"/>
  <c r="G346" i="25"/>
  <c r="G118" i="25"/>
  <c r="G45" i="25"/>
  <c r="G59" i="25"/>
  <c r="G115" i="25"/>
  <c r="G116" i="25"/>
  <c r="G347" i="25"/>
  <c r="G93" i="25"/>
  <c r="G150" i="25"/>
  <c r="G151" i="25"/>
  <c r="G152" i="25"/>
  <c r="G258" i="25"/>
  <c r="G297" i="25"/>
  <c r="G348" i="25"/>
  <c r="G94" i="25"/>
  <c r="G153" i="25"/>
  <c r="G154" i="25"/>
  <c r="G155" i="25"/>
  <c r="G259" i="25"/>
  <c r="G298" i="25"/>
  <c r="G349" i="25"/>
  <c r="G117" i="25"/>
  <c r="G248" i="25"/>
  <c r="G250" i="25"/>
  <c r="G305" i="25"/>
  <c r="G70" i="25"/>
  <c r="G240" i="25"/>
  <c r="G241" i="25"/>
  <c r="G99" i="25"/>
  <c r="G102" i="25"/>
  <c r="G254" i="25"/>
  <c r="G439" i="25"/>
  <c r="G440" i="25"/>
  <c r="G96" i="25"/>
  <c r="G95" i="25"/>
  <c r="G103" i="25"/>
  <c r="G359" i="25"/>
  <c r="G361" i="25"/>
  <c r="G146" i="25"/>
  <c r="G355" i="25"/>
  <c r="G363" i="25"/>
  <c r="G364" i="25"/>
  <c r="G356" i="25"/>
  <c r="G357" i="25"/>
  <c r="G358" i="25"/>
  <c r="G360" i="25"/>
  <c r="G362" i="25"/>
  <c r="G365" i="25"/>
  <c r="G366" i="25"/>
  <c r="G367" i="25"/>
  <c r="G368" i="25"/>
  <c r="G369" i="25"/>
  <c r="G44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8" i="25"/>
  <c r="G32" i="25"/>
  <c r="G34" i="25"/>
  <c r="G35" i="25"/>
  <c r="G37" i="25"/>
  <c r="G38" i="25"/>
  <c r="G40" i="25"/>
  <c r="G41" i="25"/>
  <c r="G42" i="25"/>
  <c r="G43" i="25"/>
  <c r="G44" i="25"/>
  <c r="G47" i="25"/>
  <c r="G49" i="25"/>
  <c r="G52" i="25"/>
  <c r="G54" i="25"/>
  <c r="G55" i="25"/>
  <c r="G56" i="25"/>
  <c r="G57" i="25"/>
  <c r="G60" i="25"/>
  <c r="G63" i="25"/>
  <c r="G65" i="25"/>
  <c r="G67" i="25"/>
  <c r="G74" i="25"/>
  <c r="G78" i="25"/>
  <c r="G81" i="25"/>
  <c r="G88" i="25"/>
  <c r="G90" i="25"/>
  <c r="G92" i="25"/>
  <c r="G97" i="25"/>
  <c r="G105" i="25"/>
  <c r="G109" i="25"/>
  <c r="G111" i="25"/>
  <c r="G127" i="25"/>
  <c r="G128" i="25"/>
  <c r="G130" i="25"/>
  <c r="G131" i="25"/>
  <c r="G132" i="25"/>
  <c r="G133" i="25"/>
  <c r="G134" i="25"/>
  <c r="G137" i="25"/>
  <c r="G138" i="25"/>
  <c r="G139" i="25"/>
  <c r="G166" i="25"/>
  <c r="G167" i="25"/>
  <c r="G169" i="25"/>
  <c r="G170" i="25"/>
  <c r="G172" i="25"/>
  <c r="G173" i="25"/>
  <c r="G174" i="25"/>
  <c r="G176" i="25"/>
  <c r="G177" i="25"/>
  <c r="G178" i="25"/>
  <c r="G179" i="25"/>
  <c r="G184" i="25"/>
  <c r="G185" i="25"/>
  <c r="G186" i="25"/>
  <c r="G200" i="25"/>
  <c r="G203" i="25"/>
  <c r="G204" i="25"/>
  <c r="G206" i="25"/>
  <c r="G221" i="25"/>
  <c r="G223" i="25"/>
  <c r="G225" i="25"/>
  <c r="G227" i="25"/>
  <c r="G229" i="25"/>
  <c r="G230" i="25"/>
  <c r="G231" i="25"/>
  <c r="G232" i="25"/>
  <c r="G234" i="25"/>
  <c r="G236" i="25"/>
  <c r="G237" i="25"/>
  <c r="G238" i="25"/>
  <c r="G239" i="25"/>
  <c r="G249" i="25"/>
  <c r="G253" i="25"/>
  <c r="G255" i="25"/>
  <c r="G256" i="25"/>
  <c r="G262" i="25"/>
  <c r="G265" i="25"/>
  <c r="G266" i="25"/>
  <c r="G276" i="25"/>
  <c r="G277" i="25"/>
  <c r="G278" i="25"/>
  <c r="G287" i="25"/>
  <c r="G290" i="25"/>
  <c r="G291" i="25"/>
  <c r="G293" i="25"/>
  <c r="G294" i="25"/>
  <c r="G296" i="25"/>
  <c r="G308" i="25"/>
  <c r="G309" i="25"/>
  <c r="G310" i="25"/>
  <c r="G316" i="25"/>
  <c r="G326" i="25"/>
  <c r="G327" i="25"/>
  <c r="G328" i="25"/>
  <c r="G329" i="25"/>
  <c r="G330" i="25"/>
  <c r="G331" i="25"/>
  <c r="G332" i="25"/>
  <c r="G333" i="25"/>
  <c r="G354" i="25"/>
  <c r="G371" i="25"/>
  <c r="G381" i="25"/>
  <c r="G382" i="25"/>
  <c r="G383" i="25"/>
  <c r="G384" i="25"/>
  <c r="G390" i="25"/>
  <c r="G396" i="25"/>
  <c r="G397" i="25"/>
  <c r="G398" i="25"/>
  <c r="G437" i="25"/>
  <c r="G438" i="25"/>
  <c r="G451" i="25"/>
  <c r="G452" i="25"/>
  <c r="G481" i="25"/>
  <c r="G482" i="25"/>
  <c r="G483" i="25"/>
  <c r="G484" i="25"/>
  <c r="G29" i="25"/>
  <c r="G30" i="25"/>
  <c r="G31" i="25"/>
  <c r="G36" i="25"/>
  <c r="G39" i="25"/>
  <c r="G24" i="25"/>
  <c r="G48" i="25"/>
  <c r="G50" i="25"/>
  <c r="G51" i="25"/>
  <c r="G197" i="25"/>
  <c r="G61" i="25"/>
  <c r="G62" i="25"/>
  <c r="G46" i="25"/>
  <c r="G183" i="25"/>
  <c r="G261" i="25"/>
  <c r="G270" i="25"/>
  <c r="G271" i="25"/>
  <c r="G272" i="25"/>
  <c r="G274" i="25"/>
  <c r="G317" i="25"/>
  <c r="G321" i="25"/>
  <c r="G322" i="25"/>
  <c r="G323" i="25"/>
  <c r="G324" i="25"/>
  <c r="G325" i="25"/>
  <c r="G335" i="25"/>
  <c r="G393" i="25"/>
  <c r="G410" i="25"/>
  <c r="G433" i="25"/>
  <c r="G436" i="25"/>
  <c r="G479" i="25"/>
  <c r="G2" i="25"/>
  <c r="G119" i="25"/>
  <c r="G25" i="25"/>
  <c r="G26" i="25"/>
  <c r="G27" i="25"/>
  <c r="G33" i="25"/>
  <c r="G68" i="25"/>
  <c r="G69" i="25"/>
  <c r="G71" i="25"/>
  <c r="G72" i="25"/>
  <c r="G73" i="25"/>
  <c r="G75" i="25"/>
  <c r="G76" i="25"/>
  <c r="G77" i="25"/>
  <c r="G79" i="25"/>
  <c r="G80" i="25"/>
  <c r="G82" i="25"/>
  <c r="G83" i="25"/>
  <c r="G84" i="25"/>
  <c r="G85" i="25"/>
  <c r="G86" i="25"/>
  <c r="G87" i="25"/>
  <c r="G89" i="25"/>
  <c r="G91" i="25"/>
  <c r="G98" i="25"/>
  <c r="G100" i="25"/>
  <c r="G101" i="25"/>
  <c r="G104" i="25"/>
  <c r="G108" i="25"/>
  <c r="G110" i="25"/>
  <c r="G198" i="25"/>
  <c r="G224" i="25"/>
  <c r="G120" i="25"/>
  <c r="G121" i="25"/>
  <c r="G122" i="25"/>
  <c r="G123" i="25"/>
  <c r="G124" i="25"/>
  <c r="G125" i="25"/>
  <c r="G126" i="25"/>
  <c r="G129" i="25"/>
  <c r="G135" i="25"/>
  <c r="G136" i="25"/>
  <c r="G140" i="25"/>
  <c r="G141" i="25"/>
  <c r="G142" i="25"/>
  <c r="G143" i="25"/>
  <c r="G144" i="25"/>
  <c r="G145" i="25"/>
  <c r="G147" i="25"/>
  <c r="G148" i="25"/>
  <c r="G149" i="25"/>
  <c r="G156" i="25"/>
  <c r="G157" i="25"/>
  <c r="G158" i="25"/>
  <c r="G159" i="25"/>
  <c r="G160" i="25"/>
  <c r="G161" i="25"/>
  <c r="G162" i="25"/>
  <c r="G163" i="25"/>
  <c r="G164" i="25"/>
  <c r="G165" i="25"/>
  <c r="G168" i="25"/>
  <c r="G171" i="25"/>
  <c r="G175" i="25"/>
  <c r="G180" i="25"/>
  <c r="G181" i="25"/>
  <c r="G182" i="25"/>
  <c r="G187" i="25"/>
  <c r="G188" i="25"/>
  <c r="G189" i="25"/>
  <c r="G190" i="25"/>
  <c r="G191" i="25"/>
  <c r="G192" i="25"/>
  <c r="G193" i="25"/>
  <c r="G194" i="25"/>
  <c r="G195" i="25"/>
  <c r="G196" i="25"/>
  <c r="G53" i="25"/>
  <c r="G64" i="25"/>
  <c r="G199" i="25"/>
  <c r="G201" i="25"/>
  <c r="G202" i="25"/>
  <c r="G205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2" i="25"/>
  <c r="G112" i="25"/>
  <c r="G226" i="25"/>
  <c r="G228" i="25"/>
  <c r="G233" i="25"/>
  <c r="G235" i="25"/>
  <c r="G242" i="25"/>
  <c r="G243" i="25"/>
  <c r="G244" i="25"/>
  <c r="G245" i="25"/>
  <c r="G246" i="25"/>
  <c r="G247" i="25"/>
  <c r="G260" i="25"/>
  <c r="G285" i="25"/>
  <c r="G251" i="25"/>
  <c r="G252" i="25"/>
  <c r="G257" i="25"/>
  <c r="G286" i="25"/>
  <c r="G263" i="25"/>
  <c r="G264" i="25"/>
  <c r="G267" i="25"/>
  <c r="G268" i="25"/>
  <c r="G269" i="25"/>
  <c r="G273" i="25"/>
  <c r="G275" i="25"/>
  <c r="G279" i="25"/>
  <c r="G280" i="25"/>
  <c r="G281" i="25"/>
  <c r="G282" i="25"/>
  <c r="G283" i="25"/>
  <c r="G284" i="25"/>
  <c r="G306" i="25"/>
  <c r="G350" i="25"/>
  <c r="G288" i="25"/>
  <c r="G289" i="25"/>
  <c r="G292" i="25"/>
  <c r="G295" i="25"/>
  <c r="G299" i="25"/>
  <c r="G300" i="25"/>
  <c r="G301" i="25"/>
  <c r="G302" i="25"/>
  <c r="G303" i="25"/>
  <c r="G304" i="25"/>
  <c r="G113" i="25"/>
  <c r="G307" i="25"/>
  <c r="G312" i="25"/>
  <c r="G313" i="25"/>
  <c r="G314" i="25"/>
  <c r="G315" i="25"/>
  <c r="G318" i="25"/>
  <c r="G319" i="25"/>
  <c r="G320" i="25"/>
  <c r="G334" i="25"/>
  <c r="G336" i="25"/>
  <c r="G337" i="25"/>
  <c r="G338" i="25"/>
  <c r="G339" i="25"/>
  <c r="G340" i="25"/>
  <c r="G341" i="25"/>
  <c r="G342" i="25"/>
  <c r="G343" i="25"/>
  <c r="G344" i="25"/>
  <c r="G351" i="25"/>
  <c r="G352" i="25"/>
  <c r="G353" i="25"/>
  <c r="G372" i="25"/>
  <c r="G373" i="25"/>
  <c r="G385" i="25"/>
  <c r="G386" i="25"/>
  <c r="G387" i="25"/>
  <c r="G388" i="25"/>
  <c r="G389" i="25"/>
  <c r="G391" i="25"/>
  <c r="G392" i="25"/>
  <c r="G394" i="25"/>
  <c r="G395" i="25"/>
  <c r="G399" i="25"/>
  <c r="G400" i="25"/>
  <c r="G401" i="25"/>
  <c r="G402" i="25"/>
  <c r="G403" i="25"/>
  <c r="G404" i="25"/>
  <c r="G405" i="25"/>
  <c r="G406" i="25"/>
  <c r="G407" i="25"/>
  <c r="G408" i="25"/>
  <c r="G409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4" i="25"/>
  <c r="G435" i="25"/>
  <c r="G441" i="25"/>
  <c r="G443" i="25"/>
  <c r="G444" i="25"/>
  <c r="G445" i="25"/>
  <c r="G446" i="25"/>
  <c r="G447" i="25"/>
  <c r="G448" i="25"/>
  <c r="G449" i="25"/>
  <c r="G450" i="25"/>
  <c r="G453" i="25"/>
  <c r="G454" i="25"/>
  <c r="G455" i="25"/>
  <c r="G456" i="25"/>
  <c r="G457" i="25"/>
  <c r="G458" i="25"/>
  <c r="G459" i="25"/>
  <c r="G470" i="25"/>
  <c r="G471" i="25"/>
  <c r="G472" i="25"/>
  <c r="G473" i="25"/>
  <c r="G474" i="25"/>
  <c r="G475" i="25"/>
  <c r="G476" i="25"/>
  <c r="G477" i="25"/>
  <c r="G478" i="25"/>
  <c r="G480" i="25"/>
  <c r="G66" i="25"/>
  <c r="L23" i="27" l="1"/>
  <c r="L27" i="27"/>
  <c r="L24" i="27"/>
  <c r="L26" i="27"/>
  <c r="F19" i="27"/>
  <c r="L29" i="27"/>
  <c r="C28" i="27"/>
  <c r="C18" i="27"/>
  <c r="C19" i="27" s="1"/>
  <c r="C32" i="27" s="1"/>
  <c r="L5" i="24"/>
  <c r="C6" i="24"/>
  <c r="F6" i="24"/>
  <c r="I6" i="24"/>
  <c r="L6" i="24"/>
  <c r="C7" i="24"/>
  <c r="F7" i="24"/>
  <c r="I7" i="24"/>
  <c r="L7" i="24"/>
  <c r="C9" i="24"/>
  <c r="F9" i="24"/>
  <c r="I9" i="24"/>
  <c r="L9" i="24"/>
  <c r="C10" i="24"/>
  <c r="F10" i="24"/>
  <c r="I10" i="24"/>
  <c r="L10" i="24"/>
  <c r="C11" i="24"/>
  <c r="F11" i="24"/>
  <c r="I11" i="24"/>
  <c r="C25" i="24" s="1"/>
  <c r="L11" i="24"/>
  <c r="C12" i="24"/>
  <c r="F12" i="24"/>
  <c r="I12" i="24"/>
  <c r="L12" i="24"/>
  <c r="C13" i="24"/>
  <c r="F13" i="24"/>
  <c r="I13" i="24"/>
  <c r="L13" i="24"/>
  <c r="C14" i="24"/>
  <c r="F14" i="24"/>
  <c r="I14" i="24"/>
  <c r="L14" i="24"/>
  <c r="C15" i="24"/>
  <c r="F15" i="24"/>
  <c r="I15" i="24"/>
  <c r="L15" i="24"/>
  <c r="C16" i="24"/>
  <c r="F16" i="24"/>
  <c r="I16" i="24"/>
  <c r="L16" i="24"/>
  <c r="C17" i="24"/>
  <c r="F17" i="24"/>
  <c r="C5" i="24"/>
  <c r="F5" i="24"/>
  <c r="I5" i="24"/>
  <c r="F16" i="22"/>
  <c r="F14" i="22"/>
  <c r="C16" i="22"/>
  <c r="G56" i="23"/>
  <c r="C5" i="22"/>
  <c r="F5" i="22"/>
  <c r="G129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3" i="23"/>
  <c r="G2" i="23"/>
  <c r="G100" i="23"/>
  <c r="L16" i="22"/>
  <c r="L15" i="22"/>
  <c r="L14" i="22"/>
  <c r="L13" i="22"/>
  <c r="L12" i="22"/>
  <c r="L11" i="22"/>
  <c r="L10" i="22"/>
  <c r="L9" i="22"/>
  <c r="L7" i="22"/>
  <c r="L6" i="22"/>
  <c r="L5" i="22"/>
  <c r="I16" i="22"/>
  <c r="I15" i="22"/>
  <c r="I14" i="22"/>
  <c r="I13" i="22"/>
  <c r="I12" i="22"/>
  <c r="I11" i="22"/>
  <c r="C25" i="22" s="1"/>
  <c r="I10" i="22"/>
  <c r="I9" i="22"/>
  <c r="I7" i="22"/>
  <c r="I6" i="22"/>
  <c r="I5" i="22"/>
  <c r="F17" i="22"/>
  <c r="F15" i="22"/>
  <c r="F13" i="22"/>
  <c r="F12" i="22"/>
  <c r="F11" i="22"/>
  <c r="F10" i="22"/>
  <c r="F9" i="22"/>
  <c r="F7" i="22"/>
  <c r="F6" i="22"/>
  <c r="C17" i="22"/>
  <c r="C15" i="22"/>
  <c r="C14" i="22"/>
  <c r="C13" i="22"/>
  <c r="C12" i="22"/>
  <c r="C11" i="22"/>
  <c r="C10" i="22"/>
  <c r="C9" i="22"/>
  <c r="C7" i="22"/>
  <c r="C6" i="22"/>
  <c r="G252" i="23"/>
  <c r="G248" i="23"/>
  <c r="G249" i="23"/>
  <c r="G250" i="23"/>
  <c r="G251" i="23"/>
  <c r="G253" i="23"/>
  <c r="G254" i="23"/>
  <c r="G255" i="23"/>
  <c r="G256" i="23"/>
  <c r="G257" i="23"/>
  <c r="G258" i="23"/>
  <c r="G259" i="23"/>
  <c r="G260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101" i="23"/>
  <c r="H198" i="18"/>
  <c r="H396" i="18"/>
  <c r="H395" i="18"/>
  <c r="H57" i="18"/>
  <c r="H56" i="18"/>
  <c r="H53" i="18"/>
  <c r="H55" i="18"/>
  <c r="H54" i="18"/>
  <c r="H52" i="18"/>
  <c r="H51" i="18"/>
  <c r="H50" i="18"/>
  <c r="H49" i="18"/>
  <c r="H48" i="18"/>
  <c r="H139" i="18"/>
  <c r="H138" i="18"/>
  <c r="H137" i="18"/>
  <c r="H136" i="18"/>
  <c r="H135" i="18"/>
  <c r="H134" i="18"/>
  <c r="H133" i="18"/>
  <c r="H2" i="18"/>
  <c r="H388" i="18"/>
  <c r="H175" i="18"/>
  <c r="H127" i="18"/>
  <c r="H354" i="18"/>
  <c r="H206" i="18"/>
  <c r="H257" i="18"/>
  <c r="H114" i="18"/>
  <c r="H113" i="18"/>
  <c r="H205" i="18"/>
  <c r="H204" i="18"/>
  <c r="H106" i="18"/>
  <c r="H299" i="18"/>
  <c r="H391" i="18"/>
  <c r="H210" i="18"/>
  <c r="H140" i="18"/>
  <c r="H457" i="18"/>
  <c r="H319" i="18"/>
  <c r="H35" i="18"/>
  <c r="H3" i="18"/>
  <c r="H4" i="18"/>
  <c r="H371" i="18"/>
  <c r="H464" i="18"/>
  <c r="H451" i="18"/>
  <c r="H450" i="18"/>
  <c r="H436" i="18"/>
  <c r="H429" i="18"/>
  <c r="H339" i="18"/>
  <c r="H243" i="18"/>
  <c r="H241" i="18"/>
  <c r="H5" i="18"/>
  <c r="H6" i="18"/>
  <c r="H7" i="18"/>
  <c r="H85" i="18"/>
  <c r="H38" i="18"/>
  <c r="H459" i="18"/>
  <c r="H453" i="18"/>
  <c r="H449" i="18"/>
  <c r="H427" i="18"/>
  <c r="H362" i="18"/>
  <c r="H345" i="18"/>
  <c r="H344" i="18"/>
  <c r="H343" i="18"/>
  <c r="H342" i="18"/>
  <c r="H260" i="18"/>
  <c r="H228" i="18"/>
  <c r="H216" i="18"/>
  <c r="H112" i="18"/>
  <c r="H111" i="18"/>
  <c r="H110" i="18"/>
  <c r="H109" i="18"/>
  <c r="H108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434" i="18"/>
  <c r="H431" i="18"/>
  <c r="H291" i="18"/>
  <c r="H286" i="18"/>
  <c r="H287" i="18"/>
  <c r="H274" i="18"/>
  <c r="H229" i="18"/>
  <c r="H79" i="18"/>
  <c r="H347" i="18"/>
  <c r="H61" i="18"/>
  <c r="H452" i="18"/>
  <c r="H448" i="18"/>
  <c r="H447" i="18"/>
  <c r="H444" i="18"/>
  <c r="H435" i="18"/>
  <c r="H356" i="18"/>
  <c r="H263" i="18"/>
  <c r="H262" i="18"/>
  <c r="H88" i="18"/>
  <c r="H334" i="18"/>
  <c r="H207" i="18"/>
  <c r="H8" i="18"/>
  <c r="H62" i="18"/>
  <c r="H141" i="18"/>
  <c r="H166" i="18"/>
  <c r="H433" i="18"/>
  <c r="H387" i="18"/>
  <c r="H165" i="18"/>
  <c r="H383" i="18"/>
  <c r="H446" i="18"/>
  <c r="H432" i="18"/>
  <c r="H386" i="18"/>
  <c r="H385" i="18"/>
  <c r="H164" i="18"/>
  <c r="H407" i="18"/>
  <c r="H353" i="18"/>
  <c r="H352" i="18"/>
  <c r="H351" i="18"/>
  <c r="H249" i="18"/>
  <c r="H209" i="18"/>
  <c r="H163" i="18"/>
  <c r="H406" i="18"/>
  <c r="H350" i="18"/>
  <c r="H349" i="18"/>
  <c r="H348" i="18"/>
  <c r="H248" i="18"/>
  <c r="H208" i="18"/>
  <c r="H162" i="18"/>
  <c r="H9" i="18"/>
  <c r="H10" i="18"/>
  <c r="H11" i="18"/>
  <c r="H462" i="18"/>
  <c r="H461" i="18"/>
  <c r="H460" i="18"/>
  <c r="H266" i="18"/>
  <c r="H121" i="18"/>
  <c r="H120" i="18"/>
  <c r="H40" i="18"/>
  <c r="H161" i="18"/>
  <c r="H445" i="18"/>
  <c r="H430" i="18"/>
  <c r="H308" i="18"/>
  <c r="H307" i="18"/>
  <c r="H306" i="18"/>
  <c r="H281" i="18"/>
  <c r="H12" i="18"/>
  <c r="H13" i="18"/>
  <c r="H14" i="18"/>
  <c r="H15" i="18"/>
  <c r="H384" i="18"/>
  <c r="H382" i="18"/>
  <c r="H467" i="18"/>
  <c r="H437" i="18"/>
  <c r="H390" i="18"/>
  <c r="H389" i="18"/>
  <c r="H261" i="18"/>
  <c r="H259" i="18"/>
  <c r="H247" i="18"/>
  <c r="H223" i="18"/>
  <c r="H222" i="18"/>
  <c r="H16" i="18"/>
  <c r="H443" i="18"/>
  <c r="H441" i="18"/>
  <c r="H440" i="18"/>
  <c r="H438" i="18"/>
  <c r="H380" i="18"/>
  <c r="H379" i="18"/>
  <c r="H378" i="18"/>
  <c r="H377" i="18"/>
  <c r="H376" i="18"/>
  <c r="H375" i="18"/>
  <c r="H366" i="18"/>
  <c r="H365" i="18"/>
  <c r="H305" i="18"/>
  <c r="H264" i="18"/>
  <c r="H17" i="18"/>
  <c r="H191" i="18"/>
  <c r="H190" i="18"/>
  <c r="H189" i="18"/>
  <c r="H188" i="18"/>
  <c r="H187" i="18"/>
  <c r="H186" i="18"/>
  <c r="H185" i="18"/>
  <c r="H68" i="18"/>
  <c r="H47" i="18"/>
  <c r="H203" i="18"/>
  <c r="H325" i="18"/>
  <c r="H324" i="18"/>
  <c r="H323" i="18"/>
  <c r="H322" i="18"/>
  <c r="H253" i="18"/>
  <c r="H246" i="18"/>
  <c r="H237" i="18"/>
  <c r="H236" i="18"/>
  <c r="H235" i="18"/>
  <c r="H234" i="18"/>
  <c r="H233" i="18"/>
  <c r="H227" i="18"/>
  <c r="H226" i="18"/>
  <c r="H225" i="18"/>
  <c r="H224" i="18"/>
  <c r="H194" i="18"/>
  <c r="H18" i="18"/>
  <c r="H19" i="18"/>
  <c r="H160" i="18"/>
  <c r="H159" i="18"/>
  <c r="H128" i="18"/>
  <c r="H126" i="18"/>
  <c r="H125" i="18"/>
  <c r="H124" i="18"/>
  <c r="H45" i="18"/>
  <c r="H44" i="18"/>
  <c r="H43" i="18"/>
  <c r="H42" i="18"/>
  <c r="H41" i="18"/>
  <c r="H20" i="18"/>
  <c r="H192" i="18"/>
  <c r="H426" i="18"/>
  <c r="H269" i="18"/>
  <c r="H268" i="18"/>
  <c r="H489" i="18"/>
  <c r="H463" i="18"/>
  <c r="H422" i="18"/>
  <c r="H363" i="18"/>
  <c r="H21" i="18"/>
  <c r="H338" i="18"/>
  <c r="H333" i="18"/>
  <c r="H331" i="18"/>
  <c r="H329" i="18"/>
  <c r="H328" i="18"/>
  <c r="H327" i="18"/>
  <c r="H326" i="18"/>
  <c r="H301" i="18"/>
  <c r="H300" i="18"/>
  <c r="H278" i="18"/>
  <c r="H277" i="18"/>
  <c r="H276" i="18"/>
  <c r="H275" i="18"/>
  <c r="H273" i="18"/>
  <c r="H267" i="18"/>
  <c r="H265" i="18"/>
  <c r="H258" i="18"/>
  <c r="H244" i="18"/>
  <c r="H22" i="18"/>
  <c r="H23" i="18"/>
  <c r="H201" i="18"/>
  <c r="H180" i="18"/>
  <c r="H179" i="18"/>
  <c r="H24" i="18"/>
  <c r="H84" i="18"/>
  <c r="H83" i="18"/>
  <c r="H82" i="18"/>
  <c r="H36" i="18"/>
  <c r="H399" i="18"/>
  <c r="H401" i="18"/>
  <c r="H254" i="18"/>
  <c r="H465" i="18"/>
  <c r="H25" i="18"/>
  <c r="H458" i="18"/>
  <c r="H439" i="18"/>
  <c r="H26" i="18"/>
  <c r="H27" i="18"/>
  <c r="H425" i="18"/>
  <c r="H28" i="18"/>
  <c r="H29" i="18"/>
  <c r="H402" i="18"/>
  <c r="H400" i="18"/>
  <c r="H394" i="18"/>
  <c r="H335" i="18"/>
  <c r="H298" i="18"/>
  <c r="H272" i="18"/>
  <c r="H252" i="18"/>
  <c r="H221" i="18"/>
  <c r="H200" i="18"/>
  <c r="H177" i="18"/>
  <c r="H131" i="18"/>
  <c r="H123" i="18"/>
  <c r="H39" i="18"/>
  <c r="H341" i="18"/>
  <c r="H340" i="18"/>
  <c r="H81" i="18"/>
  <c r="H80" i="18"/>
  <c r="H421" i="18"/>
  <c r="H419" i="18"/>
  <c r="H418" i="18"/>
  <c r="H374" i="18"/>
  <c r="H373" i="18"/>
  <c r="H364" i="18"/>
  <c r="H361" i="18"/>
  <c r="H360" i="18"/>
  <c r="H358" i="18"/>
  <c r="H357" i="18"/>
  <c r="H302" i="18"/>
  <c r="H271" i="18"/>
  <c r="H256" i="18"/>
  <c r="H255" i="18"/>
  <c r="H251" i="18"/>
  <c r="H239" i="18"/>
  <c r="H231" i="18"/>
  <c r="H219" i="18"/>
  <c r="H218" i="18"/>
  <c r="H217" i="18"/>
  <c r="H215" i="18"/>
  <c r="H212" i="18"/>
  <c r="H211" i="18"/>
  <c r="H122" i="18"/>
  <c r="H119" i="18"/>
  <c r="H118" i="18"/>
  <c r="H117" i="18"/>
  <c r="H116" i="18"/>
  <c r="H115" i="18"/>
  <c r="H37" i="18"/>
  <c r="H404" i="18"/>
  <c r="H405" i="18"/>
  <c r="H398" i="18"/>
  <c r="H152" i="18"/>
  <c r="H150" i="18"/>
  <c r="H359" i="18"/>
  <c r="H184" i="18"/>
  <c r="H183" i="18"/>
  <c r="H182" i="18"/>
  <c r="H181" i="18"/>
  <c r="H410" i="18"/>
  <c r="H320" i="18"/>
  <c r="H420" i="18"/>
  <c r="H416" i="18"/>
  <c r="H403" i="18"/>
  <c r="H392" i="18"/>
  <c r="H368" i="18"/>
  <c r="H367" i="18"/>
  <c r="H30" i="18"/>
  <c r="H336" i="18"/>
  <c r="H318" i="18"/>
  <c r="H317" i="18"/>
  <c r="H297" i="18"/>
  <c r="H296" i="18"/>
  <c r="H295" i="18"/>
  <c r="H294" i="18"/>
  <c r="H293" i="18"/>
  <c r="H285" i="18"/>
  <c r="H284" i="18"/>
  <c r="H282" i="18"/>
  <c r="H270" i="18"/>
  <c r="H240" i="18"/>
  <c r="H230" i="18"/>
  <c r="H214" i="18"/>
  <c r="H178" i="18"/>
  <c r="H176" i="18"/>
  <c r="H130" i="18"/>
  <c r="H424" i="18"/>
  <c r="H423" i="18"/>
  <c r="H393" i="18"/>
  <c r="H372" i="18"/>
  <c r="H346" i="18"/>
  <c r="H315" i="18"/>
  <c r="H314" i="18"/>
  <c r="H313" i="18"/>
  <c r="H312" i="18"/>
  <c r="H311" i="18"/>
  <c r="H310" i="18"/>
  <c r="H309" i="18"/>
  <c r="H304" i="18"/>
  <c r="H245" i="18"/>
  <c r="H220" i="18"/>
  <c r="H199" i="18"/>
  <c r="H197" i="18"/>
  <c r="H196" i="18"/>
  <c r="H195" i="18"/>
  <c r="H193" i="18"/>
  <c r="H78" i="18"/>
  <c r="H107" i="18"/>
  <c r="H355" i="18"/>
  <c r="H156" i="18"/>
  <c r="H148" i="18"/>
  <c r="H147" i="18"/>
  <c r="H466" i="18"/>
  <c r="H417" i="18"/>
  <c r="H413" i="18"/>
  <c r="H412" i="18"/>
  <c r="H411" i="18"/>
  <c r="H397" i="18"/>
  <c r="H370" i="18"/>
  <c r="H369" i="18"/>
  <c r="H330" i="18"/>
  <c r="H321" i="18"/>
  <c r="H316" i="18"/>
  <c r="H292" i="18"/>
  <c r="H283" i="18"/>
  <c r="H279" i="18"/>
  <c r="H242" i="18"/>
  <c r="H232" i="18"/>
  <c r="H202" i="18"/>
  <c r="H174" i="18"/>
  <c r="H158" i="18"/>
  <c r="H129" i="18"/>
  <c r="H87" i="18"/>
  <c r="H86" i="18"/>
  <c r="H31" i="18"/>
  <c r="H32" i="18"/>
  <c r="H76" i="18"/>
  <c r="H77" i="18"/>
  <c r="H72" i="18"/>
  <c r="H71" i="18"/>
  <c r="H70" i="18"/>
  <c r="H69" i="18"/>
  <c r="H67" i="18"/>
  <c r="H66" i="18"/>
  <c r="H65" i="18"/>
  <c r="H64" i="18"/>
  <c r="H63" i="18"/>
  <c r="H60" i="18"/>
  <c r="H59" i="18"/>
  <c r="H58" i="18"/>
  <c r="H46" i="18"/>
  <c r="H155" i="18"/>
  <c r="H154" i="18"/>
  <c r="H153" i="18"/>
  <c r="H151" i="18"/>
  <c r="H149" i="18"/>
  <c r="H146" i="18"/>
  <c r="H145" i="18"/>
  <c r="H144" i="18"/>
  <c r="H143" i="18"/>
  <c r="H142" i="18"/>
  <c r="H409" i="18"/>
  <c r="H408" i="18"/>
  <c r="H303" i="18"/>
  <c r="H290" i="18"/>
  <c r="H289" i="18"/>
  <c r="H288" i="18"/>
  <c r="H280" i="18"/>
  <c r="H250" i="18"/>
  <c r="H456" i="18"/>
  <c r="H455" i="18"/>
  <c r="H454" i="18"/>
  <c r="H442" i="18"/>
  <c r="H213" i="18"/>
  <c r="H415" i="18"/>
  <c r="H414" i="18"/>
  <c r="H381" i="18"/>
  <c r="H337" i="18"/>
  <c r="H238" i="18"/>
  <c r="H173" i="18"/>
  <c r="H172" i="18"/>
  <c r="H171" i="18"/>
  <c r="H170" i="18"/>
  <c r="H169" i="18"/>
  <c r="H168" i="18"/>
  <c r="H167" i="18"/>
  <c r="H132" i="18"/>
  <c r="H74" i="18"/>
  <c r="H488" i="18"/>
  <c r="H487" i="18"/>
  <c r="H486" i="18"/>
  <c r="H485" i="18"/>
  <c r="H484" i="18"/>
  <c r="H483" i="18"/>
  <c r="H482" i="18"/>
  <c r="H481" i="18"/>
  <c r="H480" i="18"/>
  <c r="H479" i="18"/>
  <c r="H478" i="18"/>
  <c r="H477" i="18"/>
  <c r="H476" i="18"/>
  <c r="H475" i="18"/>
  <c r="H474" i="18"/>
  <c r="H473" i="18"/>
  <c r="H472" i="18"/>
  <c r="H471" i="18"/>
  <c r="H470" i="18"/>
  <c r="H469" i="18"/>
  <c r="H468" i="18"/>
  <c r="H33" i="18"/>
  <c r="H332" i="18"/>
  <c r="H157" i="18"/>
  <c r="H75" i="18"/>
  <c r="H73" i="18"/>
  <c r="H34" i="18"/>
  <c r="G2" i="18"/>
  <c r="H428" i="18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19" i="21"/>
  <c r="G120" i="21"/>
  <c r="G121" i="21"/>
  <c r="G122" i="21"/>
  <c r="G123" i="21"/>
  <c r="G124" i="21"/>
  <c r="G125" i="21"/>
  <c r="G101" i="21"/>
  <c r="G126" i="21"/>
  <c r="G127" i="21"/>
  <c r="G102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03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04" i="21"/>
  <c r="G177" i="21"/>
  <c r="G178" i="21"/>
  <c r="G179" i="21"/>
  <c r="G180" i="21"/>
  <c r="G105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106" i="21"/>
  <c r="G260" i="21"/>
  <c r="G261" i="21"/>
  <c r="G262" i="21"/>
  <c r="G263" i="21"/>
  <c r="G264" i="21"/>
  <c r="G265" i="21"/>
  <c r="G107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10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109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111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112" i="21"/>
  <c r="G420" i="21"/>
  <c r="G421" i="21"/>
  <c r="G422" i="21"/>
  <c r="G423" i="21"/>
  <c r="G424" i="21"/>
  <c r="G113" i="21"/>
  <c r="G114" i="21"/>
  <c r="G425" i="21"/>
  <c r="G115" i="21"/>
  <c r="G426" i="21"/>
  <c r="G427" i="21"/>
  <c r="G428" i="21"/>
  <c r="G429" i="21"/>
  <c r="G430" i="21"/>
  <c r="G431" i="21"/>
  <c r="G432" i="21"/>
  <c r="G433" i="21"/>
  <c r="G434" i="21"/>
  <c r="G435" i="21"/>
  <c r="G436" i="21"/>
  <c r="G116" i="21"/>
  <c r="G437" i="21"/>
  <c r="G438" i="21"/>
  <c r="G439" i="21"/>
  <c r="G440" i="21"/>
  <c r="G441" i="21"/>
  <c r="G442" i="21"/>
  <c r="G443" i="21"/>
  <c r="G444" i="21"/>
  <c r="G445" i="21"/>
  <c r="G446" i="21"/>
  <c r="G447" i="21"/>
  <c r="G448" i="21"/>
  <c r="G449" i="21"/>
  <c r="G450" i="21"/>
  <c r="G451" i="21"/>
  <c r="G452" i="21"/>
  <c r="G453" i="21"/>
  <c r="G454" i="21"/>
  <c r="G117" i="21"/>
  <c r="G455" i="21"/>
  <c r="G456" i="21"/>
  <c r="G118" i="21"/>
  <c r="G457" i="21"/>
  <c r="G458" i="21"/>
  <c r="G459" i="21"/>
  <c r="G460" i="21"/>
  <c r="G461" i="21"/>
  <c r="G462" i="21"/>
  <c r="G463" i="21"/>
  <c r="G464" i="21"/>
  <c r="G465" i="21"/>
  <c r="G2" i="21"/>
  <c r="L14" i="20"/>
  <c r="C15" i="20"/>
  <c r="L7" i="20"/>
  <c r="I7" i="20"/>
  <c r="F7" i="20"/>
  <c r="C7" i="20"/>
  <c r="L6" i="20"/>
  <c r="I6" i="20"/>
  <c r="F6" i="20"/>
  <c r="C6" i="20"/>
  <c r="L5" i="20"/>
  <c r="I5" i="20"/>
  <c r="F5" i="20"/>
  <c r="C5" i="20"/>
  <c r="L28" i="22" l="1"/>
  <c r="C29" i="22"/>
  <c r="C27" i="22"/>
  <c r="C26" i="22"/>
  <c r="C24" i="22"/>
  <c r="L29" i="22"/>
  <c r="C31" i="22"/>
  <c r="C30" i="22"/>
  <c r="F18" i="22"/>
  <c r="F19" i="22" s="1"/>
  <c r="L29" i="24"/>
  <c r="C27" i="24"/>
  <c r="C23" i="24"/>
  <c r="F18" i="24"/>
  <c r="F19" i="24" s="1"/>
  <c r="C29" i="24"/>
  <c r="L28" i="24"/>
  <c r="C24" i="24"/>
  <c r="C31" i="24"/>
  <c r="C30" i="24"/>
  <c r="C26" i="24"/>
  <c r="L27" i="24"/>
  <c r="L24" i="24"/>
  <c r="L25" i="24"/>
  <c r="L26" i="24"/>
  <c r="C28" i="24"/>
  <c r="C18" i="24"/>
  <c r="C19" i="24" s="1"/>
  <c r="C23" i="22"/>
  <c r="L27" i="22"/>
  <c r="L24" i="22"/>
  <c r="L25" i="22"/>
  <c r="L26" i="22"/>
  <c r="C28" i="22"/>
  <c r="C18" i="22"/>
  <c r="C19" i="22" s="1"/>
  <c r="I9" i="20"/>
  <c r="I16" i="20"/>
  <c r="F14" i="20"/>
  <c r="C10" i="20"/>
  <c r="C9" i="20"/>
  <c r="C17" i="20"/>
  <c r="F12" i="20"/>
  <c r="C12" i="20"/>
  <c r="I11" i="20"/>
  <c r="C25" i="20" s="1"/>
  <c r="L11" i="20"/>
  <c r="I14" i="20"/>
  <c r="I13" i="20"/>
  <c r="I12" i="20"/>
  <c r="I15" i="20"/>
  <c r="L9" i="20"/>
  <c r="L12" i="20"/>
  <c r="L15" i="20"/>
  <c r="F15" i="20"/>
  <c r="C30" i="20" s="1"/>
  <c r="C13" i="20"/>
  <c r="F10" i="20"/>
  <c r="I10" i="20"/>
  <c r="L10" i="20"/>
  <c r="C11" i="20"/>
  <c r="C14" i="20"/>
  <c r="C16" i="20"/>
  <c r="F13" i="20"/>
  <c r="L13" i="20"/>
  <c r="F17" i="20"/>
  <c r="F9" i="20"/>
  <c r="F16" i="20"/>
  <c r="L16" i="20"/>
  <c r="F11" i="20"/>
  <c r="L24" i="20"/>
  <c r="L25" i="20"/>
  <c r="L23" i="20" s="1"/>
  <c r="L29" i="20"/>
  <c r="L28" i="20"/>
  <c r="L26" i="20"/>
  <c r="L27" i="20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2" i="16"/>
  <c r="G198" i="18"/>
  <c r="G396" i="18"/>
  <c r="G395" i="18"/>
  <c r="G57" i="18"/>
  <c r="G56" i="18"/>
  <c r="G53" i="18"/>
  <c r="G55" i="18"/>
  <c r="G54" i="18"/>
  <c r="G52" i="18"/>
  <c r="G51" i="18"/>
  <c r="G50" i="18"/>
  <c r="G49" i="18"/>
  <c r="G48" i="18"/>
  <c r="G139" i="18"/>
  <c r="G138" i="18"/>
  <c r="G137" i="18"/>
  <c r="G136" i="18"/>
  <c r="G135" i="18"/>
  <c r="G134" i="18"/>
  <c r="G133" i="18"/>
  <c r="G388" i="18"/>
  <c r="G175" i="18"/>
  <c r="G127" i="18"/>
  <c r="G354" i="18"/>
  <c r="G206" i="18"/>
  <c r="G257" i="18"/>
  <c r="G114" i="18"/>
  <c r="G113" i="18"/>
  <c r="G205" i="18"/>
  <c r="G204" i="18"/>
  <c r="G106" i="18"/>
  <c r="G299" i="18"/>
  <c r="G391" i="18"/>
  <c r="G210" i="18"/>
  <c r="G140" i="18"/>
  <c r="G457" i="18"/>
  <c r="G319" i="18"/>
  <c r="G35" i="18"/>
  <c r="G3" i="18"/>
  <c r="G4" i="18"/>
  <c r="G371" i="18"/>
  <c r="G464" i="18"/>
  <c r="G451" i="18"/>
  <c r="G450" i="18"/>
  <c r="G436" i="18"/>
  <c r="G429" i="18"/>
  <c r="G339" i="18"/>
  <c r="G243" i="18"/>
  <c r="G241" i="18"/>
  <c r="G5" i="18"/>
  <c r="G6" i="18"/>
  <c r="G7" i="18"/>
  <c r="G85" i="18"/>
  <c r="G38" i="18"/>
  <c r="G459" i="18"/>
  <c r="G453" i="18"/>
  <c r="G449" i="18"/>
  <c r="G427" i="18"/>
  <c r="G362" i="18"/>
  <c r="G345" i="18"/>
  <c r="G344" i="18"/>
  <c r="G343" i="18"/>
  <c r="G342" i="18"/>
  <c r="G260" i="18"/>
  <c r="G228" i="18"/>
  <c r="G216" i="18"/>
  <c r="G112" i="18"/>
  <c r="G111" i="18"/>
  <c r="G110" i="18"/>
  <c r="G109" i="18"/>
  <c r="G108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434" i="18"/>
  <c r="G431" i="18"/>
  <c r="G291" i="18"/>
  <c r="G286" i="18"/>
  <c r="G287" i="18"/>
  <c r="G274" i="18"/>
  <c r="G229" i="18"/>
  <c r="G79" i="18"/>
  <c r="G347" i="18"/>
  <c r="G61" i="18"/>
  <c r="G452" i="18"/>
  <c r="G448" i="18"/>
  <c r="G447" i="18"/>
  <c r="G444" i="18"/>
  <c r="G435" i="18"/>
  <c r="G356" i="18"/>
  <c r="G263" i="18"/>
  <c r="G262" i="18"/>
  <c r="G88" i="18"/>
  <c r="G334" i="18"/>
  <c r="G207" i="18"/>
  <c r="G8" i="18"/>
  <c r="G62" i="18"/>
  <c r="G141" i="18"/>
  <c r="G166" i="18"/>
  <c r="G433" i="18"/>
  <c r="G387" i="18"/>
  <c r="G165" i="18"/>
  <c r="G383" i="18"/>
  <c r="G446" i="18"/>
  <c r="G432" i="18"/>
  <c r="G386" i="18"/>
  <c r="G385" i="18"/>
  <c r="G164" i="18"/>
  <c r="G407" i="18"/>
  <c r="G353" i="18"/>
  <c r="G352" i="18"/>
  <c r="G351" i="18"/>
  <c r="G249" i="18"/>
  <c r="G209" i="18"/>
  <c r="G163" i="18"/>
  <c r="G406" i="18"/>
  <c r="G350" i="18"/>
  <c r="G349" i="18"/>
  <c r="G348" i="18"/>
  <c r="G248" i="18"/>
  <c r="G208" i="18"/>
  <c r="G162" i="18"/>
  <c r="G9" i="18"/>
  <c r="G10" i="18"/>
  <c r="G11" i="18"/>
  <c r="G462" i="18"/>
  <c r="G461" i="18"/>
  <c r="G460" i="18"/>
  <c r="G266" i="18"/>
  <c r="G121" i="18"/>
  <c r="G120" i="18"/>
  <c r="G40" i="18"/>
  <c r="G161" i="18"/>
  <c r="G445" i="18"/>
  <c r="G430" i="18"/>
  <c r="G308" i="18"/>
  <c r="G307" i="18"/>
  <c r="G306" i="18"/>
  <c r="G281" i="18"/>
  <c r="G12" i="18"/>
  <c r="G13" i="18"/>
  <c r="G14" i="18"/>
  <c r="G15" i="18"/>
  <c r="G384" i="18"/>
  <c r="G382" i="18"/>
  <c r="G467" i="18"/>
  <c r="G437" i="18"/>
  <c r="G390" i="18"/>
  <c r="G389" i="18"/>
  <c r="G261" i="18"/>
  <c r="G259" i="18"/>
  <c r="G247" i="18"/>
  <c r="G223" i="18"/>
  <c r="G222" i="18"/>
  <c r="G16" i="18"/>
  <c r="G443" i="18"/>
  <c r="G441" i="18"/>
  <c r="G440" i="18"/>
  <c r="G438" i="18"/>
  <c r="G380" i="18"/>
  <c r="G379" i="18"/>
  <c r="G378" i="18"/>
  <c r="G377" i="18"/>
  <c r="G376" i="18"/>
  <c r="G375" i="18"/>
  <c r="G366" i="18"/>
  <c r="G365" i="18"/>
  <c r="G305" i="18"/>
  <c r="G264" i="18"/>
  <c r="G17" i="18"/>
  <c r="G191" i="18"/>
  <c r="G190" i="18"/>
  <c r="G189" i="18"/>
  <c r="G188" i="18"/>
  <c r="G187" i="18"/>
  <c r="G186" i="18"/>
  <c r="G185" i="18"/>
  <c r="G68" i="18"/>
  <c r="G47" i="18"/>
  <c r="G203" i="18"/>
  <c r="G325" i="18"/>
  <c r="G324" i="18"/>
  <c r="G323" i="18"/>
  <c r="G322" i="18"/>
  <c r="G253" i="18"/>
  <c r="G246" i="18"/>
  <c r="G237" i="18"/>
  <c r="G236" i="18"/>
  <c r="G235" i="18"/>
  <c r="G234" i="18"/>
  <c r="G233" i="18"/>
  <c r="G227" i="18"/>
  <c r="G226" i="18"/>
  <c r="G225" i="18"/>
  <c r="G224" i="18"/>
  <c r="G194" i="18"/>
  <c r="G18" i="18"/>
  <c r="G19" i="18"/>
  <c r="G160" i="18"/>
  <c r="G159" i="18"/>
  <c r="G128" i="18"/>
  <c r="G126" i="18"/>
  <c r="G125" i="18"/>
  <c r="G124" i="18"/>
  <c r="G45" i="18"/>
  <c r="G44" i="18"/>
  <c r="G43" i="18"/>
  <c r="G42" i="18"/>
  <c r="G41" i="18"/>
  <c r="G20" i="18"/>
  <c r="G192" i="18"/>
  <c r="G426" i="18"/>
  <c r="G269" i="18"/>
  <c r="G268" i="18"/>
  <c r="G489" i="18"/>
  <c r="G463" i="18"/>
  <c r="G422" i="18"/>
  <c r="G363" i="18"/>
  <c r="G21" i="18"/>
  <c r="G338" i="18"/>
  <c r="G333" i="18"/>
  <c r="G331" i="18"/>
  <c r="G329" i="18"/>
  <c r="G328" i="18"/>
  <c r="G327" i="18"/>
  <c r="G326" i="18"/>
  <c r="G301" i="18"/>
  <c r="G300" i="18"/>
  <c r="G278" i="18"/>
  <c r="G277" i="18"/>
  <c r="G276" i="18"/>
  <c r="G275" i="18"/>
  <c r="G273" i="18"/>
  <c r="G267" i="18"/>
  <c r="G265" i="18"/>
  <c r="G258" i="18"/>
  <c r="G244" i="18"/>
  <c r="G22" i="18"/>
  <c r="G23" i="18"/>
  <c r="G201" i="18"/>
  <c r="G180" i="18"/>
  <c r="G179" i="18"/>
  <c r="G24" i="18"/>
  <c r="G84" i="18"/>
  <c r="G83" i="18"/>
  <c r="G82" i="18"/>
  <c r="G36" i="18"/>
  <c r="G399" i="18"/>
  <c r="G401" i="18"/>
  <c r="G254" i="18"/>
  <c r="G465" i="18"/>
  <c r="G25" i="18"/>
  <c r="G458" i="18"/>
  <c r="G439" i="18"/>
  <c r="G26" i="18"/>
  <c r="G27" i="18"/>
  <c r="G425" i="18"/>
  <c r="G28" i="18"/>
  <c r="G29" i="18"/>
  <c r="G402" i="18"/>
  <c r="G400" i="18"/>
  <c r="G394" i="18"/>
  <c r="G335" i="18"/>
  <c r="G298" i="18"/>
  <c r="G272" i="18"/>
  <c r="G252" i="18"/>
  <c r="G221" i="18"/>
  <c r="G200" i="18"/>
  <c r="G177" i="18"/>
  <c r="G131" i="18"/>
  <c r="G123" i="18"/>
  <c r="G39" i="18"/>
  <c r="G341" i="18"/>
  <c r="G340" i="18"/>
  <c r="G81" i="18"/>
  <c r="G80" i="18"/>
  <c r="G421" i="18"/>
  <c r="G419" i="18"/>
  <c r="G418" i="18"/>
  <c r="G374" i="18"/>
  <c r="G373" i="18"/>
  <c r="G364" i="18"/>
  <c r="G361" i="18"/>
  <c r="G360" i="18"/>
  <c r="G358" i="18"/>
  <c r="G357" i="18"/>
  <c r="G302" i="18"/>
  <c r="G271" i="18"/>
  <c r="G256" i="18"/>
  <c r="G255" i="18"/>
  <c r="G251" i="18"/>
  <c r="G239" i="18"/>
  <c r="G231" i="18"/>
  <c r="G219" i="18"/>
  <c r="G218" i="18"/>
  <c r="G217" i="18"/>
  <c r="G215" i="18"/>
  <c r="G212" i="18"/>
  <c r="G211" i="18"/>
  <c r="G122" i="18"/>
  <c r="G119" i="18"/>
  <c r="G118" i="18"/>
  <c r="G117" i="18"/>
  <c r="G116" i="18"/>
  <c r="G115" i="18"/>
  <c r="G37" i="18"/>
  <c r="G404" i="18"/>
  <c r="G405" i="18"/>
  <c r="G398" i="18"/>
  <c r="G152" i="18"/>
  <c r="G150" i="18"/>
  <c r="G359" i="18"/>
  <c r="G184" i="18"/>
  <c r="G183" i="18"/>
  <c r="G182" i="18"/>
  <c r="G181" i="18"/>
  <c r="G410" i="18"/>
  <c r="G320" i="18"/>
  <c r="G420" i="18"/>
  <c r="G416" i="18"/>
  <c r="G403" i="18"/>
  <c r="G392" i="18"/>
  <c r="G368" i="18"/>
  <c r="G367" i="18"/>
  <c r="G30" i="18"/>
  <c r="G336" i="18"/>
  <c r="G318" i="18"/>
  <c r="G317" i="18"/>
  <c r="G297" i="18"/>
  <c r="G296" i="18"/>
  <c r="G295" i="18"/>
  <c r="G294" i="18"/>
  <c r="G293" i="18"/>
  <c r="G285" i="18"/>
  <c r="G284" i="18"/>
  <c r="G282" i="18"/>
  <c r="G270" i="18"/>
  <c r="G240" i="18"/>
  <c r="G230" i="18"/>
  <c r="G214" i="18"/>
  <c r="G178" i="18"/>
  <c r="G176" i="18"/>
  <c r="G130" i="18"/>
  <c r="G424" i="18"/>
  <c r="G423" i="18"/>
  <c r="G393" i="18"/>
  <c r="G372" i="18"/>
  <c r="G346" i="18"/>
  <c r="G315" i="18"/>
  <c r="G314" i="18"/>
  <c r="G313" i="18"/>
  <c r="G312" i="18"/>
  <c r="G311" i="18"/>
  <c r="G310" i="18"/>
  <c r="G309" i="18"/>
  <c r="G304" i="18"/>
  <c r="G245" i="18"/>
  <c r="G220" i="18"/>
  <c r="G199" i="18"/>
  <c r="G197" i="18"/>
  <c r="G196" i="18"/>
  <c r="G195" i="18"/>
  <c r="G193" i="18"/>
  <c r="G78" i="18"/>
  <c r="G107" i="18"/>
  <c r="G355" i="18"/>
  <c r="G156" i="18"/>
  <c r="G148" i="18"/>
  <c r="G147" i="18"/>
  <c r="G466" i="18"/>
  <c r="G417" i="18"/>
  <c r="G413" i="18"/>
  <c r="G412" i="18"/>
  <c r="G411" i="18"/>
  <c r="G397" i="18"/>
  <c r="G370" i="18"/>
  <c r="G369" i="18"/>
  <c r="G330" i="18"/>
  <c r="G321" i="18"/>
  <c r="G316" i="18"/>
  <c r="G292" i="18"/>
  <c r="G283" i="18"/>
  <c r="G279" i="18"/>
  <c r="G242" i="18"/>
  <c r="G232" i="18"/>
  <c r="G202" i="18"/>
  <c r="G174" i="18"/>
  <c r="G158" i="18"/>
  <c r="G129" i="18"/>
  <c r="G87" i="18"/>
  <c r="G86" i="18"/>
  <c r="G31" i="18"/>
  <c r="G32" i="18"/>
  <c r="G76" i="18"/>
  <c r="G77" i="18"/>
  <c r="G72" i="18"/>
  <c r="G71" i="18"/>
  <c r="G70" i="18"/>
  <c r="G69" i="18"/>
  <c r="G67" i="18"/>
  <c r="G66" i="18"/>
  <c r="G65" i="18"/>
  <c r="G64" i="18"/>
  <c r="G63" i="18"/>
  <c r="G60" i="18"/>
  <c r="G59" i="18"/>
  <c r="G58" i="18"/>
  <c r="G46" i="18"/>
  <c r="G155" i="18"/>
  <c r="G154" i="18"/>
  <c r="G153" i="18"/>
  <c r="G151" i="18"/>
  <c r="G149" i="18"/>
  <c r="G146" i="18"/>
  <c r="G145" i="18"/>
  <c r="G144" i="18"/>
  <c r="G143" i="18"/>
  <c r="G142" i="18"/>
  <c r="G409" i="18"/>
  <c r="G408" i="18"/>
  <c r="G303" i="18"/>
  <c r="G290" i="18"/>
  <c r="G289" i="18"/>
  <c r="G288" i="18"/>
  <c r="G280" i="18"/>
  <c r="G250" i="18"/>
  <c r="G456" i="18"/>
  <c r="G455" i="18"/>
  <c r="G454" i="18"/>
  <c r="G442" i="18"/>
  <c r="G213" i="18"/>
  <c r="G415" i="18"/>
  <c r="G414" i="18"/>
  <c r="G381" i="18"/>
  <c r="G337" i="18"/>
  <c r="G238" i="18"/>
  <c r="G173" i="18"/>
  <c r="G172" i="18"/>
  <c r="G171" i="18"/>
  <c r="G170" i="18"/>
  <c r="G169" i="18"/>
  <c r="G168" i="18"/>
  <c r="G167" i="18"/>
  <c r="G132" i="18"/>
  <c r="G74" i="18"/>
  <c r="G488" i="18"/>
  <c r="G487" i="18"/>
  <c r="G486" i="18"/>
  <c r="G485" i="18"/>
  <c r="G484" i="18"/>
  <c r="G483" i="18"/>
  <c r="G482" i="18"/>
  <c r="G481" i="18"/>
  <c r="G480" i="18"/>
  <c r="G479" i="18"/>
  <c r="G478" i="18"/>
  <c r="G477" i="18"/>
  <c r="G476" i="18"/>
  <c r="G475" i="18"/>
  <c r="G474" i="18"/>
  <c r="G473" i="18"/>
  <c r="G472" i="18"/>
  <c r="G471" i="18"/>
  <c r="G470" i="18"/>
  <c r="G469" i="18"/>
  <c r="G468" i="18"/>
  <c r="G33" i="18"/>
  <c r="G332" i="18"/>
  <c r="G157" i="18"/>
  <c r="G75" i="18"/>
  <c r="G73" i="18"/>
  <c r="G34" i="18"/>
  <c r="G428" i="18"/>
  <c r="L7" i="19"/>
  <c r="I7" i="19"/>
  <c r="F7" i="19"/>
  <c r="C7" i="19"/>
  <c r="L6" i="19"/>
  <c r="I6" i="19"/>
  <c r="F6" i="19"/>
  <c r="C6" i="19"/>
  <c r="L5" i="19"/>
  <c r="I5" i="19"/>
  <c r="F5" i="19"/>
  <c r="C5" i="19"/>
  <c r="C32" i="24" l="1"/>
  <c r="L23" i="24"/>
  <c r="C32" i="22"/>
  <c r="L23" i="22"/>
  <c r="C23" i="20"/>
  <c r="C31" i="20"/>
  <c r="C29" i="20"/>
  <c r="C26" i="20"/>
  <c r="C27" i="20"/>
  <c r="C28" i="20"/>
  <c r="C24" i="20"/>
  <c r="F18" i="20"/>
  <c r="F19" i="20" s="1"/>
  <c r="C18" i="20"/>
  <c r="C19" i="20" s="1"/>
  <c r="I13" i="19"/>
  <c r="L16" i="19"/>
  <c r="L10" i="19"/>
  <c r="L11" i="19"/>
  <c r="I11" i="19"/>
  <c r="C25" i="19" s="1"/>
  <c r="I16" i="19"/>
  <c r="L13" i="19"/>
  <c r="F17" i="19"/>
  <c r="I12" i="19"/>
  <c r="L12" i="19"/>
  <c r="I14" i="19"/>
  <c r="L14" i="19"/>
  <c r="I15" i="19"/>
  <c r="L9" i="19"/>
  <c r="L15" i="19"/>
  <c r="I9" i="19"/>
  <c r="I10" i="19"/>
  <c r="C9" i="19"/>
  <c r="F9" i="19"/>
  <c r="F15" i="19"/>
  <c r="C12" i="19"/>
  <c r="C15" i="19"/>
  <c r="F12" i="19"/>
  <c r="F11" i="19"/>
  <c r="F14" i="19"/>
  <c r="C10" i="19"/>
  <c r="C13" i="19"/>
  <c r="C16" i="19"/>
  <c r="F10" i="19"/>
  <c r="F13" i="19"/>
  <c r="F16" i="19"/>
  <c r="C11" i="19"/>
  <c r="C14" i="19"/>
  <c r="C17" i="19"/>
  <c r="L28" i="19"/>
  <c r="L25" i="19"/>
  <c r="F9" i="17"/>
  <c r="C5" i="17"/>
  <c r="F5" i="17"/>
  <c r="I5" i="17"/>
  <c r="L5" i="17"/>
  <c r="C6" i="17"/>
  <c r="F6" i="17"/>
  <c r="I6" i="17"/>
  <c r="L6" i="17"/>
  <c r="C7" i="17"/>
  <c r="F7" i="17"/>
  <c r="I7" i="17"/>
  <c r="L7" i="17"/>
  <c r="C9" i="17"/>
  <c r="I9" i="17"/>
  <c r="L9" i="17"/>
  <c r="C10" i="17"/>
  <c r="F10" i="17"/>
  <c r="I10" i="17"/>
  <c r="L10" i="17"/>
  <c r="C11" i="17"/>
  <c r="F11" i="17"/>
  <c r="I11" i="17"/>
  <c r="C25" i="17" s="1"/>
  <c r="L11" i="17"/>
  <c r="C12" i="17"/>
  <c r="F12" i="17"/>
  <c r="I12" i="17"/>
  <c r="L12" i="17"/>
  <c r="C13" i="17"/>
  <c r="F13" i="17"/>
  <c r="I13" i="17"/>
  <c r="L13" i="17"/>
  <c r="C14" i="17"/>
  <c r="F14" i="17"/>
  <c r="I14" i="17"/>
  <c r="L14" i="17"/>
  <c r="C15" i="17"/>
  <c r="F15" i="17"/>
  <c r="I15" i="17"/>
  <c r="L15" i="17"/>
  <c r="C16" i="17"/>
  <c r="F16" i="17"/>
  <c r="I16" i="17"/>
  <c r="L16" i="17"/>
  <c r="C17" i="17"/>
  <c r="F17" i="17"/>
  <c r="F5" i="14"/>
  <c r="C5" i="14"/>
  <c r="I5" i="14"/>
  <c r="L5" i="14"/>
  <c r="C6" i="14"/>
  <c r="F6" i="14"/>
  <c r="I6" i="14"/>
  <c r="L6" i="14"/>
  <c r="C7" i="14"/>
  <c r="F7" i="14"/>
  <c r="I7" i="14"/>
  <c r="L7" i="14"/>
  <c r="C9" i="14"/>
  <c r="F9" i="14"/>
  <c r="I9" i="14"/>
  <c r="L9" i="14"/>
  <c r="C10" i="14"/>
  <c r="F10" i="14"/>
  <c r="I10" i="14"/>
  <c r="L10" i="14"/>
  <c r="C11" i="14"/>
  <c r="F11" i="14"/>
  <c r="I11" i="14"/>
  <c r="C24" i="14" s="1"/>
  <c r="L11" i="14"/>
  <c r="C12" i="14"/>
  <c r="F12" i="14"/>
  <c r="I12" i="14"/>
  <c r="L12" i="14"/>
  <c r="C13" i="14"/>
  <c r="F13" i="14"/>
  <c r="I13" i="14"/>
  <c r="L13" i="14"/>
  <c r="C14" i="14"/>
  <c r="F14" i="14"/>
  <c r="I14" i="14"/>
  <c r="L14" i="14"/>
  <c r="C15" i="14"/>
  <c r="F15" i="14"/>
  <c r="I15" i="14"/>
  <c r="L15" i="14"/>
  <c r="C16" i="14"/>
  <c r="F16" i="14"/>
  <c r="I16" i="14"/>
  <c r="L16" i="14"/>
  <c r="C17" i="14"/>
  <c r="F17" i="14"/>
  <c r="F5" i="11"/>
  <c r="F17" i="11"/>
  <c r="C17" i="11"/>
  <c r="L16" i="11"/>
  <c r="I16" i="11"/>
  <c r="F16" i="11"/>
  <c r="C16" i="11"/>
  <c r="L15" i="11"/>
  <c r="I15" i="11"/>
  <c r="F15" i="11"/>
  <c r="C15" i="11"/>
  <c r="C29" i="11" s="1"/>
  <c r="L14" i="11"/>
  <c r="I14" i="11"/>
  <c r="F14" i="11"/>
  <c r="C14" i="11"/>
  <c r="L13" i="11"/>
  <c r="I13" i="11"/>
  <c r="C25" i="11" s="1"/>
  <c r="F13" i="11"/>
  <c r="C13" i="11"/>
  <c r="L12" i="11"/>
  <c r="I12" i="11"/>
  <c r="F12" i="11"/>
  <c r="C12" i="11"/>
  <c r="L11" i="11"/>
  <c r="I11" i="11"/>
  <c r="C24" i="11" s="1"/>
  <c r="F11" i="11"/>
  <c r="C11" i="11"/>
  <c r="L10" i="11"/>
  <c r="I10" i="11"/>
  <c r="C23" i="11" s="1"/>
  <c r="F10" i="11"/>
  <c r="C10" i="11"/>
  <c r="L9" i="11"/>
  <c r="I9" i="11"/>
  <c r="F9" i="11"/>
  <c r="C9" i="11"/>
  <c r="L7" i="11"/>
  <c r="I7" i="11"/>
  <c r="F7" i="11"/>
  <c r="C7" i="11"/>
  <c r="L6" i="11"/>
  <c r="I6" i="11"/>
  <c r="F6" i="11"/>
  <c r="C6" i="11"/>
  <c r="L5" i="11"/>
  <c r="I5" i="11"/>
  <c r="C5" i="11"/>
  <c r="L28" i="11" l="1"/>
  <c r="C30" i="19"/>
  <c r="C32" i="20"/>
  <c r="C26" i="11"/>
  <c r="C28" i="11"/>
  <c r="C30" i="11"/>
  <c r="C31" i="19"/>
  <c r="C24" i="19"/>
  <c r="C26" i="19"/>
  <c r="C29" i="19"/>
  <c r="C27" i="19"/>
  <c r="C23" i="19"/>
  <c r="F18" i="19"/>
  <c r="F19" i="19" s="1"/>
  <c r="L27" i="19"/>
  <c r="L24" i="19"/>
  <c r="L23" i="19" s="1"/>
  <c r="L26" i="19"/>
  <c r="L29" i="19"/>
  <c r="C28" i="19"/>
  <c r="C18" i="19"/>
  <c r="C19" i="19" s="1"/>
  <c r="L29" i="11"/>
  <c r="F18" i="11"/>
  <c r="F19" i="11" s="1"/>
  <c r="C31" i="11"/>
  <c r="C28" i="14"/>
  <c r="C25" i="14"/>
  <c r="C29" i="14"/>
  <c r="C26" i="14"/>
  <c r="C27" i="17"/>
  <c r="L25" i="14"/>
  <c r="L25" i="17"/>
  <c r="C31" i="14"/>
  <c r="L28" i="14"/>
  <c r="L29" i="14"/>
  <c r="L27" i="14"/>
  <c r="L24" i="14"/>
  <c r="L26" i="14"/>
  <c r="L25" i="11"/>
  <c r="L27" i="11"/>
  <c r="L24" i="11"/>
  <c r="L26" i="11"/>
  <c r="L28" i="17"/>
  <c r="L29" i="17"/>
  <c r="L26" i="17"/>
  <c r="L27" i="17"/>
  <c r="L24" i="17"/>
  <c r="C31" i="17"/>
  <c r="C32" i="17"/>
  <c r="C30" i="17"/>
  <c r="C29" i="17"/>
  <c r="C26" i="17"/>
  <c r="C24" i="17"/>
  <c r="C23" i="17"/>
  <c r="C28" i="17"/>
  <c r="F18" i="17"/>
  <c r="F19" i="17" s="1"/>
  <c r="C18" i="17"/>
  <c r="C19" i="17" s="1"/>
  <c r="F18" i="14"/>
  <c r="F19" i="14" s="1"/>
  <c r="C30" i="14"/>
  <c r="C27" i="14"/>
  <c r="C18" i="14"/>
  <c r="C19" i="14" s="1"/>
  <c r="C32" i="14" s="1"/>
  <c r="C23" i="14"/>
  <c r="C27" i="11"/>
  <c r="C18" i="11"/>
  <c r="C19" i="11" s="1"/>
  <c r="C32" i="11" s="1"/>
  <c r="C32" i="19" l="1"/>
  <c r="L23" i="14"/>
  <c r="L23" i="17"/>
  <c r="C33" i="17"/>
  <c r="L23" i="11"/>
</calcChain>
</file>

<file path=xl/sharedStrings.xml><?xml version="1.0" encoding="utf-8"?>
<sst xmlns="http://schemas.openxmlformats.org/spreadsheetml/2006/main" count="23720" uniqueCount="740">
  <si>
    <t>Inventário Servidores Dezembro 2024</t>
  </si>
  <si>
    <t>Linux Virtual</t>
  </si>
  <si>
    <t>Linux Fisicos</t>
  </si>
  <si>
    <t>Windows Virtual</t>
  </si>
  <si>
    <t>Windows Fisicos</t>
  </si>
  <si>
    <t>Total Virtuais</t>
  </si>
  <si>
    <t>Total Fisicos</t>
  </si>
  <si>
    <t>Desligadas</t>
  </si>
  <si>
    <t>Ligadas</t>
  </si>
  <si>
    <t>Total RedHat 9</t>
  </si>
  <si>
    <t>Windows 2022</t>
  </si>
  <si>
    <t>Total RedHat 8</t>
  </si>
  <si>
    <t>Windows 2019</t>
  </si>
  <si>
    <t>Total RedHat 7</t>
  </si>
  <si>
    <t>Windows 2016</t>
  </si>
  <si>
    <t>Total RedHat 6</t>
  </si>
  <si>
    <t>Windows 2012</t>
  </si>
  <si>
    <t>Total RedHat 5</t>
  </si>
  <si>
    <t>Windows 2008</t>
  </si>
  <si>
    <t>Total Ubuntu</t>
  </si>
  <si>
    <t>Windows 10</t>
  </si>
  <si>
    <t>Total Centos</t>
  </si>
  <si>
    <t>Windows 8</t>
  </si>
  <si>
    <t>Total Debian</t>
  </si>
  <si>
    <t>Windows 7</t>
  </si>
  <si>
    <t>Total Suse</t>
  </si>
  <si>
    <t>Total SOs</t>
  </si>
  <si>
    <t>Outros SOs</t>
  </si>
  <si>
    <t>TOP 10 SO</t>
  </si>
  <si>
    <t>Servidores Criados</t>
  </si>
  <si>
    <t>Servidores Excluidos</t>
  </si>
  <si>
    <t>TOTAIS</t>
  </si>
  <si>
    <t>Total Servidores</t>
  </si>
  <si>
    <t>Total Linux</t>
  </si>
  <si>
    <t>Total Windows</t>
  </si>
  <si>
    <t>RedHat</t>
  </si>
  <si>
    <t>Ubuntu</t>
  </si>
  <si>
    <t>Total Ligadas</t>
  </si>
  <si>
    <t>Centos</t>
  </si>
  <si>
    <t>Total Desligadas</t>
  </si>
  <si>
    <t>Suse</t>
  </si>
  <si>
    <t>Debian</t>
  </si>
  <si>
    <t>Outros (Win7, 8, 22, App Linux)</t>
  </si>
  <si>
    <t xml:space="preserve">Servidor </t>
  </si>
  <si>
    <t>Status</t>
  </si>
  <si>
    <t>Tipo SO</t>
  </si>
  <si>
    <t>Versão SO</t>
  </si>
  <si>
    <t>Fisico/Virtual</t>
  </si>
  <si>
    <t>Local</t>
  </si>
  <si>
    <t>SLOT-01</t>
  </si>
  <si>
    <t>poweredOff</t>
  </si>
  <si>
    <t>Linux</t>
  </si>
  <si>
    <t>-</t>
  </si>
  <si>
    <t>Fisico</t>
  </si>
  <si>
    <t>ENCLOSURE3-JR6LBY1</t>
  </si>
  <si>
    <t>SPRDAPTRGRU01</t>
  </si>
  <si>
    <t>ENCLOSURE5-GQWPZ12</t>
  </si>
  <si>
    <t>SPRDAPBWGRU01</t>
  </si>
  <si>
    <t>ENCLOSURE6-DM8QZ12</t>
  </si>
  <si>
    <t>SPRDAPBWGRU02</t>
  </si>
  <si>
    <t>SPRDVMGRU01</t>
  </si>
  <si>
    <t>poweredOn</t>
  </si>
  <si>
    <t>Appliance Vmware</t>
  </si>
  <si>
    <t>ENCLOSURE1-HY381Y1</t>
  </si>
  <si>
    <t>SPRDVMGRU02</t>
  </si>
  <si>
    <t>SPRDVMGRU05</t>
  </si>
  <si>
    <t>SPRDVMGRU03</t>
  </si>
  <si>
    <t>ENCLOSURE2-BY381Y1</t>
  </si>
  <si>
    <t>SPRDVMGRU04</t>
  </si>
  <si>
    <t>SPRDVMGRU06</t>
  </si>
  <si>
    <t>SPRDVMSAPGRU01</t>
  </si>
  <si>
    <t>SPRDVMSAPGRU02</t>
  </si>
  <si>
    <t>SPRDVMSAPGRU03</t>
  </si>
  <si>
    <t>SPRDVMSAPGRU04</t>
  </si>
  <si>
    <t>SPRDESXIGRU01</t>
  </si>
  <si>
    <t>HCI</t>
  </si>
  <si>
    <t>SPRDESXIGRU02</t>
  </si>
  <si>
    <t>SPRDESXIGRU03</t>
  </si>
  <si>
    <t>SPRDESXIGRU04</t>
  </si>
  <si>
    <t>SPRDESXIGRU05</t>
  </si>
  <si>
    <t>SPRDESXIGRU06</t>
  </si>
  <si>
    <t>SPRDESXIGRU07</t>
  </si>
  <si>
    <t>SPRDBDORAGRU03</t>
  </si>
  <si>
    <t>RedHat 5</t>
  </si>
  <si>
    <t>SHOMBDORAGRU01</t>
  </si>
  <si>
    <t>RedHat 6</t>
  </si>
  <si>
    <t>SPRDAPCMSGRU02</t>
  </si>
  <si>
    <t>SPRDBDORAGRU04</t>
  </si>
  <si>
    <t>SPRDAPCMSGRU07</t>
  </si>
  <si>
    <t>SHOMAPCMSGRU02</t>
  </si>
  <si>
    <t>SHOMBDORAGRU02</t>
  </si>
  <si>
    <t>SPRDAPCMSGRU04</t>
  </si>
  <si>
    <t>SPRDAPCMSGRU05</t>
  </si>
  <si>
    <t>SPRDBDORAGRU05</t>
  </si>
  <si>
    <t>SPRDAPBIGRU01</t>
  </si>
  <si>
    <t>SPRDAPECGRU01</t>
  </si>
  <si>
    <t>SPRDAPECGRU02</t>
  </si>
  <si>
    <t>SPRDAPECGRU03</t>
  </si>
  <si>
    <t>SPRDAPPIGRU01</t>
  </si>
  <si>
    <t>SPRDAPSMGRU01</t>
  </si>
  <si>
    <t>SPRDBDORAGRU09</t>
  </si>
  <si>
    <t>SPRDAPBIGRU02</t>
  </si>
  <si>
    <t>SPRDAPECGRU04</t>
  </si>
  <si>
    <t>SPRDAPECGRU05</t>
  </si>
  <si>
    <t>SPRDAPECGRU06</t>
  </si>
  <si>
    <t>SPRDAPPIGRU02</t>
  </si>
  <si>
    <t>SPRDAPSMGRU02</t>
  </si>
  <si>
    <t>SPRDBDORAGRU11</t>
  </si>
  <si>
    <t>SPRDBDORAGRU12</t>
  </si>
  <si>
    <t>RedHat 7</t>
  </si>
  <si>
    <t>SPRDAPCMSGRU06</t>
  </si>
  <si>
    <t>RedHat 8</t>
  </si>
  <si>
    <t>SPRDAPCMSGRU08</t>
  </si>
  <si>
    <t>SPRDAPSSHGRU01</t>
  </si>
  <si>
    <t>Ubuntu Linux (64-bit)</t>
  </si>
  <si>
    <t>SPRDAPMSGRU01</t>
  </si>
  <si>
    <t>Windows</t>
  </si>
  <si>
    <t>Windows Server 2008 R2 Enterprise</t>
  </si>
  <si>
    <t>SPRDAPMSGRU02</t>
  </si>
  <si>
    <t>SPRDADGRU01</t>
  </si>
  <si>
    <t>ENCLOSURE4-JR6MCY1</t>
  </si>
  <si>
    <t>SPRDAPBMSGRUB_O</t>
  </si>
  <si>
    <t>Windows Server 2008 R2 Standard</t>
  </si>
  <si>
    <t>SPRDAPBMSGRUA</t>
  </si>
  <si>
    <t>SPRDAPOPCGRUB</t>
  </si>
  <si>
    <t>SPRDSQLGRU10</t>
  </si>
  <si>
    <t>Windows Server 2012 R2 Datacenter</t>
  </si>
  <si>
    <t>SPRDSQLGRU11</t>
  </si>
  <si>
    <t>SPRDAPBPGRU02</t>
  </si>
  <si>
    <t>Windows Server 2012 R2 Standard</t>
  </si>
  <si>
    <t>SPRDAPBKPGRU02</t>
  </si>
  <si>
    <t>SPRDAPBKPGRU01</t>
  </si>
  <si>
    <t>SPRDCCTVGRU08</t>
  </si>
  <si>
    <t>TPS3</t>
  </si>
  <si>
    <t>SPRDCCTVGRU10</t>
  </si>
  <si>
    <t>SPRDAPDMZGRU01</t>
  </si>
  <si>
    <t>Windows Server 2019 Datacenter</t>
  </si>
  <si>
    <t>SPRDCCTVGRU01</t>
  </si>
  <si>
    <t>SPRDCCTVGRU20</t>
  </si>
  <si>
    <t>SPRDCCTVGRU21</t>
  </si>
  <si>
    <t>SPRDCCTVGRU02</t>
  </si>
  <si>
    <t>Windows Server 2019 Standard</t>
  </si>
  <si>
    <t>SPRDCCTVGRU05</t>
  </si>
  <si>
    <t>SPRDCCTVGRU07</t>
  </si>
  <si>
    <t>SPRDCCTVGRU09</t>
  </si>
  <si>
    <t>SPRDCCTVGRU11</t>
  </si>
  <si>
    <t>SPRDCCTVGRU25</t>
  </si>
  <si>
    <t>SPRDCCTVGRU26</t>
  </si>
  <si>
    <t>SPRDCCTVGRU28</t>
  </si>
  <si>
    <t>SPRDCCTVGRU29</t>
  </si>
  <si>
    <t>SPRDCCTVGRU30</t>
  </si>
  <si>
    <t>SPRDCCTVGRU31</t>
  </si>
  <si>
    <t>SPRDTSQGRU01</t>
  </si>
  <si>
    <t>Windows Server 2022 Standard</t>
  </si>
  <si>
    <t>SPRDAPSSAGRU01</t>
  </si>
  <si>
    <t>CentOS 7 (64-bit)</t>
  </si>
  <si>
    <t>Virtual</t>
  </si>
  <si>
    <t>SPRDSIEM01</t>
  </si>
  <si>
    <t>Debian GNU/Linux 10 (64-bit)</t>
  </si>
  <si>
    <t>SPRDSIEM02</t>
  </si>
  <si>
    <t>SPRDAPINSGRU01</t>
  </si>
  <si>
    <t>FreeBSD (64-bit)</t>
  </si>
  <si>
    <t>CCTVGRU20</t>
  </si>
  <si>
    <t>Microsoft Windows Server 2008 R2 (64-bit)</t>
  </si>
  <si>
    <t>SAD2-GRU</t>
  </si>
  <si>
    <t>SFTP1-GRU</t>
  </si>
  <si>
    <t>SPRDADGRU02</t>
  </si>
  <si>
    <t>SPRDAPCADGRU01</t>
  </si>
  <si>
    <t>SPRDAPNAPGRU01</t>
  </si>
  <si>
    <t>SPRDAPPTCAGRU01</t>
  </si>
  <si>
    <t>SPRDAPPVGRU02</t>
  </si>
  <si>
    <t>SSERV1-GRU</t>
  </si>
  <si>
    <t>SSERV1-GRU_2024120945003697</t>
  </si>
  <si>
    <t>SPRDAPDGFGRU02</t>
  </si>
  <si>
    <t>Microsoft Windows Server 2012 (64-bit)</t>
  </si>
  <si>
    <t>SPRDAPDHCPGRU01</t>
  </si>
  <si>
    <t>SPRDAPDHCPGRU02</t>
  </si>
  <si>
    <t>SPRDAPEGTGRU01 - T3 EMB</t>
  </si>
  <si>
    <t>SPRDAPEGTGRU02 - T2 EMB</t>
  </si>
  <si>
    <t>SPRDAPEGTGRU03 - T3 DES</t>
  </si>
  <si>
    <t>SPRDAPEGTGRU04 - T2 DES</t>
  </si>
  <si>
    <t>SPRDAPEGTGRU05</t>
  </si>
  <si>
    <t>SPRDAPEGTGRU06</t>
  </si>
  <si>
    <t>SPRDAPIMCGRU01</t>
  </si>
  <si>
    <t>SPRDAPRDGGRU01</t>
  </si>
  <si>
    <t>SPRDAPRPGRU08</t>
  </si>
  <si>
    <t>SPRDAPSAPGRU01</t>
  </si>
  <si>
    <t>SPRDSKDCGRU01</t>
  </si>
  <si>
    <t>Microsoft Windows Server 2016 (64-bit)</t>
  </si>
  <si>
    <t>SPRDSKDCGRU02</t>
  </si>
  <si>
    <t>SPRDSKESBGRU01</t>
  </si>
  <si>
    <t>Windows Server 2019 (64-bit)</t>
  </si>
  <si>
    <t>SPRDSKPPCGRU01</t>
  </si>
  <si>
    <t>SPRDSKPPCGRU02</t>
  </si>
  <si>
    <t>SPRDSKPPCGRU03</t>
  </si>
  <si>
    <t>SPRDSKPPCGRU04</t>
  </si>
  <si>
    <t>SPRDSKPPCGRU05</t>
  </si>
  <si>
    <t>SPRDSKPPCGRU06</t>
  </si>
  <si>
    <t>SPRDSKPPCGRU07</t>
  </si>
  <si>
    <t>SPRDSKPPCGRU09</t>
  </si>
  <si>
    <t>SPRDSKPPCGRU10</t>
  </si>
  <si>
    <t>SPRDSKPPCGRU11</t>
  </si>
  <si>
    <t>SPRDSKPPCGRU12</t>
  </si>
  <si>
    <t>SPRDSKPPCGRU13</t>
  </si>
  <si>
    <t>SPRDSKPPCGRU14</t>
  </si>
  <si>
    <t>SPRDSKPPCGRU15</t>
  </si>
  <si>
    <t>SPRDSKPPCGRU16</t>
  </si>
  <si>
    <t>PRDSQLSC020</t>
  </si>
  <si>
    <t>SPRDADGRU03</t>
  </si>
  <si>
    <t>SPRDAPAUDGRU01</t>
  </si>
  <si>
    <t>Windows server 2019</t>
  </si>
  <si>
    <t>SPRDAPBCCGRU01</t>
  </si>
  <si>
    <t>SPRDAPBCCGRU02</t>
  </si>
  <si>
    <t>SPRDAPBENGRU01</t>
  </si>
  <si>
    <t>SPRDAPCCGRU03</t>
  </si>
  <si>
    <t>SPRDAPCONVGRU01</t>
  </si>
  <si>
    <t>SPRDAPEDIGRU01</t>
  </si>
  <si>
    <t>SPRDAPESBGRU08</t>
  </si>
  <si>
    <t>SPRDAPESBGRU12</t>
  </si>
  <si>
    <t>Windows Server 2022</t>
  </si>
  <si>
    <t>SPRDAPFSGRU01</t>
  </si>
  <si>
    <t>SPRDAPHSEGRU01</t>
  </si>
  <si>
    <t>SPRDAPHSEGRU02</t>
  </si>
  <si>
    <t>SPRDAPINVGRU01</t>
  </si>
  <si>
    <t>SPRDAPINVGRU02</t>
  </si>
  <si>
    <t>SPRDAPINVGRU03</t>
  </si>
  <si>
    <t>SPRDAPINVGRU04</t>
  </si>
  <si>
    <t>SPRDAPINVGRU07</t>
  </si>
  <si>
    <t>SPRDAPLGGRU01</t>
  </si>
  <si>
    <t>SPRDAPLGGRU03</t>
  </si>
  <si>
    <t>SPRDAPRADGRU01</t>
  </si>
  <si>
    <t>SPRDAPSAFGRU02</t>
  </si>
  <si>
    <t>SPRDAPTSGRU03</t>
  </si>
  <si>
    <t>SPRDAPTSGRU04</t>
  </si>
  <si>
    <t>SPRDAZADGRU01</t>
  </si>
  <si>
    <t>SPRDBDHSQLGRU06</t>
  </si>
  <si>
    <t>SPRDSKDAUGRU02</t>
  </si>
  <si>
    <t>SPRDSKPPCGRU08</t>
  </si>
  <si>
    <t>SPRDVCBKPGRU01</t>
  </si>
  <si>
    <t>SPRDVCHSEGRU03</t>
  </si>
  <si>
    <t>SPRDWBBENGRU01</t>
  </si>
  <si>
    <t>SPRDADGRU04</t>
  </si>
  <si>
    <t>Microsoft Windows Server 2016 or later (64-bit)</t>
  </si>
  <si>
    <t>SPRDAPILMTGRU02</t>
  </si>
  <si>
    <t>SPRDAPJPGRU02</t>
  </si>
  <si>
    <t>SPRDAPJPGRUXX</t>
  </si>
  <si>
    <t>SPRDAPBCBPGRU01</t>
  </si>
  <si>
    <t>Microsoft Windows Server 2019 (64-bit)</t>
  </si>
  <si>
    <t>SPRDAPBCBPGRU02</t>
  </si>
  <si>
    <t>SPRDAPBCBPGRU03</t>
  </si>
  <si>
    <t>SPRDAPBCBPGRU04</t>
  </si>
  <si>
    <t>SPRDAPEDI7GRU01</t>
  </si>
  <si>
    <t>SPRDAPHSEGRU06</t>
  </si>
  <si>
    <t>SPRDAPJPGRU03</t>
  </si>
  <si>
    <t>SPRDAPJPGRU04</t>
  </si>
  <si>
    <t>SPRDAPJPGRU05</t>
  </si>
  <si>
    <t>SPRDAPPEAGRU01</t>
  </si>
  <si>
    <t>SPRDSKSQLGRU01</t>
  </si>
  <si>
    <t>SPRDSQL021</t>
  </si>
  <si>
    <t>SPRDSQLCBEGRU01_REMOVER_16_09</t>
  </si>
  <si>
    <t>SPRDSQLLGGRU02</t>
  </si>
  <si>
    <t>SPRDVCAMSGRU01</t>
  </si>
  <si>
    <t>SPRDVCAMSGRU02</t>
  </si>
  <si>
    <t>SPRDVCAPVGRU01</t>
  </si>
  <si>
    <t>SPRDVCRMQGRU01</t>
  </si>
  <si>
    <t>SPRDVCRPTGRU01</t>
  </si>
  <si>
    <t>SPRDVCSQLGRU06</t>
  </si>
  <si>
    <t>SPRDVCSQLGRU07</t>
  </si>
  <si>
    <t>SPRDVCWEBGRU01</t>
  </si>
  <si>
    <t>SPRDVCWEBGRU02</t>
  </si>
  <si>
    <t>SPRDAPDIPGRU01</t>
  </si>
  <si>
    <t>Oracle Linux 9 (64-bit)</t>
  </si>
  <si>
    <t>SPRDAPNLBGRU01</t>
  </si>
  <si>
    <t>Oracle Solaris 10 (64-bit)</t>
  </si>
  <si>
    <t>SPRDAPNLBGRU02</t>
  </si>
  <si>
    <t>SPRDVCCHOGRU01</t>
  </si>
  <si>
    <t>SUSE Linux Enterprise 12 (64-bit)</t>
  </si>
  <si>
    <t>SPRDVCSCGGRU01</t>
  </si>
  <si>
    <t>Other (32-bit)</t>
  </si>
  <si>
    <t>SPRDAPEVFWGRU01</t>
  </si>
  <si>
    <t>Other (64-bit)</t>
  </si>
  <si>
    <t>SPRDAPSMSGRU02</t>
  </si>
  <si>
    <t>sprdvcsagru01</t>
  </si>
  <si>
    <t>Other 3.x or later Linux (64-bit)</t>
  </si>
  <si>
    <t>SPRDAPSSGRU01</t>
  </si>
  <si>
    <t>Debian GNU/Linux 11 (64-bit)</t>
  </si>
  <si>
    <t>SPRDAPSSGRU02</t>
  </si>
  <si>
    <t>sprdvxrmgru01</t>
  </si>
  <si>
    <t>SUSE Linux Enterprise 15 (64-bit)</t>
  </si>
  <si>
    <t>SPRDAPNBKGRU01</t>
  </si>
  <si>
    <t>SPRDSAPNASGRU01</t>
  </si>
  <si>
    <t>PRDRMADS02</t>
  </si>
  <si>
    <t>SPRDAPCCPRGRU01</t>
  </si>
  <si>
    <t>SPRDAPCCPRGRU02</t>
  </si>
  <si>
    <t>SPRDAPCUPSGRU03</t>
  </si>
  <si>
    <t>RedHat 9</t>
  </si>
  <si>
    <t>SPRDAPCUPSGRU04</t>
  </si>
  <si>
    <t>SPRDAPIHSGRU01</t>
  </si>
  <si>
    <t>SPRDAPIHSGRU02</t>
  </si>
  <si>
    <t>SPRDAPIHSGRU03</t>
  </si>
  <si>
    <t>SPRDAPNFSGRU01</t>
  </si>
  <si>
    <t>SPRDAPRPGRU14</t>
  </si>
  <si>
    <t>SPRDAPRPGRU15</t>
  </si>
  <si>
    <t>SPRDAPNMCGRU01</t>
  </si>
  <si>
    <t>SPRDAPNTWSGRU01</t>
  </si>
  <si>
    <t>SPRDAPPOSTGRU01</t>
  </si>
  <si>
    <t>SPRDAPVPRGRU01</t>
  </si>
  <si>
    <t>SPRDAPVPRGRU02</t>
  </si>
  <si>
    <t>SPRDAPGFNGRU02</t>
  </si>
  <si>
    <t>SPRDAPRMAGRU04</t>
  </si>
  <si>
    <t>SPRDAPRPGRU03</t>
  </si>
  <si>
    <t>SPRDAPRPGRU04</t>
  </si>
  <si>
    <t>SPRDAPRPGRU09</t>
  </si>
  <si>
    <t>SPRDAPRPGRU10</t>
  </si>
  <si>
    <t>SPRDAPRPGRU12</t>
  </si>
  <si>
    <t>SPRDBDOTRSGRU01</t>
  </si>
  <si>
    <t>SPRDMYSQLGRU03</t>
  </si>
  <si>
    <t>SPRDNTDGRU03</t>
  </si>
  <si>
    <t>SPRDOTRSGRU01</t>
  </si>
  <si>
    <t>SPRDVCWKIGRU01</t>
  </si>
  <si>
    <t>SPRDZBGRU01</t>
  </si>
  <si>
    <t>SPRDZBGRU02</t>
  </si>
  <si>
    <t>SPRDZBGRU03</t>
  </si>
  <si>
    <t>SPRDZBGRU04</t>
  </si>
  <si>
    <t>SPRDZBGRU05</t>
  </si>
  <si>
    <t>SPRDAPCSCOGRU02</t>
  </si>
  <si>
    <t>CentOS 4/5 or later (32-bit)</t>
  </si>
  <si>
    <t>Vmware 6.5</t>
  </si>
  <si>
    <t>SPRDAPCLTGRU02</t>
  </si>
  <si>
    <t>CentOS 4/5 or later (64-bit)</t>
  </si>
  <si>
    <t>SPRDAPCUPSGRU01</t>
  </si>
  <si>
    <t>SPRDAPCUPSGRU02</t>
  </si>
  <si>
    <t>SPRDAPLOGSGRU01</t>
  </si>
  <si>
    <t>SPRDBDDACGRU01</t>
  </si>
  <si>
    <t>SPRDMYSQLGRU02</t>
  </si>
  <si>
    <t>SPRDAPOCSGRU01</t>
  </si>
  <si>
    <t>SPRDAPCCGRU04</t>
  </si>
  <si>
    <t>Microsoft Windows 10 (64-bit)</t>
  </si>
  <si>
    <t>SPRDAPSLVGRU01</t>
  </si>
  <si>
    <t>SPRDCFGEXTGRU01</t>
  </si>
  <si>
    <t>S-GRAN247</t>
  </si>
  <si>
    <t>Microsoft Windows 7 (32-bit)</t>
  </si>
  <si>
    <t>SPRDAPHHGRU01</t>
  </si>
  <si>
    <t>SVEDI2-GRU</t>
  </si>
  <si>
    <t>GRU-VMSLOT-AMS</t>
  </si>
  <si>
    <t>Microsoft Windows 7 (64-bit)</t>
  </si>
  <si>
    <t>GRU-CCURE-01</t>
  </si>
  <si>
    <t>Microsoft Windows 8 (64-bit)</t>
  </si>
  <si>
    <t>SADGUESTGRU01</t>
  </si>
  <si>
    <t>SAPL2-GRU</t>
  </si>
  <si>
    <t>SDESAPMNTGRU01</t>
  </si>
  <si>
    <t>SHOMAPAMSGRU01</t>
  </si>
  <si>
    <t>SHOMAPAMSGRU02</t>
  </si>
  <si>
    <t>SHOMAPITLGRU01</t>
  </si>
  <si>
    <t>SHOMAPPTCAGRU01</t>
  </si>
  <si>
    <t>SHOMINTELI1-GRU</t>
  </si>
  <si>
    <t>SIAS1-GRU-new</t>
  </si>
  <si>
    <t>SINTELI1-GRU</t>
  </si>
  <si>
    <t>SPRDAPACSGRU01</t>
  </si>
  <si>
    <t>SPRDAPAOGRU03</t>
  </si>
  <si>
    <t>SPRDAPAOGRU04</t>
  </si>
  <si>
    <t>SPRDAPBMSGRUB</t>
  </si>
  <si>
    <t>SPRDAPDATGRU01</t>
  </si>
  <si>
    <t>SPRDAPDOCGRU01</t>
  </si>
  <si>
    <t>SPRDAPENVGRU01</t>
  </si>
  <si>
    <t>SPRDAPENVGRU02</t>
  </si>
  <si>
    <t>SPRDAPEVDGRU01</t>
  </si>
  <si>
    <t>SPRDAPEVGRU01</t>
  </si>
  <si>
    <t>SPRDAPFSCCGRU01</t>
  </si>
  <si>
    <t>SPRDAPGEDGRU01</t>
  </si>
  <si>
    <t>SPRDAPGEDGRU02</t>
  </si>
  <si>
    <t>SPRDAPGEDGRU03</t>
  </si>
  <si>
    <t>SPRDAPGEDGRU04</t>
  </si>
  <si>
    <t>SPRDAPIMGRU01</t>
  </si>
  <si>
    <t>SPRDAPIMGRU02</t>
  </si>
  <si>
    <t>SPRDAPINTGRU01</t>
  </si>
  <si>
    <t>SPRDAPMETGRU01</t>
  </si>
  <si>
    <t>SPRDAPMETGRU02</t>
  </si>
  <si>
    <t>SPRDAPMETGRU03</t>
  </si>
  <si>
    <t>SPRDAPMETGRU04</t>
  </si>
  <si>
    <t>SPRDAPMNTGRU02</t>
  </si>
  <si>
    <t>SPRDAPMONGRU02</t>
  </si>
  <si>
    <t>SPRDAPNEPSGRU01</t>
  </si>
  <si>
    <t>SPRDAPOCRGRU01</t>
  </si>
  <si>
    <t>SPRDAPPASGRU01</t>
  </si>
  <si>
    <t>SPRDAPPTCAGRU01_2024080145001934</t>
  </si>
  <si>
    <t>SPRDAPQUAGRU01</t>
  </si>
  <si>
    <t>SPRDAPRVGRU01</t>
  </si>
  <si>
    <t>SPRDAPSCOGRU01</t>
  </si>
  <si>
    <t>SPRDAPSCOGRU02</t>
  </si>
  <si>
    <t>SPRDAPSHPGRU01</t>
  </si>
  <si>
    <t>SPRDAPSTWBGRU01</t>
  </si>
  <si>
    <t>SPRDAPSTWBGRU03</t>
  </si>
  <si>
    <t>SPRDAPWEBGRU01</t>
  </si>
  <si>
    <t>SPRDAPWEBGRU02</t>
  </si>
  <si>
    <t>SPRDAUTGRU02</t>
  </si>
  <si>
    <t>SPRDBDSNAGRU01</t>
  </si>
  <si>
    <t>SPRDCCTVGRU19.gru.local</t>
  </si>
  <si>
    <t>SPRDCCTVGRU22</t>
  </si>
  <si>
    <t>SPRDCCTVGRU23</t>
  </si>
  <si>
    <t>SPRDIAMDATGRU01</t>
  </si>
  <si>
    <t>SPRDPRGGRU02</t>
  </si>
  <si>
    <t>SPRDSQLGRU01_NÂOLIGAR_2024071045001124</t>
  </si>
  <si>
    <t>SPRDSQLGRU02</t>
  </si>
  <si>
    <t>SPRDSQLGRU07</t>
  </si>
  <si>
    <t>SPRDSQLGRU09</t>
  </si>
  <si>
    <t>SSERV1-GRU_13082024</t>
  </si>
  <si>
    <t>SSHAREPOINT2-GRU</t>
  </si>
  <si>
    <t>STESAPPVGRU01</t>
  </si>
  <si>
    <t>SDQOEMCWGRU01</t>
  </si>
  <si>
    <t>SHOMADGRU01</t>
  </si>
  <si>
    <t>SHOMAPAMSWGRU01</t>
  </si>
  <si>
    <t>SPRDACSINV01</t>
  </si>
  <si>
    <t>SPRDAPAGPMGRU01</t>
  </si>
  <si>
    <t>SPRDAPATGRU01</t>
  </si>
  <si>
    <t>SPRDAPATKGRU01</t>
  </si>
  <si>
    <t>SPRDAPBHSGRU01</t>
  </si>
  <si>
    <t>SPRDAPBROGRU01</t>
  </si>
  <si>
    <t>SPRDAPCCGRU01</t>
  </si>
  <si>
    <t>Windows Server 2016 Standard</t>
  </si>
  <si>
    <t>SPRDAPCNIGRU01</t>
  </si>
  <si>
    <t>SPRDAPCNWGRU01</t>
  </si>
  <si>
    <t>SPRDAPCONVGRU03</t>
  </si>
  <si>
    <t>Microsoft Windows Server 2008 (64-bit)</t>
  </si>
  <si>
    <t>SPRDAPCTBGRU01</t>
  </si>
  <si>
    <t>Windows Server 2016 Datacenter</t>
  </si>
  <si>
    <t>SPRDAPDACGRU01</t>
  </si>
  <si>
    <t>SPRDAPDBGRU01</t>
  </si>
  <si>
    <t>SPRDAPDCLGRU01</t>
  </si>
  <si>
    <t>SPRDAPDCLGRU02</t>
  </si>
  <si>
    <t>SPRDAPHDMGRU01</t>
  </si>
  <si>
    <t>SPRDAPMELGRU01</t>
  </si>
  <si>
    <t>SPRDAPMPBXGRU01</t>
  </si>
  <si>
    <t>SPRDAPNTPWGRU01</t>
  </si>
  <si>
    <t>SPRDAPOMEGRU01</t>
  </si>
  <si>
    <t>SPRDAPOMPCGRU01</t>
  </si>
  <si>
    <t>SPRDAPPAVGRU01</t>
  </si>
  <si>
    <t>SPRDAPRPAGRU01</t>
  </si>
  <si>
    <t>SPRDAPSAGRU01</t>
  </si>
  <si>
    <t>SPRDAPSAMGRU01</t>
  </si>
  <si>
    <t>SPRDAPSAMGRU02</t>
  </si>
  <si>
    <t>SPRDAPSATGRU01</t>
  </si>
  <si>
    <t>SPRDAPSGPGRU01</t>
  </si>
  <si>
    <t>SPRDAPVPXGRU01</t>
  </si>
  <si>
    <t>SPRDAPVPXGRU02</t>
  </si>
  <si>
    <t>SPRDAPVPXGRU03</t>
  </si>
  <si>
    <t>SPRDAPVPXGRU04</t>
  </si>
  <si>
    <t>SPRDAPWSGRU02</t>
  </si>
  <si>
    <t>SPRDSAPECFGRU01</t>
  </si>
  <si>
    <t>SPRDSHPINTGRU01</t>
  </si>
  <si>
    <t>SPRDSHPINTGRU02</t>
  </si>
  <si>
    <t>SPRDSHPINTGRU03</t>
  </si>
  <si>
    <t>SPRDSHPINTGRU04</t>
  </si>
  <si>
    <t>SPRDSHPINTGRU05</t>
  </si>
  <si>
    <t>STESAPCLLGRU01</t>
  </si>
  <si>
    <t>SHOMBDCMSGRU01</t>
  </si>
  <si>
    <t>SHOMTEMPGRU01</t>
  </si>
  <si>
    <t>SPRDAPATEGRU01</t>
  </si>
  <si>
    <t>SPRDAPBBGRU01</t>
  </si>
  <si>
    <t>SPRDAPBHSGRU02</t>
  </si>
  <si>
    <t>SPRDAPBHSGRU03</t>
  </si>
  <si>
    <t>SPRDAPBMSGRU02</t>
  </si>
  <si>
    <t>SPRDAPCCGRU03_2024080145001934</t>
  </si>
  <si>
    <t>SPRDAPCONVGRU02</t>
  </si>
  <si>
    <t>SPRDAPCOVGRU01</t>
  </si>
  <si>
    <t>SPRDAPCOVGRU02</t>
  </si>
  <si>
    <t>SPRDAPCTDGRU01</t>
  </si>
  <si>
    <t>SPRDAPESTGRU01</t>
  </si>
  <si>
    <t>SPRDAPETESGRU01</t>
  </si>
  <si>
    <t>SPRDAPFILAGRU01</t>
  </si>
  <si>
    <t>SPRDAPGWBIGRU03</t>
  </si>
  <si>
    <t>SPRDAPIAMGRU05</t>
  </si>
  <si>
    <t>SPRDAPIAMGRU06</t>
  </si>
  <si>
    <t>SPRDAPIAMGRU07</t>
  </si>
  <si>
    <t>SPRDAPIAMGRU08</t>
  </si>
  <si>
    <t>SPRDAPIAMGRU09</t>
  </si>
  <si>
    <t>SPRDAPIAMGRU10</t>
  </si>
  <si>
    <t>SPRDAPIAMGRU11</t>
  </si>
  <si>
    <t>SPRDAPIKNGRU01</t>
  </si>
  <si>
    <t>SPRDAPINVGRU09</t>
  </si>
  <si>
    <t>SPRDAPLGGRU02</t>
  </si>
  <si>
    <t>SPRDAPLGGRU04</t>
  </si>
  <si>
    <t>SPRDAPMDSGRU01</t>
  </si>
  <si>
    <t>SPRDAPMMETRAGRU01</t>
  </si>
  <si>
    <t>SPRDAPMPMGRU01</t>
  </si>
  <si>
    <t>SPRDAPPSGRU03</t>
  </si>
  <si>
    <t>SPRDAPPVGRU03</t>
  </si>
  <si>
    <t>SPRDAPRMIGRU01</t>
  </si>
  <si>
    <t>SPRDAPRPAGRU02</t>
  </si>
  <si>
    <t>SPRDAPRPGRU07</t>
  </si>
  <si>
    <t>SPRDAPSCCMGRU02</t>
  </si>
  <si>
    <t>SPRDAPSCOGRU03</t>
  </si>
  <si>
    <t>SPRDAPSFTPGRU01</t>
  </si>
  <si>
    <t>SPRDAPSTGGRU01</t>
  </si>
  <si>
    <t>SPRDAPSVNGRU01</t>
  </si>
  <si>
    <t>SPRDAPTSGRU01</t>
  </si>
  <si>
    <t>SPRDAPUPSGRU01</t>
  </si>
  <si>
    <t>SPRDBDWMBGRU01</t>
  </si>
  <si>
    <t>SPRDBKPPSTGRU01</t>
  </si>
  <si>
    <t>SPRDIRGRU01</t>
  </si>
  <si>
    <t>SPRDJPBEUMER-01</t>
  </si>
  <si>
    <t>Microsoft Windows Server 2019 DataCenter</t>
  </si>
  <si>
    <t>SPRDSQLGRU14</t>
  </si>
  <si>
    <t>SPRDSQLGRU15</t>
  </si>
  <si>
    <t>SPRDSQLGRU17_2024102145001679_NAO_LIGAR</t>
  </si>
  <si>
    <t>SPRDSQLGRU18</t>
  </si>
  <si>
    <t>SPRDSQLGRU23</t>
  </si>
  <si>
    <t>SPRDSQLGRU24</t>
  </si>
  <si>
    <t>SPRDTSQGRU02</t>
  </si>
  <si>
    <t>SPRDTSQGRU03</t>
  </si>
  <si>
    <t>SPRDVCHSEGRU04</t>
  </si>
  <si>
    <t>SPRDVCHSEGRU05</t>
  </si>
  <si>
    <t>SPRDSKINTGRU01</t>
  </si>
  <si>
    <t>SPRDSKQRCGRU01</t>
  </si>
  <si>
    <t>SHOMAPESBGRU07</t>
  </si>
  <si>
    <t>SPRDAPCSCOGRU01</t>
  </si>
  <si>
    <t>Other 2.6.x Linux (32-bit)</t>
  </si>
  <si>
    <t>SPRDAPCSPGRU01</t>
  </si>
  <si>
    <t>SPRDSCANVUL01</t>
  </si>
  <si>
    <t>CLONE_SQASAPECCGRU01</t>
  </si>
  <si>
    <t>SATI-PF</t>
  </si>
  <si>
    <t>SDESAPNWGRU01</t>
  </si>
  <si>
    <t>SDEVAPECGRU01</t>
  </si>
  <si>
    <t>SDQBDORAGRU01</t>
  </si>
  <si>
    <t>SDQBDORAGRU02</t>
  </si>
  <si>
    <t>SPRDAPDSMGRU01</t>
  </si>
  <si>
    <t>Centos 7</t>
  </si>
  <si>
    <t>SQASAPECGRU01</t>
  </si>
  <si>
    <t>SHOMAPCMSGRU03</t>
  </si>
  <si>
    <t>SHOMAPIHSGRU02</t>
  </si>
  <si>
    <t>SHOMWBCMSGRU01</t>
  </si>
  <si>
    <t>SPRDAPZABGRU02</t>
  </si>
  <si>
    <t>SPRDBDZABGRU02</t>
  </si>
  <si>
    <t>SSP0200</t>
  </si>
  <si>
    <t>SPRDAPVPRGRU03</t>
  </si>
  <si>
    <t>SPRDAPVPRGRU04</t>
  </si>
  <si>
    <t>SPRDAPVPRGRU05</t>
  </si>
  <si>
    <t>SPRDAPVPRGRU06</t>
  </si>
  <si>
    <t>SPRDAPGLPIGRU01</t>
  </si>
  <si>
    <t>SPRDAPGLPIGRU02</t>
  </si>
  <si>
    <t>SPRDAPGRFGRU01</t>
  </si>
  <si>
    <t>SPRDAPPRMGRU01</t>
  </si>
  <si>
    <t>SPRDAPRMAGRU01</t>
  </si>
  <si>
    <t>SPRDAPRMAGRU02</t>
  </si>
  <si>
    <t>SPRDAPRMAGRU03</t>
  </si>
  <si>
    <t>SPRDAPRMAGRU05</t>
  </si>
  <si>
    <t>SPRDAPRPGRU13</t>
  </si>
  <si>
    <t>SPRDAPTSGRU05</t>
  </si>
  <si>
    <t>SPRDAPZBPXGRU01</t>
  </si>
  <si>
    <t>SPRDAPZBPXGRU02</t>
  </si>
  <si>
    <t>SPRDBDOTRSGRU01_2024092345000731 — CLONE</t>
  </si>
  <si>
    <t>SPRDBDOTRSGRU02</t>
  </si>
  <si>
    <t>SPRDMONGRU01</t>
  </si>
  <si>
    <t>SPRDOTRSGRU01_2024092345000731 — CLONE</t>
  </si>
  <si>
    <t>SPRDAPVCSAGRU01</t>
  </si>
  <si>
    <t>VMware Photon OS (64-bit)</t>
  </si>
  <si>
    <t>Unknown 41</t>
  </si>
  <si>
    <t>Inventário Servidores Fevereiro 2025</t>
  </si>
  <si>
    <t>SPRDCCTVGRU31-OLD</t>
  </si>
  <si>
    <t>PFSense 2.7.2</t>
  </si>
  <si>
    <t>TPS2</t>
  </si>
  <si>
    <t>SHOMADGRU02</t>
  </si>
  <si>
    <t>Microsoft Windows Server 2022 (64-bit)</t>
  </si>
  <si>
    <t>SHOMAPBCBPGRU01</t>
  </si>
  <si>
    <t>SHOMAPCMSGRU05</t>
  </si>
  <si>
    <t>SHOMAPRIMAGRU01</t>
  </si>
  <si>
    <t>SHOMFSQUA01</t>
  </si>
  <si>
    <t>Redhat 7</t>
  </si>
  <si>
    <t>SPRDAPCCGRU03_RESTORE</t>
  </si>
  <si>
    <t>SPRDAPCCPRGRU01_RESTORE</t>
  </si>
  <si>
    <t>SPRDAPCCPRGRU02_RESTORE</t>
  </si>
  <si>
    <t>SPRDAPCMSGRU10</t>
  </si>
  <si>
    <t>Windows Server 2022 Datacenter</t>
  </si>
  <si>
    <t>SPRDAPCUPSGRU03_RESTORE</t>
  </si>
  <si>
    <t>SPRDAPCUPSGRU04_RESTORE</t>
  </si>
  <si>
    <t>SPRDAPDHCPGRU02_RESTORE</t>
  </si>
  <si>
    <t>SPRDAPHSEGRU01_RESTORE</t>
  </si>
  <si>
    <t>SPRDAPHSEGRU02_RESTORE</t>
  </si>
  <si>
    <t>SPRDAPLGGRU01_RESTORE</t>
  </si>
  <si>
    <t>SPRDAPLGGRU03_RESTORE</t>
  </si>
  <si>
    <t>SPRDAPOTRSGRU02</t>
  </si>
  <si>
    <t>SPRDAPRPGRU10_RESTORE</t>
  </si>
  <si>
    <t>SPRDBDHSQLGRU07</t>
  </si>
  <si>
    <t>SPRDBDHSQLGRU09</t>
  </si>
  <si>
    <t>SPRDBDHSQLGRU10</t>
  </si>
  <si>
    <t>SPRDSKDAUGRU02_RESTORE</t>
  </si>
  <si>
    <t>SPRDSKESBGRU01_RESTORE</t>
  </si>
  <si>
    <t>SPRDSQLLGGRU02_RESTORE</t>
  </si>
  <si>
    <t>SPRDVCHSEGRU03_RESTORE</t>
  </si>
  <si>
    <t>GRUSPRDCFTV200</t>
  </si>
  <si>
    <t>GRUSPRDCFTV201</t>
  </si>
  <si>
    <t>GRUSPRDCFTV202</t>
  </si>
  <si>
    <t>GRUSPRDCFTV203</t>
  </si>
  <si>
    <t>GRUSPRDCFTV204</t>
  </si>
  <si>
    <t>GRUSPRDCFTV205</t>
  </si>
  <si>
    <t>GRUSPRDCFTV206</t>
  </si>
  <si>
    <t>GRUSPRDCFTV207</t>
  </si>
  <si>
    <t>GRUSPRDCFTV208</t>
  </si>
  <si>
    <t>GRUSPRDCFTV209</t>
  </si>
  <si>
    <t>GRUSPRDCFTV210</t>
  </si>
  <si>
    <t>GRUSPRDCFTV211</t>
  </si>
  <si>
    <t>GRUSPRDCFTV212</t>
  </si>
  <si>
    <t>GRUSPRDCFTV213</t>
  </si>
  <si>
    <t>GRUSPRDCFTV214</t>
  </si>
  <si>
    <t>GRUSPRDCFTV215</t>
  </si>
  <si>
    <t>GRUSPRDCFTV216</t>
  </si>
  <si>
    <t>GRUSPRDCFTV217</t>
  </si>
  <si>
    <t>GRUSPRDCFTV218</t>
  </si>
  <si>
    <t>GRUSPRDCFTV219</t>
  </si>
  <si>
    <t>GRUSPRDCFTV220</t>
  </si>
  <si>
    <t>Inventário Servidores Abril 2025</t>
  </si>
  <si>
    <t xml:space="preserve">Servidores Criados </t>
  </si>
  <si>
    <t>Totais</t>
  </si>
  <si>
    <t>SHOMAPLGGRU01_REMOV...</t>
  </si>
  <si>
    <t>SHOMAPBCBPGRU02</t>
  </si>
  <si>
    <t>SHOMAPLGGRU03_REMOV...</t>
  </si>
  <si>
    <t>SPRDFSQUA01</t>
  </si>
  <si>
    <t>SHOMAPCUPSGRU01</t>
  </si>
  <si>
    <t>SHOMAPGPROGRU01</t>
  </si>
  <si>
    <t>SHOMAPPHPIGRU01</t>
  </si>
  <si>
    <t>SPRDAPZABGRU02_RESTORE</t>
  </si>
  <si>
    <t>Total Criados</t>
  </si>
  <si>
    <t>TP_REDHAT9.4_16102024</t>
  </si>
  <si>
    <t>Total Excluidos</t>
  </si>
  <si>
    <t>TP_UBUNTU_24</t>
  </si>
  <si>
    <t>Outros (Win7, 8, App Linux)</t>
  </si>
  <si>
    <t>SPRDAPCMSM01</t>
  </si>
  <si>
    <t>SPRDAPCMSP01</t>
  </si>
  <si>
    <t>SPRDAPCMSP02</t>
  </si>
  <si>
    <t>SPRDAPCMSP03</t>
  </si>
  <si>
    <t>SPRDAPCMSW01</t>
  </si>
  <si>
    <t>SPRDAPCMSW02</t>
  </si>
  <si>
    <t>SPRDAPRIMAGRU01</t>
  </si>
  <si>
    <t>SPRDBDHSQLGRU12</t>
  </si>
  <si>
    <t>SPRDBDHSQLGRU13</t>
  </si>
  <si>
    <t>SPRDBDHSQLGRU14</t>
  </si>
  <si>
    <t>SPRDBDHSQLGRU14_CLONE</t>
  </si>
  <si>
    <t>Comparação</t>
  </si>
  <si>
    <t>SHOMAPLGGRU01_REMOVER_05_05_25</t>
  </si>
  <si>
    <t>SHOMAPLGGRU03_REMOVER_05_05_25</t>
  </si>
  <si>
    <t>Inventário Servidores Maio 2025</t>
  </si>
  <si>
    <t>SPRDSKDCGRU01_RESTORE</t>
  </si>
  <si>
    <t>SPRDAPPTCAGRU01_202..</t>
  </si>
  <si>
    <t>SPRDSKDCGRU02_RESTORE</t>
  </si>
  <si>
    <t>SPRDSKPPCGRU10_RESTORE</t>
  </si>
  <si>
    <t>SHOMAPLGGRU01_REM..</t>
  </si>
  <si>
    <t>SPRDAPIHSGRU01_RESTORE</t>
  </si>
  <si>
    <t>SPRDAPCCGRU03_202..</t>
  </si>
  <si>
    <t>SHOMAPPOSTGRU01</t>
  </si>
  <si>
    <t>SHOMAPCUPSGRU01_RESTORE</t>
  </si>
  <si>
    <t>SPRDAPVPRGRU07</t>
  </si>
  <si>
    <t>SPRDSQLGRU23_REMOV...</t>
  </si>
  <si>
    <t>SPRDSQLGRU24_REMOV...</t>
  </si>
  <si>
    <t>SHOMAPLGGRU03_REM..</t>
  </si>
  <si>
    <t>Outros (Win7,8,Appliance,Debian)</t>
  </si>
  <si>
    <t>SHOMADGRU001</t>
  </si>
  <si>
    <t>SHOMADGRU002</t>
  </si>
  <si>
    <t>SPRDSQLCBEGRU01_REMO..</t>
  </si>
  <si>
    <t>SHOMADGRU003</t>
  </si>
  <si>
    <t>SPRDAPSGPAGRU01</t>
  </si>
  <si>
    <t>SSERV1-GRU_2024...</t>
  </si>
  <si>
    <t>SPRDBDHSQLGRU15</t>
  </si>
  <si>
    <t>Versão SO no AD</t>
  </si>
  <si>
    <t>Comparação mês Anterior</t>
  </si>
  <si>
    <t>Comparação mês posterior</t>
  </si>
  <si>
    <t>SPRDAPZABGRU02_2025060345004466_REMOVER_11_06</t>
  </si>
  <si>
    <t>SPRDBDZABGRU02_2025060345004466_REMOVER_11_06</t>
  </si>
  <si>
    <t>SPRDAPZBPXGRU01_2025060345004466_REMOVER_11_06</t>
  </si>
  <si>
    <t>SPRDAPZBPXGRU02_2025060345004466_REMOVER_11_06</t>
  </si>
  <si>
    <t>SPRDSQLGRU23_REMOVER_EM_02_06</t>
  </si>
  <si>
    <t>SPRDSQLGRU24_REMOVER_EM_02_06</t>
  </si>
  <si>
    <t>Windows Server 2012 Standard</t>
  </si>
  <si>
    <t>Windows Server 2012 Datacenter</t>
  </si>
  <si>
    <t>Inventário Servidores Junho 2025</t>
  </si>
  <si>
    <t>SHOMSAPNWGRU01</t>
  </si>
  <si>
    <t>SPRDAPAGPMGRU01_2025060445004428</t>
  </si>
  <si>
    <t>.</t>
  </si>
  <si>
    <t>SPRDAPDSMGRU01_2025060445004428</t>
  </si>
  <si>
    <t>SPRDAPESBGRU08_2025062545007583_VERIFICAR PARA REMOVER EM_07_07_25</t>
  </si>
  <si>
    <t>SPRDAPGFNGRU02_RESTORE</t>
  </si>
  <si>
    <t>SPRDAPNLBGRU01_RESTORE</t>
  </si>
  <si>
    <t>SPRDAPSSP0200</t>
  </si>
  <si>
    <t>SPRDSHPINTGRU04_RESTORE</t>
  </si>
  <si>
    <t>SPRDSKDCGRU01_RESTORE1</t>
  </si>
  <si>
    <t>SPRDWSUSGRU01</t>
  </si>
  <si>
    <t xml:space="preserve"> </t>
  </si>
  <si>
    <t>SPRDAPZABGRU02_2025060...</t>
  </si>
  <si>
    <t>Inventário Servidores Julho 2025</t>
  </si>
  <si>
    <t>SATI-PF_SSP0100</t>
  </si>
  <si>
    <t>SHOMBDGRU11</t>
  </si>
  <si>
    <t>SPRDAPMISP01</t>
  </si>
  <si>
    <t>SPRDAPSPGGRU01</t>
  </si>
  <si>
    <t>SPRDAPSQBGRU01</t>
  </si>
  <si>
    <t>SPRDBDSPGGRU01</t>
  </si>
  <si>
    <t>SPRDSQLGRU17</t>
  </si>
  <si>
    <t>Servidor</t>
  </si>
  <si>
    <t>SIAS1-GRU</t>
  </si>
  <si>
    <t xml:space="preserve"> Ubuntu Linux (64-bit)</t>
  </si>
  <si>
    <t>Inventário Servidores Agosto 2025</t>
  </si>
  <si>
    <t>SHOMADEGTGRU01</t>
  </si>
  <si>
    <t>SHOMDBEGTGRU01</t>
  </si>
  <si>
    <t>SPRDAPBHSGRU01_2025081445001926</t>
  </si>
  <si>
    <t>SPRDAPBHSGRU02_2025081445001926</t>
  </si>
  <si>
    <t>SPRDAPBHSGRU03_2025081445001926</t>
  </si>
  <si>
    <t>SPRDAPBROGRU01_2025081445001926</t>
  </si>
  <si>
    <t>SHOMSATI-PF_SSP0100</t>
  </si>
  <si>
    <t>SPRDSKINTGRU01_20250...</t>
  </si>
  <si>
    <t>SPRDSKQRCGRU01_2025081...</t>
  </si>
  <si>
    <t>SPRDADEGTGRU01</t>
  </si>
  <si>
    <t>SPRDADEGTGRU02</t>
  </si>
  <si>
    <t>SPRDAPADSGRU01</t>
  </si>
  <si>
    <t>SPRDAPADTGRU01</t>
  </si>
  <si>
    <t>SPRDAPDPCGRU01</t>
  </si>
  <si>
    <t>SPRDAPECCGRU07</t>
  </si>
  <si>
    <t>SPRDAPEGTGRU01</t>
  </si>
  <si>
    <t>SPRDAPEGTGRU02</t>
  </si>
  <si>
    <t>SPRDAPIPAMGRU01</t>
  </si>
  <si>
    <t>SPRDAPITSMGRU01</t>
  </si>
  <si>
    <t>SPRDAPMNGGRU01</t>
  </si>
  <si>
    <t>SPRDAPNAGGRU01</t>
  </si>
  <si>
    <t>SPRDAPVMSGRU01</t>
  </si>
  <si>
    <t>SPRDBDITSMGRU01</t>
  </si>
  <si>
    <t>SPRDBDORAGRU13</t>
  </si>
  <si>
    <t>SPRDDBEGTGRU01</t>
  </si>
  <si>
    <t>SPRDDBEGTGRU02</t>
  </si>
  <si>
    <t>SPRDPRXEGTGRU01</t>
  </si>
  <si>
    <t>SPRDPRXEGTGRU02</t>
  </si>
  <si>
    <t>SPRDSKPPCGRU06_RESTORE</t>
  </si>
  <si>
    <t>SPRDSKPPCGRU07_RESTORE</t>
  </si>
  <si>
    <t>SPRDSKPPCGRU08_RESTORE</t>
  </si>
  <si>
    <t>SPRDSKPPCGRU14_RESTORE</t>
  </si>
  <si>
    <t>SPRDSKPPCGRU15_RESTORE</t>
  </si>
  <si>
    <t>SPRDZBGRU03_RESTORE_TESTE</t>
  </si>
  <si>
    <t>Vmare 8.1 HCI</t>
  </si>
  <si>
    <t>Windows 2022 Datacenter</t>
  </si>
  <si>
    <t>Ubuntu 24</t>
  </si>
  <si>
    <t>Ubuntu 16</t>
  </si>
  <si>
    <t>SPRDSKINTGRU01_2025081445001926</t>
  </si>
  <si>
    <t>SPRDSKQRCGRU01_2025081445001926</t>
  </si>
  <si>
    <t>SPRDSTNGRU01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</si>
</sst>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sz val="9"/>
      <color rgb="FF000000"/>
      <name val="Verdana"/>
    </font>
    <font>
      <sz val="14"/>
      <color theme="1"/>
      <name val="Aptos Narrow"/>
      <family val="2"/>
      <scheme val="minor"/>
    </font>
    <font>
      <sz val="16"/>
      <color theme="1"/>
      <name val="Tahoma"/>
    </font>
    <font>
      <b/>
      <sz val="16"/>
      <color theme="3" tint="0.249977111117893"/>
      <name val="Tahoma"/>
    </font>
    <font>
      <b/>
      <sz val="14"/>
      <color theme="1"/>
      <name val="Tahoma"/>
    </font>
    <font>
      <sz val="14"/>
      <color theme="1"/>
      <name val="Tahoma"/>
    </font>
    <font>
      <b/>
      <sz val="12"/>
      <color theme="1"/>
      <name val="Tahoma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8"/>
      <color theme="1"/>
      <name val="Tahoma"/>
    </font>
    <font>
      <b/>
      <sz val="14"/>
      <color theme="7" tint="0.59999389629810485"/>
      <name val="Tahoma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6" fillId="2" borderId="3" xfId="0" applyFont="1" applyFill="1" applyBorder="1"/>
    <xf numFmtId="0" fontId="6" fillId="2" borderId="4" xfId="0" applyFont="1" applyFill="1" applyBorder="1"/>
    <xf numFmtId="0" fontId="7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49" fontId="6" fillId="2" borderId="4" xfId="0" applyNumberFormat="1" applyFont="1" applyFill="1" applyBorder="1"/>
    <xf numFmtId="0" fontId="6" fillId="3" borderId="6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8" fillId="3" borderId="5" xfId="0" applyFont="1" applyFill="1" applyBorder="1"/>
    <xf numFmtId="0" fontId="1" fillId="0" borderId="0" xfId="0" applyFont="1"/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9" fillId="0" borderId="0" xfId="0" quotePrefix="1" applyFont="1"/>
    <xf numFmtId="0" fontId="10" fillId="0" borderId="0" xfId="0" applyFont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6" fillId="3" borderId="13" xfId="0" applyFont="1" applyFill="1" applyBorder="1"/>
    <xf numFmtId="0" fontId="6" fillId="3" borderId="14" xfId="0" applyFont="1" applyFill="1" applyBorder="1"/>
    <xf numFmtId="0" fontId="6" fillId="3" borderId="15" xfId="0" applyFon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0" fontId="6" fillId="3" borderId="18" xfId="0" applyFont="1" applyFill="1" applyBorder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24" xfId="0" applyFont="1" applyFill="1" applyBorder="1"/>
    <xf numFmtId="0" fontId="6" fillId="3" borderId="25" xfId="0" applyFont="1" applyFill="1" applyBorder="1"/>
    <xf numFmtId="0" fontId="6" fillId="3" borderId="26" xfId="0" applyFont="1" applyFill="1" applyBorder="1"/>
    <xf numFmtId="0" fontId="12" fillId="3" borderId="24" xfId="0" applyFont="1" applyFill="1" applyBorder="1"/>
    <xf numFmtId="0" fontId="0" fillId="5" borderId="0" xfId="0" applyFill="1"/>
    <xf numFmtId="0" fontId="13" fillId="5" borderId="0" xfId="0" applyFont="1" applyFill="1"/>
    <xf numFmtId="0" fontId="6" fillId="3" borderId="27" xfId="0" applyFont="1" applyFill="1" applyBorder="1"/>
    <xf numFmtId="0" fontId="12" fillId="3" borderId="28" xfId="0" applyFont="1" applyFill="1" applyBorder="1"/>
    <xf numFmtId="0" fontId="14" fillId="0" borderId="0" xfId="0" applyFont="1"/>
    <xf numFmtId="49" fontId="1" fillId="0" borderId="0" xfId="0" applyNumberFormat="1" applyFont="1" applyAlignment="1">
      <alignment horizontal="left"/>
    </xf>
    <xf numFmtId="0" fontId="12" fillId="3" borderId="26" xfId="0" applyFont="1" applyFill="1" applyBorder="1"/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CF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4" name="Tabela135" displayName="Tabela135" ref="A1:F451" totalsRowShown="0" headerRowDxfId="13" dataDxfId="12">
  <autoFilter ref="A1:F451"/>
  <sortState ref="A2:F449">
    <sortCondition ref="E1:E449"/>
  </sortState>
  <tableColumns count="6">
    <tableColumn id="1" name="Servidor " dataDxfId="11"/>
    <tableColumn id="2" name="Status" dataDxfId="10"/>
    <tableColumn id="4" name="Tipo SO" dataDxfId="9"/>
    <tableColumn id="5" name="Versão SO" dataDxfId="8"/>
    <tableColumn id="12" name="Fisico/Virtual" dataDxfId="7"/>
    <tableColumn id="9" name="Local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N38"/>
  <sheetViews>
    <sheetView showGridLines="0" showRowColHeaders="0" topLeftCell="A10" zoomScaleNormal="100" workbookViewId="0">
      <selection activeCell="H33" sqref="H3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9.09765625" style="3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49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2" t="s">
        <v>1</v>
      </c>
      <c r="C4" s="53"/>
      <c r="D4" s="4"/>
      <c r="E4" s="52" t="s">
        <v>2</v>
      </c>
      <c r="F4" s="53"/>
      <c r="G4" s="4"/>
      <c r="H4" s="52" t="s">
        <v>3</v>
      </c>
      <c r="I4" s="53"/>
      <c r="K4" s="52" t="s">
        <v>4</v>
      </c>
      <c r="L4" s="53"/>
    </row>
    <row r="5" spans="2:12">
      <c r="B5" s="5" t="s">
        <v>5</v>
      </c>
      <c r="C5" s="6">
        <f>COUNTIFS(INVENTÁRIO_01_2025!C:C,"Linux",INVENTÁRIO_01_2025!E:E,"Virtual")</f>
        <v>100</v>
      </c>
      <c r="D5" s="7"/>
      <c r="E5" s="5" t="s">
        <v>6</v>
      </c>
      <c r="F5" s="6">
        <f>COUNTIFS(INVENTÁRIO_01_2025!C:C,"Linux",INVENTÁRIO_01_2025!E:E,"Fisico")</f>
        <v>49</v>
      </c>
      <c r="G5" s="7"/>
      <c r="H5" s="5" t="s">
        <v>5</v>
      </c>
      <c r="I5" s="6">
        <f>COUNTIFS(INVENTÁRIO_01_2025!C:C,"Windows",INVENTÁRIO_01_2025!E:E,"Virtual")</f>
        <v>272</v>
      </c>
      <c r="K5" s="5" t="s">
        <v>6</v>
      </c>
      <c r="L5" s="6">
        <f>COUNTIFS(INVENTÁRIO_01_2025!C:C,"Windows",INVENTÁRIO_01_2025!E:E,"Fisico")</f>
        <v>29</v>
      </c>
    </row>
    <row r="6" spans="2:12">
      <c r="B6" s="5" t="s">
        <v>7</v>
      </c>
      <c r="C6" s="6">
        <f>COUNTIFS(INVENTÁRIO_01_2025!B:B,"poweredOff",INVENTÁRIO_01_2025!C:C,"Linux",INVENTÁRIO_01_2025!E:E,"Virtual")</f>
        <v>10</v>
      </c>
      <c r="D6" s="7"/>
      <c r="E6" s="5" t="s">
        <v>7</v>
      </c>
      <c r="F6" s="6">
        <f>COUNTIFS(INVENTÁRIO_01_2025!B:B,"poweredOff",INVENTÁRIO_01_2025!C:C,"Linux",INVENTÁRIO_01_2025!E:E,"Fisico")</f>
        <v>4</v>
      </c>
      <c r="G6" s="7"/>
      <c r="H6" s="5" t="s">
        <v>7</v>
      </c>
      <c r="I6" s="6">
        <f>COUNTIFS(INVENTÁRIO_01_2025!B:B,"poweredOff",INVENTÁRIO_01_2025!C:C,"Windows",INVENTÁRIO_01_2025!E:E,"Virtual")</f>
        <v>19</v>
      </c>
      <c r="K6" s="5" t="s">
        <v>7</v>
      </c>
      <c r="L6" s="6">
        <f>COUNTIFS(INVENTÁRIO_01_2025!B:B,"poweredOff",INVENTÁRIO_01_2025!C:C,"Windows",INVENTÁRIO_01_2025!E:E,"Fisico")</f>
        <v>7</v>
      </c>
    </row>
    <row r="7" spans="2:12">
      <c r="B7" s="5" t="s">
        <v>8</v>
      </c>
      <c r="C7" s="6">
        <f>COUNTIFS(INVENTÁRIO_01_2025!B:B,"poweredOn",INVENTÁRIO_01_2025!C:C,"Linux",INVENTÁRIO_01_2025!E:E,"Virtual")</f>
        <v>90</v>
      </c>
      <c r="D7" s="7"/>
      <c r="E7" s="5" t="s">
        <v>8</v>
      </c>
      <c r="F7" s="6">
        <f>COUNTIFS(INVENTÁRIO_01_2025!B:B,"poweredOn",INVENTÁRIO_01_2025!C:C,"Linux",INVENTÁRIO_01_2025!E:E,"Fisico")</f>
        <v>45</v>
      </c>
      <c r="G7" s="7"/>
      <c r="H7" s="5" t="s">
        <v>8</v>
      </c>
      <c r="I7" s="6">
        <f>COUNTIFS(INVENTÁRIO_01_2025!B:B,"poweredOn",INVENTÁRIO_01_2025!C:C,"Windows",INVENTÁRIO_01_2025!E:E,"Virtual")</f>
        <v>253</v>
      </c>
      <c r="K7" s="5" t="s">
        <v>8</v>
      </c>
      <c r="L7" s="6">
        <f>COUNTIFS(INVENTÁRIO_01_2025!B:B,"poweredOn",INVENTÁRIO_01_2025!C:C,"Windows",INVENTÁRIO_01_2025!E:E,"Fisico")</f>
        <v>22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COUNTIFS(INVENTÁRIO_01_2025!C:C,"Linux",INVENTÁRIO_01_2025!D:D,"*RedHat 9*",INVENTÁRIO_01_2025!E:E,"Virtual")</f>
        <v>5</v>
      </c>
      <c r="D9" s="7"/>
      <c r="E9" s="5" t="s">
        <v>9</v>
      </c>
      <c r="F9" s="6">
        <f>COUNTIFS(INVENTÁRIO_01_2025!C:C,"Linux",INVENTÁRIO_01_2025!D:D,"*RedHat 9*",INVENTÁRIO_01_2025!E:E,"Fisico")</f>
        <v>0</v>
      </c>
      <c r="G9" s="7"/>
      <c r="H9" s="5" t="s">
        <v>10</v>
      </c>
      <c r="I9" s="6">
        <f>COUNTIFS(INVENTÁRIO_01_2025!C:C,"Windows",INVENTÁRIO_01_2025!D:D,"*2022*",INVENTÁRIO_01_2025!E:E,"Virtual")</f>
        <v>7</v>
      </c>
      <c r="K9" s="5" t="s">
        <v>10</v>
      </c>
      <c r="L9" s="6">
        <f>COUNTIFS(INVENTÁRIO_01_2025!C:C,"Windows",INVENTÁRIO_01_2025!D:D,"*2022*",INVENTÁRIO_01_2025!E:E,"Fisico")</f>
        <v>1</v>
      </c>
    </row>
    <row r="10" spans="2:12">
      <c r="B10" s="5" t="s">
        <v>11</v>
      </c>
      <c r="C10" s="6">
        <f>COUNTIFS(INVENTÁRIO_01_2025!C:C,"Linux",INVENTÁRIO_01_2025!D:D,"*RedHat 8*",INVENTÁRIO_01_2025!E:E,"Virtual")</f>
        <v>8</v>
      </c>
      <c r="D10" s="7"/>
      <c r="E10" s="5" t="s">
        <v>11</v>
      </c>
      <c r="F10" s="6">
        <f>COUNTIFS(INVENTÁRIO_01_2025!C:C,"Linux",INVENTÁRIO_01_2025!D:D,"*RedHat 8*",INVENTÁRIO_01_2025!E:E,"Fisico")</f>
        <v>2</v>
      </c>
      <c r="G10" s="7"/>
      <c r="H10" s="5" t="s">
        <v>12</v>
      </c>
      <c r="I10" s="6">
        <f>COUNTIFS(INVENTÁRIO_01_2025!C:C,"Windows",INVENTÁRIO_01_2025!D:D,"*2019*",INVENTÁRIO_01_2025!E:E,"Virtual")</f>
        <v>56</v>
      </c>
      <c r="K10" s="5" t="s">
        <v>12</v>
      </c>
      <c r="L10" s="6">
        <f>COUNTIFS(INVENTÁRIO_01_2025!C:C,"Windows",INVENTÁRIO_01_2025!D:D,"*2019*",INVENTÁRIO_01_2025!E:E,"Fisico")</f>
        <v>15</v>
      </c>
    </row>
    <row r="11" spans="2:12">
      <c r="B11" s="5" t="s">
        <v>13</v>
      </c>
      <c r="C11" s="6">
        <f>COUNTIFS(INVENTÁRIO_01_2025!C:C,"Linux",INVENTÁRIO_01_2025!D:D,"*RedHat 7*",INVENTÁRIO_01_2025!E:E,"Virtual")</f>
        <v>8</v>
      </c>
      <c r="D11" s="7"/>
      <c r="E11" s="5" t="s">
        <v>13</v>
      </c>
      <c r="F11" s="6">
        <f>COUNTIFS(INVENTÁRIO_01_2025!C:C,"Linux",INVENTÁRIO_01_2025!D:D,"*RedHat 7*",INVENTÁRIO_01_2025!E:E,"Fisico")</f>
        <v>1</v>
      </c>
      <c r="G11" s="7"/>
      <c r="H11" s="5" t="s">
        <v>14</v>
      </c>
      <c r="I11" s="6">
        <f>COUNTIFS(INVENTÁRIO_01_2025!C:C,"Windows",INVENTÁRIO_01_2025!D:D,"*2016*",INVENTÁRIO_01_2025!E:E,"Virtual")</f>
        <v>78</v>
      </c>
      <c r="K11" s="5" t="s">
        <v>14</v>
      </c>
      <c r="L11" s="6">
        <f>COUNTIFS(INVENTÁRIO_01_2025!C:C,"Windows",INVENTÁRIO_01_2025!D:D,"*2016*",INVENTÁRIO_01_2025!E:E,"Fisico")</f>
        <v>0</v>
      </c>
    </row>
    <row r="12" spans="2:12">
      <c r="B12" s="5" t="s">
        <v>15</v>
      </c>
      <c r="C12" s="6">
        <f>COUNTIFS(INVENTÁRIO_01_2025!C:C,"Linux",INVENTÁRIO_01_2025!D:D,"*RedHat 6*",INVENTÁRIO_01_2025!E:E,"Virtual")</f>
        <v>10</v>
      </c>
      <c r="D12" s="7"/>
      <c r="E12" s="5" t="s">
        <v>15</v>
      </c>
      <c r="F12" s="6">
        <f>COUNTIFS(INVENTÁRIO_01_2025!C:C,"Linux",INVENTÁRIO_01_2025!D:D,"*RedHat 6*",INVENTÁRIO_01_2025!E:E,"Fisico")</f>
        <v>23</v>
      </c>
      <c r="G12" s="7"/>
      <c r="H12" s="5" t="s">
        <v>16</v>
      </c>
      <c r="I12" s="6">
        <f>COUNTIFS(INVENTÁRIO_01_2025!C:C,"Windows",INVENTÁRIO_01_2025!D:D,"*2012*",INVENTÁRIO_01_2025!E:E,"Virtual")</f>
        <v>51</v>
      </c>
      <c r="K12" s="5" t="s">
        <v>16</v>
      </c>
      <c r="L12" s="6">
        <f>COUNTIFS(INVENTÁRIO_01_2025!C:C,"Windows",INVENTÁRIO_01_2025!D:D,"*2012*",INVENTÁRIO_01_2025!E:E,"Fisico")</f>
        <v>7</v>
      </c>
    </row>
    <row r="13" spans="2:12">
      <c r="B13" s="5" t="s">
        <v>17</v>
      </c>
      <c r="C13" s="6">
        <f>COUNTIFS(INVENTÁRIO_01_2025!C:C,"Linux",INVENTÁRIO_01_2025!D:D,"*RedHat 5*",INVENTÁRIO_01_2025!E:E,"Virtual")</f>
        <v>1</v>
      </c>
      <c r="D13" s="7"/>
      <c r="E13" s="5" t="s">
        <v>17</v>
      </c>
      <c r="F13" s="6">
        <f>COUNTIFS(INVENTÁRIO_01_2025!C:C,"Linux",INVENTÁRIO_01_2025!D:D,"*RedHat 5*",INVENTÁRIO_01_2025!E:E,"Fisico")</f>
        <v>1</v>
      </c>
      <c r="G13" s="7"/>
      <c r="H13" s="5" t="s">
        <v>18</v>
      </c>
      <c r="I13" s="6">
        <f>COUNTIFS(INVENTÁRIO_01_2025!C:C,"Windows",INVENTÁRIO_01_2025!D:D,"*2008*",INVENTÁRIO_01_2025!E:E,"Virtual")</f>
        <v>72</v>
      </c>
      <c r="K13" s="5" t="s">
        <v>18</v>
      </c>
      <c r="L13" s="6">
        <f>COUNTIFS(INVENTÁRIO_01_2025!C:C,"Windows",INVENTÁRIO_01_2025!D:D,"*2008*",INVENTÁRIO_01_2025!E:E,"Fisico")</f>
        <v>6</v>
      </c>
    </row>
    <row r="14" spans="2:12">
      <c r="B14" s="5" t="s">
        <v>19</v>
      </c>
      <c r="C14" s="6">
        <f>COUNTIFS(INVENTÁRIO_01_2025!C:C,"Linux",INVENTÁRIO_01_2025!D:D,"*Ubuntu*",INVENTÁRIO_01_2025!E:E,"Virtual")</f>
        <v>32</v>
      </c>
      <c r="D14" s="7"/>
      <c r="E14" s="5" t="s">
        <v>19</v>
      </c>
      <c r="F14" s="6">
        <f>COUNTIFS(INVENTÁRIO_01_2025!C:C,"Linux",INVENTÁRIO_01_2025!D:D,"*Ubuntu*",INVENTÁRIO_01_2025!E:E,"Fisico")</f>
        <v>1</v>
      </c>
      <c r="G14" s="7"/>
      <c r="H14" s="5" t="s">
        <v>20</v>
      </c>
      <c r="I14" s="6">
        <f>COUNTIFS(INVENTÁRIO_01_2025!C:C,"Windows",INVENTÁRIO_01_2025!D:D,"*10*",INVENTÁRIO_01_2025!E:E,"Virtual")</f>
        <v>3</v>
      </c>
      <c r="K14" s="5" t="s">
        <v>20</v>
      </c>
      <c r="L14" s="6">
        <f>COUNTIFS(INVENTÁRIO_01_2025!C:C,"Windows",INVENTÁRIO_01_2025!D:D,"*10*",INVENTÁRIO_01_2025!E:E,"Fisico")</f>
        <v>0</v>
      </c>
    </row>
    <row r="15" spans="2:12">
      <c r="B15" s="5" t="s">
        <v>21</v>
      </c>
      <c r="C15" s="6">
        <f>COUNTIFS(INVENTÁRIO_01_2025!C:C,"Linux",INVENTÁRIO_01_2025!D:D,"*Centos*",INVENTÁRIO_01_2025!E:E,"Virtual")</f>
        <v>9</v>
      </c>
      <c r="D15" s="7"/>
      <c r="E15" s="5" t="s">
        <v>21</v>
      </c>
      <c r="F15" s="6">
        <f>COUNTIFS(INVENTÁRIO_01_2025!C:C,"Linux",INVENTÁRIO_01_2025!D:D,"*Centos*",INVENTÁRIO_01_2025!E:E,"Fisico")</f>
        <v>0</v>
      </c>
      <c r="G15" s="7"/>
      <c r="H15" s="5" t="s">
        <v>22</v>
      </c>
      <c r="I15" s="6">
        <f>COUNTIFS(INVENTÁRIO_01_2025!C:C,"Windows",INVENTÁRIO_01_2025!D:D,"*Windows 8*",INVENTÁRIO_01_2025!E:E,"Virtual")</f>
        <v>1</v>
      </c>
      <c r="K15" s="5" t="s">
        <v>22</v>
      </c>
      <c r="L15" s="6">
        <f>COUNTIFS(INVENTÁRIO_01_2025!C:C,"Windows",INVENTÁRIO_01_2025!D:D,"*Windows 8*",INVENTÁRIO_01_2025!E:E,"Fisico")</f>
        <v>0</v>
      </c>
    </row>
    <row r="16" spans="2:12">
      <c r="B16" s="5" t="s">
        <v>23</v>
      </c>
      <c r="C16" s="6">
        <f>COUNTIFS(INVENTÁRIO_01_2025!C:C,"Linux",INVENTÁRIO_01_2025!D:D,"*Debian*",INVENTÁRIO_01_2025!E:E,"Virtual")</f>
        <v>6</v>
      </c>
      <c r="D16" s="7"/>
      <c r="E16" s="5" t="s">
        <v>23</v>
      </c>
      <c r="F16" s="6">
        <f>COUNTIFS(INVENTÁRIO_01_2025!C:C,"Linux",INVENTÁRIO_01_2025!D:D,"*Debian*",INVENTÁRIO_01_2025!E:E,"Fisico")</f>
        <v>0</v>
      </c>
      <c r="G16" s="7"/>
      <c r="H16" s="12" t="s">
        <v>24</v>
      </c>
      <c r="I16" s="13">
        <f>COUNTIFS(INVENTÁRIO_01_2025!C:C,"Windows",INVENTÁRIO_01_2025!D:D,"*7*",INVENTÁRIO_01_2025!E:E,"Virtual")</f>
        <v>4</v>
      </c>
      <c r="K16" s="12" t="s">
        <v>24</v>
      </c>
      <c r="L16" s="13">
        <f>COUNTIFS(INVENTÁRIO_01_2025!C:C,"Windows",INVENTÁRIO_01_2025!D:D,"*7*",INVENTÁRIO_01_2025!E:E,"Fisico")</f>
        <v>0</v>
      </c>
    </row>
    <row r="17" spans="2:12">
      <c r="B17" s="5" t="s">
        <v>25</v>
      </c>
      <c r="C17" s="6">
        <f>COUNTIFS(INVENTÁRIO_01_2025!C:C,"Linux",INVENTÁRIO_01_2025!D:D,"*Suse*",INVENTÁRIO_01_2025!E:E,"Virtual")</f>
        <v>8</v>
      </c>
      <c r="D17" s="7"/>
      <c r="E17" s="5" t="s">
        <v>25</v>
      </c>
      <c r="F17" s="6">
        <f>COUNTIFS(INVENTÁRIO_01_2025!C:C,"Linux",INVENTÁRIO_01_2025!D:D,"*Suse*",INVENTÁRIO_01_2025!E:E,"Fisico")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87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13</v>
      </c>
      <c r="D19" s="7"/>
      <c r="E19" s="12" t="s">
        <v>27</v>
      </c>
      <c r="F19" s="13">
        <f>F5-F18</f>
        <v>21</v>
      </c>
      <c r="G19" s="7"/>
    </row>
    <row r="22" spans="2:12" ht="20.399999999999999">
      <c r="B22" s="52" t="s">
        <v>28</v>
      </c>
      <c r="C22" s="53"/>
      <c r="E22" s="28" t="s">
        <v>29</v>
      </c>
      <c r="F22" s="29"/>
      <c r="H22" s="28" t="s">
        <v>30</v>
      </c>
      <c r="I22" s="29"/>
      <c r="K22" s="52" t="s">
        <v>31</v>
      </c>
      <c r="L22" s="53"/>
    </row>
    <row r="23" spans="2:12">
      <c r="B23" s="8" t="s">
        <v>12</v>
      </c>
      <c r="C23" s="9">
        <f>I10+L10</f>
        <v>71</v>
      </c>
      <c r="E23" s="22"/>
      <c r="F23" s="23"/>
      <c r="H23" s="22"/>
      <c r="I23" s="23"/>
      <c r="K23" s="8" t="s">
        <v>32</v>
      </c>
      <c r="L23" s="9">
        <f>L25+L24</f>
        <v>450</v>
      </c>
    </row>
    <row r="24" spans="2:12">
      <c r="B24" s="8" t="s">
        <v>14</v>
      </c>
      <c r="C24" s="9">
        <f>I11</f>
        <v>78</v>
      </c>
      <c r="E24" s="24"/>
      <c r="F24" s="25"/>
      <c r="H24" s="24"/>
      <c r="I24" s="25"/>
      <c r="K24" s="8" t="s">
        <v>33</v>
      </c>
      <c r="L24" s="9">
        <f>C5+F5</f>
        <v>149</v>
      </c>
    </row>
    <row r="25" spans="2:12">
      <c r="B25" s="8" t="s">
        <v>18</v>
      </c>
      <c r="C25" s="9">
        <f>I13+L13</f>
        <v>78</v>
      </c>
      <c r="E25" s="24"/>
      <c r="F25" s="25"/>
      <c r="H25" s="24"/>
      <c r="I25" s="25"/>
      <c r="K25" s="8" t="s">
        <v>34</v>
      </c>
      <c r="L25" s="9">
        <f>L5+I5</f>
        <v>301</v>
      </c>
    </row>
    <row r="26" spans="2:12">
      <c r="B26" s="8" t="s">
        <v>16</v>
      </c>
      <c r="C26" s="9">
        <f>I12+L12</f>
        <v>58</v>
      </c>
      <c r="E26" s="24"/>
      <c r="F26" s="25"/>
      <c r="H26" s="24"/>
      <c r="I26" s="25"/>
      <c r="K26" s="8" t="s">
        <v>6</v>
      </c>
      <c r="L26" s="9">
        <f>F5+L5</f>
        <v>78</v>
      </c>
    </row>
    <row r="27" spans="2:12">
      <c r="B27" s="8" t="s">
        <v>35</v>
      </c>
      <c r="C27" s="9">
        <f>C9+C10+C11+C12+C13+F9+F10+F11+F12+F13</f>
        <v>59</v>
      </c>
      <c r="E27" s="24"/>
      <c r="F27" s="25"/>
      <c r="H27" s="24"/>
      <c r="I27" s="25"/>
      <c r="K27" s="8" t="s">
        <v>5</v>
      </c>
      <c r="L27" s="9">
        <f>C5+I5</f>
        <v>372</v>
      </c>
    </row>
    <row r="28" spans="2:12">
      <c r="B28" s="8" t="s">
        <v>36</v>
      </c>
      <c r="C28" s="9">
        <f>C14+F14</f>
        <v>33</v>
      </c>
      <c r="E28" s="24"/>
      <c r="F28" s="25"/>
      <c r="H28" s="24"/>
      <c r="I28" s="25"/>
      <c r="K28" s="8" t="s">
        <v>37</v>
      </c>
      <c r="L28" s="9">
        <f>C7+F7+I7+L7</f>
        <v>410</v>
      </c>
    </row>
    <row r="29" spans="2:12">
      <c r="B29" s="8" t="s">
        <v>38</v>
      </c>
      <c r="C29" s="9">
        <f>C15+F15</f>
        <v>9</v>
      </c>
      <c r="E29" s="26"/>
      <c r="F29" s="27"/>
      <c r="H29" s="26"/>
      <c r="I29" s="27"/>
      <c r="K29" s="8" t="s">
        <v>39</v>
      </c>
      <c r="L29" s="9">
        <f>C6+F6+I6+L6</f>
        <v>40</v>
      </c>
    </row>
    <row r="30" spans="2:12">
      <c r="B30" s="8" t="s">
        <v>40</v>
      </c>
      <c r="C30" s="9">
        <f>C17+F17</f>
        <v>8</v>
      </c>
      <c r="L30" s="7"/>
    </row>
    <row r="31" spans="2:12">
      <c r="B31" s="8" t="s">
        <v>41</v>
      </c>
      <c r="C31" s="9">
        <f>C16+F16</f>
        <v>6</v>
      </c>
      <c r="L31" s="7"/>
    </row>
    <row r="32" spans="2:12">
      <c r="B32" s="14" t="s">
        <v>42</v>
      </c>
      <c r="C32" s="11">
        <f>C19+F19+I14+I15+I16+I9+L9</f>
        <v>50</v>
      </c>
      <c r="L32" s="7"/>
    </row>
    <row r="33" spans="12:14">
      <c r="L33" s="7"/>
    </row>
    <row r="34" spans="12:14">
      <c r="L34" s="7"/>
    </row>
    <row r="35" spans="12:14">
      <c r="L35" s="7"/>
    </row>
    <row r="36" spans="12:14">
      <c r="L36" s="7"/>
    </row>
    <row r="37" spans="12:14">
      <c r="L37" s="7"/>
      <c r="M37" s="7"/>
      <c r="N37" s="7"/>
    </row>
    <row r="38" spans="12:14">
      <c r="L38" s="7"/>
      <c r="M38" s="7"/>
      <c r="N38" s="7"/>
    </row>
  </sheetData>
  <sheetProtection algorithmName="SHA-512" hashValue="xl1cwVslz4jJzZmtfwiH3t3lU/oFxybT9bChAb8rvitDLbDejWIbAIKQqrSLy+TcWSFpRTamOdxdMq9ALBfWHQ==" saltValue="wM9ygXkIHjRvCQYiXH+l2A==" spinCount="100000" sheet="1" objects="1" scenarios="1"/>
  <mergeCells count="7">
    <mergeCell ref="B2:L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51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9" defaultRowHeight="11.4"/>
  <cols>
    <col min="1" max="1" width="27.69921875" style="1" customWidth="1"/>
    <col min="2" max="2" width="17" style="1" customWidth="1"/>
    <col min="3" max="3" width="43.69921875" style="1" bestFit="1" customWidth="1"/>
    <col min="4" max="4" width="39.296875" style="1" bestFit="1" customWidth="1"/>
    <col min="5" max="5" width="17.8984375" style="1" customWidth="1"/>
    <col min="6" max="6" width="22.69921875" style="1" bestFit="1" customWidth="1"/>
    <col min="7" max="16384" width="9" style="1"/>
  </cols>
  <sheetData>
    <row r="1" spans="1:6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s="1" t="s">
        <v>49</v>
      </c>
      <c r="B2" s="1" t="s">
        <v>50</v>
      </c>
      <c r="C2" s="1" t="s">
        <v>51</v>
      </c>
      <c r="D2" s="1" t="s">
        <v>52</v>
      </c>
      <c r="E2" s="17" t="s">
        <v>53</v>
      </c>
      <c r="F2" s="1" t="s">
        <v>54</v>
      </c>
    </row>
    <row r="3" spans="1:6">
      <c r="A3" s="1" t="s">
        <v>55</v>
      </c>
      <c r="B3" s="1" t="s">
        <v>50</v>
      </c>
      <c r="C3" s="1" t="s">
        <v>51</v>
      </c>
      <c r="D3" s="1" t="s">
        <v>52</v>
      </c>
      <c r="E3" s="17" t="s">
        <v>53</v>
      </c>
      <c r="F3" s="1" t="s">
        <v>56</v>
      </c>
    </row>
    <row r="4" spans="1:6">
      <c r="A4" s="1" t="s">
        <v>57</v>
      </c>
      <c r="B4" s="1" t="s">
        <v>50</v>
      </c>
      <c r="C4" s="1" t="s">
        <v>51</v>
      </c>
      <c r="D4" s="1" t="s">
        <v>52</v>
      </c>
      <c r="E4" s="17" t="s">
        <v>53</v>
      </c>
      <c r="F4" s="1" t="s">
        <v>58</v>
      </c>
    </row>
    <row r="5" spans="1:6">
      <c r="A5" s="1" t="s">
        <v>59</v>
      </c>
      <c r="B5" s="1" t="s">
        <v>50</v>
      </c>
      <c r="C5" s="1" t="s">
        <v>51</v>
      </c>
      <c r="D5" s="1" t="s">
        <v>52</v>
      </c>
      <c r="E5" s="17" t="s">
        <v>53</v>
      </c>
      <c r="F5" s="1" t="s">
        <v>58</v>
      </c>
    </row>
    <row r="6" spans="1:6">
      <c r="A6" s="2" t="s">
        <v>60</v>
      </c>
      <c r="B6" s="2" t="s">
        <v>61</v>
      </c>
      <c r="C6" s="2" t="s">
        <v>51</v>
      </c>
      <c r="D6" s="2" t="s">
        <v>62</v>
      </c>
      <c r="E6" s="17" t="s">
        <v>53</v>
      </c>
      <c r="F6" s="2" t="s">
        <v>63</v>
      </c>
    </row>
    <row r="7" spans="1:6">
      <c r="A7" s="2" t="s">
        <v>64</v>
      </c>
      <c r="B7" s="2" t="s">
        <v>61</v>
      </c>
      <c r="C7" s="2" t="s">
        <v>51</v>
      </c>
      <c r="D7" s="2" t="s">
        <v>62</v>
      </c>
      <c r="E7" s="17" t="s">
        <v>53</v>
      </c>
      <c r="F7" s="2" t="s">
        <v>63</v>
      </c>
    </row>
    <row r="8" spans="1:6">
      <c r="A8" s="2" t="s">
        <v>65</v>
      </c>
      <c r="B8" s="2" t="s">
        <v>61</v>
      </c>
      <c r="C8" s="2" t="s">
        <v>51</v>
      </c>
      <c r="D8" s="2" t="s">
        <v>62</v>
      </c>
      <c r="E8" s="17" t="s">
        <v>53</v>
      </c>
      <c r="F8" s="2" t="s">
        <v>63</v>
      </c>
    </row>
    <row r="9" spans="1:6">
      <c r="A9" s="2" t="s">
        <v>66</v>
      </c>
      <c r="B9" s="2" t="s">
        <v>61</v>
      </c>
      <c r="C9" s="2" t="s">
        <v>51</v>
      </c>
      <c r="D9" s="2" t="s">
        <v>62</v>
      </c>
      <c r="E9" s="17" t="s">
        <v>53</v>
      </c>
      <c r="F9" s="2" t="s">
        <v>67</v>
      </c>
    </row>
    <row r="10" spans="1:6">
      <c r="A10" s="2" t="s">
        <v>68</v>
      </c>
      <c r="B10" s="2" t="s">
        <v>61</v>
      </c>
      <c r="C10" s="2" t="s">
        <v>51</v>
      </c>
      <c r="D10" s="2" t="s">
        <v>62</v>
      </c>
      <c r="E10" s="17" t="s">
        <v>53</v>
      </c>
      <c r="F10" s="2" t="s">
        <v>67</v>
      </c>
    </row>
    <row r="11" spans="1:6">
      <c r="A11" s="2" t="s">
        <v>69</v>
      </c>
      <c r="B11" s="2" t="s">
        <v>61</v>
      </c>
      <c r="C11" s="2" t="s">
        <v>51</v>
      </c>
      <c r="D11" s="2" t="s">
        <v>62</v>
      </c>
      <c r="E11" s="17" t="s">
        <v>53</v>
      </c>
      <c r="F11" s="2" t="s">
        <v>67</v>
      </c>
    </row>
    <row r="12" spans="1:6">
      <c r="A12" s="2" t="s">
        <v>70</v>
      </c>
      <c r="B12" s="2" t="s">
        <v>61</v>
      </c>
      <c r="C12" s="2" t="s">
        <v>51</v>
      </c>
      <c r="D12" s="2" t="s">
        <v>62</v>
      </c>
      <c r="E12" s="17" t="s">
        <v>53</v>
      </c>
      <c r="F12" s="2" t="s">
        <v>56</v>
      </c>
    </row>
    <row r="13" spans="1:6">
      <c r="A13" s="2" t="s">
        <v>71</v>
      </c>
      <c r="B13" s="2" t="s">
        <v>61</v>
      </c>
      <c r="C13" s="2" t="s">
        <v>51</v>
      </c>
      <c r="D13" s="2" t="s">
        <v>62</v>
      </c>
      <c r="E13" s="17" t="s">
        <v>53</v>
      </c>
      <c r="F13" s="2" t="s">
        <v>56</v>
      </c>
    </row>
    <row r="14" spans="1:6">
      <c r="A14" s="2" t="s">
        <v>72</v>
      </c>
      <c r="B14" s="2" t="s">
        <v>61</v>
      </c>
      <c r="C14" s="2" t="s">
        <v>51</v>
      </c>
      <c r="D14" s="2" t="s">
        <v>62</v>
      </c>
      <c r="E14" s="17" t="s">
        <v>53</v>
      </c>
      <c r="F14" s="2" t="s">
        <v>58</v>
      </c>
    </row>
    <row r="15" spans="1:6">
      <c r="A15" s="2" t="s">
        <v>73</v>
      </c>
      <c r="B15" s="2" t="s">
        <v>61</v>
      </c>
      <c r="C15" s="2" t="s">
        <v>51</v>
      </c>
      <c r="D15" s="2" t="s">
        <v>62</v>
      </c>
      <c r="E15" s="17" t="s">
        <v>53</v>
      </c>
      <c r="F15" s="2" t="s">
        <v>58</v>
      </c>
    </row>
    <row r="16" spans="1:6">
      <c r="A16" s="2" t="s">
        <v>74</v>
      </c>
      <c r="B16" s="2" t="s">
        <v>61</v>
      </c>
      <c r="C16" s="2" t="s">
        <v>51</v>
      </c>
      <c r="D16" s="2" t="s">
        <v>62</v>
      </c>
      <c r="E16" s="18" t="s">
        <v>53</v>
      </c>
      <c r="F16" s="2" t="s">
        <v>75</v>
      </c>
    </row>
    <row r="17" spans="1:6">
      <c r="A17" s="2" t="s">
        <v>76</v>
      </c>
      <c r="B17" s="2" t="s">
        <v>61</v>
      </c>
      <c r="C17" s="2" t="s">
        <v>51</v>
      </c>
      <c r="D17" s="2" t="s">
        <v>62</v>
      </c>
      <c r="E17" s="18" t="s">
        <v>53</v>
      </c>
      <c r="F17" s="2" t="s">
        <v>75</v>
      </c>
    </row>
    <row r="18" spans="1:6">
      <c r="A18" s="2" t="s">
        <v>77</v>
      </c>
      <c r="B18" s="2" t="s">
        <v>61</v>
      </c>
      <c r="C18" s="2" t="s">
        <v>51</v>
      </c>
      <c r="D18" s="2" t="s">
        <v>62</v>
      </c>
      <c r="E18" s="18" t="s">
        <v>53</v>
      </c>
      <c r="F18" s="2" t="s">
        <v>75</v>
      </c>
    </row>
    <row r="19" spans="1:6">
      <c r="A19" s="2" t="s">
        <v>78</v>
      </c>
      <c r="B19" s="2" t="s">
        <v>61</v>
      </c>
      <c r="C19" s="2" t="s">
        <v>51</v>
      </c>
      <c r="D19" s="2" t="s">
        <v>62</v>
      </c>
      <c r="E19" s="18" t="s">
        <v>53</v>
      </c>
      <c r="F19" s="2" t="s">
        <v>75</v>
      </c>
    </row>
    <row r="20" spans="1:6">
      <c r="A20" s="2" t="s">
        <v>79</v>
      </c>
      <c r="B20" s="2" t="s">
        <v>61</v>
      </c>
      <c r="C20" s="2" t="s">
        <v>51</v>
      </c>
      <c r="D20" s="2" t="s">
        <v>62</v>
      </c>
      <c r="E20" s="18" t="s">
        <v>53</v>
      </c>
      <c r="F20" s="2" t="s">
        <v>75</v>
      </c>
    </row>
    <row r="21" spans="1:6">
      <c r="A21" s="2" t="s">
        <v>80</v>
      </c>
      <c r="B21" s="2" t="s">
        <v>61</v>
      </c>
      <c r="C21" s="2" t="s">
        <v>51</v>
      </c>
      <c r="D21" s="2" t="s">
        <v>62</v>
      </c>
      <c r="E21" s="18" t="s">
        <v>53</v>
      </c>
      <c r="F21" s="2" t="s">
        <v>75</v>
      </c>
    </row>
    <row r="22" spans="1:6">
      <c r="A22" s="2" t="s">
        <v>81</v>
      </c>
      <c r="B22" s="2" t="s">
        <v>61</v>
      </c>
      <c r="C22" s="2" t="s">
        <v>51</v>
      </c>
      <c r="D22" s="2" t="s">
        <v>62</v>
      </c>
      <c r="E22" s="18" t="s">
        <v>53</v>
      </c>
      <c r="F22" s="2" t="s">
        <v>75</v>
      </c>
    </row>
    <row r="23" spans="1:6">
      <c r="A23" s="1" t="s">
        <v>82</v>
      </c>
      <c r="B23" s="1" t="s">
        <v>61</v>
      </c>
      <c r="C23" s="1" t="s">
        <v>51</v>
      </c>
      <c r="D23" s="1" t="s">
        <v>83</v>
      </c>
      <c r="E23" s="17" t="s">
        <v>53</v>
      </c>
      <c r="F23" s="1" t="s">
        <v>63</v>
      </c>
    </row>
    <row r="24" spans="1:6">
      <c r="A24" s="1" t="s">
        <v>84</v>
      </c>
      <c r="B24" s="1" t="s">
        <v>61</v>
      </c>
      <c r="C24" s="1" t="s">
        <v>51</v>
      </c>
      <c r="D24" s="1" t="s">
        <v>85</v>
      </c>
      <c r="E24" s="17" t="s">
        <v>53</v>
      </c>
      <c r="F24" s="1" t="s">
        <v>63</v>
      </c>
    </row>
    <row r="25" spans="1:6">
      <c r="A25" s="1" t="s">
        <v>86</v>
      </c>
      <c r="B25" s="1" t="s">
        <v>61</v>
      </c>
      <c r="C25" s="1" t="s">
        <v>51</v>
      </c>
      <c r="D25" s="1" t="s">
        <v>85</v>
      </c>
      <c r="E25" s="17" t="s">
        <v>53</v>
      </c>
      <c r="F25" s="1" t="s">
        <v>63</v>
      </c>
    </row>
    <row r="26" spans="1:6">
      <c r="A26" s="1" t="s">
        <v>87</v>
      </c>
      <c r="B26" s="1" t="s">
        <v>61</v>
      </c>
      <c r="C26" s="1" t="s">
        <v>51</v>
      </c>
      <c r="D26" s="1" t="s">
        <v>85</v>
      </c>
      <c r="E26" s="17" t="s">
        <v>53</v>
      </c>
      <c r="F26" s="1" t="s">
        <v>63</v>
      </c>
    </row>
    <row r="27" spans="1:6">
      <c r="A27" s="1" t="s">
        <v>88</v>
      </c>
      <c r="B27" s="1" t="s">
        <v>61</v>
      </c>
      <c r="C27" s="1" t="s">
        <v>51</v>
      </c>
      <c r="D27" s="1" t="s">
        <v>85</v>
      </c>
      <c r="E27" s="17" t="s">
        <v>53</v>
      </c>
      <c r="F27" s="1" t="s">
        <v>63</v>
      </c>
    </row>
    <row r="28" spans="1:6">
      <c r="A28" s="1" t="s">
        <v>89</v>
      </c>
      <c r="B28" s="1" t="s">
        <v>61</v>
      </c>
      <c r="C28" s="1" t="s">
        <v>51</v>
      </c>
      <c r="D28" s="1" t="s">
        <v>85</v>
      </c>
      <c r="E28" s="17" t="s">
        <v>53</v>
      </c>
      <c r="F28" s="1" t="s">
        <v>67</v>
      </c>
    </row>
    <row r="29" spans="1:6">
      <c r="A29" s="1" t="s">
        <v>90</v>
      </c>
      <c r="B29" s="1" t="s">
        <v>61</v>
      </c>
      <c r="C29" s="1" t="s">
        <v>51</v>
      </c>
      <c r="D29" s="1" t="s">
        <v>85</v>
      </c>
      <c r="E29" s="17" t="s">
        <v>53</v>
      </c>
      <c r="F29" s="1" t="s">
        <v>67</v>
      </c>
    </row>
    <row r="30" spans="1:6">
      <c r="A30" s="1" t="s">
        <v>91</v>
      </c>
      <c r="B30" s="1" t="s">
        <v>61</v>
      </c>
      <c r="C30" s="1" t="s">
        <v>51</v>
      </c>
      <c r="D30" s="1" t="s">
        <v>85</v>
      </c>
      <c r="E30" s="17" t="s">
        <v>53</v>
      </c>
      <c r="F30" s="1" t="s">
        <v>67</v>
      </c>
    </row>
    <row r="31" spans="1:6">
      <c r="A31" s="1" t="s">
        <v>92</v>
      </c>
      <c r="B31" s="1" t="s">
        <v>61</v>
      </c>
      <c r="C31" s="1" t="s">
        <v>51</v>
      </c>
      <c r="D31" s="1" t="s">
        <v>85</v>
      </c>
      <c r="E31" s="17" t="s">
        <v>53</v>
      </c>
      <c r="F31" s="1" t="s">
        <v>67</v>
      </c>
    </row>
    <row r="32" spans="1:6">
      <c r="A32" s="1" t="s">
        <v>93</v>
      </c>
      <c r="B32" s="1" t="s">
        <v>61</v>
      </c>
      <c r="C32" s="1" t="s">
        <v>51</v>
      </c>
      <c r="D32" s="1" t="s">
        <v>85</v>
      </c>
      <c r="E32" s="17" t="s">
        <v>53</v>
      </c>
      <c r="F32" s="1" t="s">
        <v>67</v>
      </c>
    </row>
    <row r="33" spans="1:6">
      <c r="A33" s="1" t="s">
        <v>94</v>
      </c>
      <c r="B33" s="1" t="s">
        <v>61</v>
      </c>
      <c r="C33" s="1" t="s">
        <v>51</v>
      </c>
      <c r="D33" s="1" t="s">
        <v>85</v>
      </c>
      <c r="E33" s="17" t="s">
        <v>53</v>
      </c>
      <c r="F33" s="1" t="s">
        <v>56</v>
      </c>
    </row>
    <row r="34" spans="1:6">
      <c r="A34" s="1" t="s">
        <v>95</v>
      </c>
      <c r="B34" s="1" t="s">
        <v>61</v>
      </c>
      <c r="C34" s="1" t="s">
        <v>51</v>
      </c>
      <c r="D34" s="1" t="s">
        <v>85</v>
      </c>
      <c r="E34" s="17" t="s">
        <v>53</v>
      </c>
      <c r="F34" s="1" t="s">
        <v>56</v>
      </c>
    </row>
    <row r="35" spans="1:6">
      <c r="A35" s="1" t="s">
        <v>96</v>
      </c>
      <c r="B35" s="1" t="s">
        <v>61</v>
      </c>
      <c r="C35" s="1" t="s">
        <v>51</v>
      </c>
      <c r="D35" s="1" t="s">
        <v>85</v>
      </c>
      <c r="E35" s="17" t="s">
        <v>53</v>
      </c>
      <c r="F35" s="1" t="s">
        <v>56</v>
      </c>
    </row>
    <row r="36" spans="1:6">
      <c r="A36" s="1" t="s">
        <v>97</v>
      </c>
      <c r="B36" s="1" t="s">
        <v>61</v>
      </c>
      <c r="C36" s="1" t="s">
        <v>51</v>
      </c>
      <c r="D36" s="1" t="s">
        <v>85</v>
      </c>
      <c r="E36" s="17" t="s">
        <v>53</v>
      </c>
      <c r="F36" s="1" t="s">
        <v>56</v>
      </c>
    </row>
    <row r="37" spans="1:6">
      <c r="A37" s="1" t="s">
        <v>98</v>
      </c>
      <c r="B37" s="1" t="s">
        <v>61</v>
      </c>
      <c r="C37" s="1" t="s">
        <v>51</v>
      </c>
      <c r="D37" s="1" t="s">
        <v>85</v>
      </c>
      <c r="E37" s="17" t="s">
        <v>53</v>
      </c>
      <c r="F37" s="1" t="s">
        <v>56</v>
      </c>
    </row>
    <row r="38" spans="1:6">
      <c r="A38" s="1" t="s">
        <v>99</v>
      </c>
      <c r="B38" s="1" t="s">
        <v>61</v>
      </c>
      <c r="C38" s="1" t="s">
        <v>51</v>
      </c>
      <c r="D38" s="1" t="s">
        <v>85</v>
      </c>
      <c r="E38" s="17" t="s">
        <v>53</v>
      </c>
      <c r="F38" s="1" t="s">
        <v>56</v>
      </c>
    </row>
    <row r="39" spans="1:6">
      <c r="A39" s="1" t="s">
        <v>100</v>
      </c>
      <c r="B39" s="1" t="s">
        <v>61</v>
      </c>
      <c r="C39" s="1" t="s">
        <v>51</v>
      </c>
      <c r="D39" s="1" t="s">
        <v>85</v>
      </c>
      <c r="E39" s="17" t="s">
        <v>53</v>
      </c>
      <c r="F39" s="1" t="s">
        <v>56</v>
      </c>
    </row>
    <row r="40" spans="1:6">
      <c r="A40" s="1" t="s">
        <v>101</v>
      </c>
      <c r="B40" s="1" t="s">
        <v>61</v>
      </c>
      <c r="C40" s="1" t="s">
        <v>51</v>
      </c>
      <c r="D40" s="1" t="s">
        <v>85</v>
      </c>
      <c r="E40" s="17" t="s">
        <v>53</v>
      </c>
      <c r="F40" s="1" t="s">
        <v>58</v>
      </c>
    </row>
    <row r="41" spans="1:6">
      <c r="A41" s="1" t="s">
        <v>102</v>
      </c>
      <c r="B41" s="1" t="s">
        <v>61</v>
      </c>
      <c r="C41" s="1" t="s">
        <v>51</v>
      </c>
      <c r="D41" s="1" t="s">
        <v>85</v>
      </c>
      <c r="E41" s="17" t="s">
        <v>53</v>
      </c>
      <c r="F41" s="1" t="s">
        <v>58</v>
      </c>
    </row>
    <row r="42" spans="1:6">
      <c r="A42" s="1" t="s">
        <v>103</v>
      </c>
      <c r="B42" s="1" t="s">
        <v>61</v>
      </c>
      <c r="C42" s="1" t="s">
        <v>51</v>
      </c>
      <c r="D42" s="1" t="s">
        <v>85</v>
      </c>
      <c r="E42" s="17" t="s">
        <v>53</v>
      </c>
      <c r="F42" s="1" t="s">
        <v>58</v>
      </c>
    </row>
    <row r="43" spans="1:6">
      <c r="A43" s="1" t="s">
        <v>104</v>
      </c>
      <c r="B43" s="1" t="s">
        <v>61</v>
      </c>
      <c r="C43" s="1" t="s">
        <v>51</v>
      </c>
      <c r="D43" s="1" t="s">
        <v>85</v>
      </c>
      <c r="E43" s="17" t="s">
        <v>53</v>
      </c>
      <c r="F43" s="1" t="s">
        <v>58</v>
      </c>
    </row>
    <row r="44" spans="1:6">
      <c r="A44" s="1" t="s">
        <v>105</v>
      </c>
      <c r="B44" s="1" t="s">
        <v>61</v>
      </c>
      <c r="C44" s="1" t="s">
        <v>51</v>
      </c>
      <c r="D44" s="1" t="s">
        <v>85</v>
      </c>
      <c r="E44" s="17" t="s">
        <v>53</v>
      </c>
      <c r="F44" s="1" t="s">
        <v>58</v>
      </c>
    </row>
    <row r="45" spans="1:6">
      <c r="A45" s="1" t="s">
        <v>106</v>
      </c>
      <c r="B45" s="1" t="s">
        <v>61</v>
      </c>
      <c r="C45" s="1" t="s">
        <v>51</v>
      </c>
      <c r="D45" s="1" t="s">
        <v>85</v>
      </c>
      <c r="E45" s="17" t="s">
        <v>53</v>
      </c>
      <c r="F45" s="1" t="s">
        <v>58</v>
      </c>
    </row>
    <row r="46" spans="1:6">
      <c r="A46" s="1" t="s">
        <v>107</v>
      </c>
      <c r="B46" s="1" t="s">
        <v>61</v>
      </c>
      <c r="C46" s="1" t="s">
        <v>51</v>
      </c>
      <c r="D46" s="1" t="s">
        <v>85</v>
      </c>
      <c r="E46" s="17" t="s">
        <v>53</v>
      </c>
      <c r="F46" s="1" t="s">
        <v>58</v>
      </c>
    </row>
    <row r="47" spans="1:6">
      <c r="A47" s="1" t="s">
        <v>108</v>
      </c>
      <c r="B47" s="1" t="s">
        <v>61</v>
      </c>
      <c r="C47" s="1" t="s">
        <v>51</v>
      </c>
      <c r="D47" s="1" t="s">
        <v>109</v>
      </c>
      <c r="E47" s="17" t="s">
        <v>53</v>
      </c>
      <c r="F47" s="1" t="s">
        <v>58</v>
      </c>
    </row>
    <row r="48" spans="1:6">
      <c r="A48" s="1" t="s">
        <v>110</v>
      </c>
      <c r="B48" s="1" t="s">
        <v>61</v>
      </c>
      <c r="C48" s="1" t="s">
        <v>51</v>
      </c>
      <c r="D48" s="1" t="s">
        <v>111</v>
      </c>
      <c r="E48" s="17" t="s">
        <v>53</v>
      </c>
      <c r="F48" s="1" t="s">
        <v>67</v>
      </c>
    </row>
    <row r="49" spans="1:6">
      <c r="A49" s="1" t="s">
        <v>112</v>
      </c>
      <c r="B49" s="1" t="s">
        <v>61</v>
      </c>
      <c r="C49" s="1" t="s">
        <v>51</v>
      </c>
      <c r="D49" s="1" t="s">
        <v>111</v>
      </c>
      <c r="E49" s="17" t="s">
        <v>53</v>
      </c>
      <c r="F49" s="1" t="s">
        <v>58</v>
      </c>
    </row>
    <row r="50" spans="1:6">
      <c r="A50" s="1" t="s">
        <v>113</v>
      </c>
      <c r="B50" s="1" t="s">
        <v>61</v>
      </c>
      <c r="C50" s="1" t="s">
        <v>51</v>
      </c>
      <c r="D50" s="1" t="s">
        <v>114</v>
      </c>
      <c r="E50" s="17" t="s">
        <v>53</v>
      </c>
      <c r="F50" s="1" t="s">
        <v>56</v>
      </c>
    </row>
    <row r="51" spans="1:6">
      <c r="A51" s="1" t="s">
        <v>115</v>
      </c>
      <c r="B51" s="1" t="s">
        <v>50</v>
      </c>
      <c r="C51" s="1" t="s">
        <v>116</v>
      </c>
      <c r="D51" s="1" t="s">
        <v>117</v>
      </c>
      <c r="E51" s="17" t="s">
        <v>53</v>
      </c>
      <c r="F51" s="1" t="s">
        <v>56</v>
      </c>
    </row>
    <row r="52" spans="1:6">
      <c r="A52" s="1" t="s">
        <v>118</v>
      </c>
      <c r="B52" s="1" t="s">
        <v>50</v>
      </c>
      <c r="C52" s="1" t="s">
        <v>116</v>
      </c>
      <c r="D52" s="1" t="s">
        <v>117</v>
      </c>
      <c r="E52" s="17" t="s">
        <v>53</v>
      </c>
      <c r="F52" s="1" t="s">
        <v>58</v>
      </c>
    </row>
    <row r="53" spans="1:6">
      <c r="A53" s="1" t="s">
        <v>119</v>
      </c>
      <c r="B53" s="1" t="s">
        <v>61</v>
      </c>
      <c r="C53" s="1" t="s">
        <v>116</v>
      </c>
      <c r="D53" s="1" t="s">
        <v>117</v>
      </c>
      <c r="E53" s="17" t="s">
        <v>53</v>
      </c>
      <c r="F53" s="1" t="s">
        <v>120</v>
      </c>
    </row>
    <row r="54" spans="1:6">
      <c r="A54" s="1" t="s">
        <v>121</v>
      </c>
      <c r="B54" s="1" t="s">
        <v>50</v>
      </c>
      <c r="C54" s="1" t="s">
        <v>116</v>
      </c>
      <c r="D54" s="1" t="s">
        <v>122</v>
      </c>
      <c r="E54" s="17" t="s">
        <v>53</v>
      </c>
      <c r="F54" s="1" t="s">
        <v>120</v>
      </c>
    </row>
    <row r="55" spans="1:6">
      <c r="A55" s="1" t="s">
        <v>123</v>
      </c>
      <c r="B55" s="1" t="s">
        <v>50</v>
      </c>
      <c r="C55" s="1" t="s">
        <v>116</v>
      </c>
      <c r="D55" s="1" t="s">
        <v>122</v>
      </c>
      <c r="E55" s="17" t="s">
        <v>53</v>
      </c>
      <c r="F55" s="1" t="s">
        <v>120</v>
      </c>
    </row>
    <row r="56" spans="1:6">
      <c r="A56" s="1" t="s">
        <v>124</v>
      </c>
      <c r="B56" s="1" t="s">
        <v>61</v>
      </c>
      <c r="C56" s="1" t="s">
        <v>116</v>
      </c>
      <c r="D56" s="1" t="s">
        <v>122</v>
      </c>
      <c r="E56" s="17" t="s">
        <v>53</v>
      </c>
      <c r="F56" s="1" t="s">
        <v>120</v>
      </c>
    </row>
    <row r="57" spans="1:6">
      <c r="A57" s="1" t="s">
        <v>125</v>
      </c>
      <c r="B57" s="1" t="s">
        <v>61</v>
      </c>
      <c r="C57" s="1" t="s">
        <v>116</v>
      </c>
      <c r="D57" s="1" t="s">
        <v>126</v>
      </c>
      <c r="E57" s="17" t="s">
        <v>53</v>
      </c>
      <c r="F57" s="1" t="s">
        <v>63</v>
      </c>
    </row>
    <row r="58" spans="1:6">
      <c r="A58" s="1" t="s">
        <v>127</v>
      </c>
      <c r="B58" s="1" t="s">
        <v>61</v>
      </c>
      <c r="C58" s="1" t="s">
        <v>116</v>
      </c>
      <c r="D58" s="1" t="s">
        <v>126</v>
      </c>
      <c r="E58" s="17" t="s">
        <v>53</v>
      </c>
      <c r="F58" s="1" t="s">
        <v>67</v>
      </c>
    </row>
    <row r="59" spans="1:6">
      <c r="A59" s="1" t="s">
        <v>128</v>
      </c>
      <c r="B59" s="1" t="s">
        <v>50</v>
      </c>
      <c r="C59" s="1" t="s">
        <v>116</v>
      </c>
      <c r="D59" s="1" t="s">
        <v>129</v>
      </c>
      <c r="E59" s="17" t="s">
        <v>53</v>
      </c>
      <c r="F59" s="1" t="s">
        <v>58</v>
      </c>
    </row>
    <row r="60" spans="1:6">
      <c r="A60" s="1" t="s">
        <v>130</v>
      </c>
      <c r="B60" s="1" t="s">
        <v>50</v>
      </c>
      <c r="C60" s="1" t="s">
        <v>116</v>
      </c>
      <c r="D60" s="1" t="s">
        <v>129</v>
      </c>
      <c r="E60" s="17" t="s">
        <v>53</v>
      </c>
      <c r="F60" s="1" t="s">
        <v>120</v>
      </c>
    </row>
    <row r="61" spans="1:6">
      <c r="A61" s="1" t="s">
        <v>131</v>
      </c>
      <c r="B61" s="1" t="s">
        <v>61</v>
      </c>
      <c r="C61" s="1" t="s">
        <v>116</v>
      </c>
      <c r="D61" s="1" t="s">
        <v>129</v>
      </c>
      <c r="E61" s="17" t="s">
        <v>53</v>
      </c>
      <c r="F61" s="1" t="s">
        <v>120</v>
      </c>
    </row>
    <row r="62" spans="1:6">
      <c r="A62" s="2" t="s">
        <v>132</v>
      </c>
      <c r="B62" s="2" t="s">
        <v>61</v>
      </c>
      <c r="C62" s="2" t="s">
        <v>116</v>
      </c>
      <c r="D62" s="2" t="s">
        <v>129</v>
      </c>
      <c r="E62" s="17" t="s">
        <v>53</v>
      </c>
      <c r="F62" s="2" t="s">
        <v>133</v>
      </c>
    </row>
    <row r="63" spans="1:6">
      <c r="A63" s="2" t="s">
        <v>134</v>
      </c>
      <c r="B63" s="2" t="s">
        <v>61</v>
      </c>
      <c r="C63" s="2" t="s">
        <v>116</v>
      </c>
      <c r="D63" s="2" t="s">
        <v>129</v>
      </c>
      <c r="E63" s="17" t="s">
        <v>53</v>
      </c>
      <c r="F63" s="2" t="s">
        <v>133</v>
      </c>
    </row>
    <row r="64" spans="1:6">
      <c r="A64" s="1" t="s">
        <v>135</v>
      </c>
      <c r="B64" s="1" t="s">
        <v>50</v>
      </c>
      <c r="C64" s="1" t="s">
        <v>116</v>
      </c>
      <c r="D64" s="1" t="s">
        <v>136</v>
      </c>
      <c r="E64" s="17" t="s">
        <v>53</v>
      </c>
      <c r="F64" s="1" t="s">
        <v>63</v>
      </c>
    </row>
    <row r="65" spans="1:6">
      <c r="A65" s="2" t="s">
        <v>137</v>
      </c>
      <c r="B65" s="2" t="s">
        <v>61</v>
      </c>
      <c r="C65" s="2" t="s">
        <v>116</v>
      </c>
      <c r="D65" s="2" t="s">
        <v>136</v>
      </c>
      <c r="E65" s="17" t="s">
        <v>53</v>
      </c>
      <c r="F65" s="2" t="s">
        <v>133</v>
      </c>
    </row>
    <row r="66" spans="1:6">
      <c r="A66" s="2" t="s">
        <v>138</v>
      </c>
      <c r="B66" s="2" t="s">
        <v>61</v>
      </c>
      <c r="C66" s="2" t="s">
        <v>116</v>
      </c>
      <c r="D66" s="2" t="s">
        <v>136</v>
      </c>
      <c r="E66" s="17" t="s">
        <v>53</v>
      </c>
      <c r="F66" s="2" t="s">
        <v>133</v>
      </c>
    </row>
    <row r="67" spans="1:6">
      <c r="A67" s="2" t="s">
        <v>139</v>
      </c>
      <c r="B67" s="2" t="s">
        <v>61</v>
      </c>
      <c r="C67" s="2" t="s">
        <v>116</v>
      </c>
      <c r="D67" s="2" t="s">
        <v>136</v>
      </c>
      <c r="E67" s="17" t="s">
        <v>53</v>
      </c>
      <c r="F67" s="2" t="s">
        <v>133</v>
      </c>
    </row>
    <row r="68" spans="1:6">
      <c r="A68" s="2" t="s">
        <v>140</v>
      </c>
      <c r="B68" s="2" t="s">
        <v>61</v>
      </c>
      <c r="C68" s="2" t="s">
        <v>116</v>
      </c>
      <c r="D68" s="2" t="s">
        <v>141</v>
      </c>
      <c r="E68" s="17" t="s">
        <v>53</v>
      </c>
      <c r="F68" s="2" t="s">
        <v>133</v>
      </c>
    </row>
    <row r="69" spans="1:6">
      <c r="A69" s="2" t="s">
        <v>142</v>
      </c>
      <c r="B69" s="2" t="s">
        <v>61</v>
      </c>
      <c r="C69" s="2" t="s">
        <v>116</v>
      </c>
      <c r="D69" s="2" t="s">
        <v>141</v>
      </c>
      <c r="E69" s="17" t="s">
        <v>53</v>
      </c>
      <c r="F69" s="2" t="s">
        <v>133</v>
      </c>
    </row>
    <row r="70" spans="1:6">
      <c r="A70" s="2" t="s">
        <v>143</v>
      </c>
      <c r="B70" s="2" t="s">
        <v>61</v>
      </c>
      <c r="C70" s="2" t="s">
        <v>116</v>
      </c>
      <c r="D70" s="2" t="s">
        <v>141</v>
      </c>
      <c r="E70" s="17" t="s">
        <v>53</v>
      </c>
      <c r="F70" s="2" t="s">
        <v>133</v>
      </c>
    </row>
    <row r="71" spans="1:6">
      <c r="A71" s="2" t="s">
        <v>144</v>
      </c>
      <c r="B71" s="2" t="s">
        <v>61</v>
      </c>
      <c r="C71" s="2" t="s">
        <v>116</v>
      </c>
      <c r="D71" s="2" t="s">
        <v>141</v>
      </c>
      <c r="E71" s="17" t="s">
        <v>53</v>
      </c>
      <c r="F71" s="2" t="s">
        <v>133</v>
      </c>
    </row>
    <row r="72" spans="1:6">
      <c r="A72" s="2" t="s">
        <v>145</v>
      </c>
      <c r="B72" s="2" t="s">
        <v>61</v>
      </c>
      <c r="C72" s="2" t="s">
        <v>116</v>
      </c>
      <c r="D72" s="2" t="s">
        <v>141</v>
      </c>
      <c r="E72" s="17" t="s">
        <v>53</v>
      </c>
      <c r="F72" s="2" t="s">
        <v>133</v>
      </c>
    </row>
    <row r="73" spans="1:6">
      <c r="A73" s="2" t="s">
        <v>146</v>
      </c>
      <c r="B73" s="2" t="s">
        <v>61</v>
      </c>
      <c r="C73" s="2" t="s">
        <v>116</v>
      </c>
      <c r="D73" s="2" t="s">
        <v>141</v>
      </c>
      <c r="E73" s="17" t="s">
        <v>53</v>
      </c>
      <c r="F73" s="2" t="s">
        <v>133</v>
      </c>
    </row>
    <row r="74" spans="1:6">
      <c r="A74" s="2" t="s">
        <v>147</v>
      </c>
      <c r="B74" s="2" t="s">
        <v>61</v>
      </c>
      <c r="C74" s="2" t="s">
        <v>116</v>
      </c>
      <c r="D74" s="2" t="s">
        <v>141</v>
      </c>
      <c r="E74" s="17" t="s">
        <v>53</v>
      </c>
      <c r="F74" s="2" t="s">
        <v>133</v>
      </c>
    </row>
    <row r="75" spans="1:6">
      <c r="A75" s="2" t="s">
        <v>148</v>
      </c>
      <c r="B75" s="2" t="s">
        <v>61</v>
      </c>
      <c r="C75" s="2" t="s">
        <v>116</v>
      </c>
      <c r="D75" s="2" t="s">
        <v>141</v>
      </c>
      <c r="E75" s="17" t="s">
        <v>53</v>
      </c>
      <c r="F75" s="2" t="s">
        <v>133</v>
      </c>
    </row>
    <row r="76" spans="1:6">
      <c r="A76" s="2" t="s">
        <v>149</v>
      </c>
      <c r="B76" s="2" t="s">
        <v>61</v>
      </c>
      <c r="C76" s="2" t="s">
        <v>116</v>
      </c>
      <c r="D76" s="2" t="s">
        <v>141</v>
      </c>
      <c r="E76" s="17" t="s">
        <v>53</v>
      </c>
      <c r="F76" s="2" t="s">
        <v>133</v>
      </c>
    </row>
    <row r="77" spans="1:6">
      <c r="A77" s="2" t="s">
        <v>150</v>
      </c>
      <c r="B77" s="2" t="s">
        <v>61</v>
      </c>
      <c r="C77" s="2" t="s">
        <v>116</v>
      </c>
      <c r="D77" s="2" t="s">
        <v>141</v>
      </c>
      <c r="E77" s="17" t="s">
        <v>53</v>
      </c>
      <c r="F77" s="2" t="s">
        <v>133</v>
      </c>
    </row>
    <row r="78" spans="1:6">
      <c r="A78" s="2" t="s">
        <v>151</v>
      </c>
      <c r="B78" s="2" t="s">
        <v>61</v>
      </c>
      <c r="C78" s="2" t="s">
        <v>116</v>
      </c>
      <c r="D78" s="2" t="s">
        <v>141</v>
      </c>
      <c r="E78" s="17" t="s">
        <v>53</v>
      </c>
      <c r="F78" s="2" t="s">
        <v>133</v>
      </c>
    </row>
    <row r="79" spans="1:6">
      <c r="A79" s="1" t="s">
        <v>152</v>
      </c>
      <c r="B79" s="1" t="s">
        <v>61</v>
      </c>
      <c r="C79" s="1" t="s">
        <v>116</v>
      </c>
      <c r="D79" s="1" t="s">
        <v>153</v>
      </c>
      <c r="E79" s="17" t="s">
        <v>53</v>
      </c>
      <c r="F79" s="1" t="s">
        <v>56</v>
      </c>
    </row>
    <row r="80" spans="1:6" ht="14.4">
      <c r="A80" s="15" t="s">
        <v>154</v>
      </c>
      <c r="B80" s="15" t="s">
        <v>61</v>
      </c>
      <c r="C80" s="15" t="s">
        <v>51</v>
      </c>
      <c r="D80" s="15" t="s">
        <v>155</v>
      </c>
      <c r="E80" s="19" t="s">
        <v>156</v>
      </c>
      <c r="F80" s="19" t="s">
        <v>75</v>
      </c>
    </row>
    <row r="81" spans="1:6" ht="14.4">
      <c r="A81" s="15" t="s">
        <v>157</v>
      </c>
      <c r="B81" s="15" t="s">
        <v>61</v>
      </c>
      <c r="C81" s="15" t="s">
        <v>51</v>
      </c>
      <c r="D81" s="19" t="s">
        <v>158</v>
      </c>
      <c r="E81" s="19" t="s">
        <v>156</v>
      </c>
      <c r="F81" s="19" t="s">
        <v>75</v>
      </c>
    </row>
    <row r="82" spans="1:6" ht="14.4">
      <c r="A82" s="15" t="s">
        <v>159</v>
      </c>
      <c r="B82" s="15" t="s">
        <v>61</v>
      </c>
      <c r="C82" s="15" t="s">
        <v>51</v>
      </c>
      <c r="D82" s="19" t="s">
        <v>158</v>
      </c>
      <c r="E82" s="19" t="s">
        <v>156</v>
      </c>
      <c r="F82" s="19" t="s">
        <v>75</v>
      </c>
    </row>
    <row r="83" spans="1:6" ht="14.4">
      <c r="A83" s="15" t="s">
        <v>160</v>
      </c>
      <c r="B83" s="15" t="s">
        <v>61</v>
      </c>
      <c r="C83" s="15" t="s">
        <v>51</v>
      </c>
      <c r="D83" s="19" t="s">
        <v>161</v>
      </c>
      <c r="E83" s="19" t="s">
        <v>156</v>
      </c>
      <c r="F83" s="19" t="s">
        <v>75</v>
      </c>
    </row>
    <row r="84" spans="1:6" ht="14.4">
      <c r="A84" s="15" t="s">
        <v>162</v>
      </c>
      <c r="B84" s="15" t="s">
        <v>61</v>
      </c>
      <c r="C84" s="15" t="s">
        <v>116</v>
      </c>
      <c r="D84" s="19" t="s">
        <v>163</v>
      </c>
      <c r="E84" s="19" t="s">
        <v>156</v>
      </c>
      <c r="F84" s="19" t="s">
        <v>75</v>
      </c>
    </row>
    <row r="85" spans="1:6" ht="14.4">
      <c r="A85" s="15" t="s">
        <v>164</v>
      </c>
      <c r="B85" s="15" t="s">
        <v>61</v>
      </c>
      <c r="C85" s="15" t="s">
        <v>116</v>
      </c>
      <c r="D85" s="19" t="s">
        <v>163</v>
      </c>
      <c r="E85" s="19" t="s">
        <v>156</v>
      </c>
      <c r="F85" s="19" t="s">
        <v>75</v>
      </c>
    </row>
    <row r="86" spans="1:6" ht="14.4">
      <c r="A86" s="15" t="s">
        <v>165</v>
      </c>
      <c r="B86" s="15" t="s">
        <v>61</v>
      </c>
      <c r="C86" s="15" t="s">
        <v>116</v>
      </c>
      <c r="D86" s="19" t="s">
        <v>163</v>
      </c>
      <c r="E86" s="19" t="s">
        <v>156</v>
      </c>
      <c r="F86" s="19" t="s">
        <v>75</v>
      </c>
    </row>
    <row r="87" spans="1:6" ht="14.4">
      <c r="A87" s="15" t="s">
        <v>166</v>
      </c>
      <c r="B87" s="15" t="s">
        <v>61</v>
      </c>
      <c r="C87" s="15" t="s">
        <v>116</v>
      </c>
      <c r="D87" s="19" t="s">
        <v>163</v>
      </c>
      <c r="E87" s="19" t="s">
        <v>156</v>
      </c>
      <c r="F87" s="19" t="s">
        <v>75</v>
      </c>
    </row>
    <row r="88" spans="1:6" ht="14.4">
      <c r="A88" s="15" t="s">
        <v>167</v>
      </c>
      <c r="B88" s="15" t="s">
        <v>61</v>
      </c>
      <c r="C88" s="15" t="s">
        <v>116</v>
      </c>
      <c r="D88" s="19" t="s">
        <v>163</v>
      </c>
      <c r="E88" s="19" t="s">
        <v>156</v>
      </c>
      <c r="F88" s="19" t="s">
        <v>75</v>
      </c>
    </row>
    <row r="89" spans="1:6" ht="14.4">
      <c r="A89" s="15" t="s">
        <v>168</v>
      </c>
      <c r="B89" s="15" t="s">
        <v>61</v>
      </c>
      <c r="C89" s="15" t="s">
        <v>116</v>
      </c>
      <c r="D89" s="19" t="s">
        <v>163</v>
      </c>
      <c r="E89" s="19" t="s">
        <v>156</v>
      </c>
      <c r="F89" s="19" t="s">
        <v>75</v>
      </c>
    </row>
    <row r="90" spans="1:6" ht="14.4">
      <c r="A90" s="15" t="s">
        <v>169</v>
      </c>
      <c r="B90" s="15" t="s">
        <v>61</v>
      </c>
      <c r="C90" s="15" t="s">
        <v>116</v>
      </c>
      <c r="D90" s="19" t="s">
        <v>163</v>
      </c>
      <c r="E90" s="19" t="s">
        <v>156</v>
      </c>
      <c r="F90" s="19" t="s">
        <v>75</v>
      </c>
    </row>
    <row r="91" spans="1:6" ht="14.4">
      <c r="A91" s="15" t="s">
        <v>170</v>
      </c>
      <c r="B91" s="15" t="s">
        <v>61</v>
      </c>
      <c r="C91" s="15" t="s">
        <v>116</v>
      </c>
      <c r="D91" s="19" t="s">
        <v>163</v>
      </c>
      <c r="E91" s="19" t="s">
        <v>156</v>
      </c>
      <c r="F91" s="19" t="s">
        <v>75</v>
      </c>
    </row>
    <row r="92" spans="1:6" ht="14.4">
      <c r="A92" s="15" t="s">
        <v>171</v>
      </c>
      <c r="B92" s="15" t="s">
        <v>61</v>
      </c>
      <c r="C92" s="15" t="s">
        <v>116</v>
      </c>
      <c r="D92" s="19" t="s">
        <v>163</v>
      </c>
      <c r="E92" s="19" t="s">
        <v>156</v>
      </c>
      <c r="F92" s="19" t="s">
        <v>75</v>
      </c>
    </row>
    <row r="93" spans="1:6" ht="14.4">
      <c r="A93" s="15" t="s">
        <v>172</v>
      </c>
      <c r="B93" s="15" t="s">
        <v>50</v>
      </c>
      <c r="C93" s="15" t="s">
        <v>116</v>
      </c>
      <c r="D93" s="19" t="s">
        <v>163</v>
      </c>
      <c r="E93" s="19" t="s">
        <v>156</v>
      </c>
      <c r="F93" s="19" t="s">
        <v>75</v>
      </c>
    </row>
    <row r="94" spans="1:6" ht="14.4">
      <c r="A94" s="15" t="s">
        <v>173</v>
      </c>
      <c r="B94" s="15" t="s">
        <v>61</v>
      </c>
      <c r="C94" s="15" t="s">
        <v>116</v>
      </c>
      <c r="D94" s="19" t="s">
        <v>174</v>
      </c>
      <c r="E94" s="19" t="s">
        <v>156</v>
      </c>
      <c r="F94" s="19" t="s">
        <v>75</v>
      </c>
    </row>
    <row r="95" spans="1:6" ht="14.4">
      <c r="A95" s="15" t="s">
        <v>175</v>
      </c>
      <c r="B95" s="15" t="s">
        <v>61</v>
      </c>
      <c r="C95" s="15" t="s">
        <v>116</v>
      </c>
      <c r="D95" s="19" t="s">
        <v>174</v>
      </c>
      <c r="E95" s="19" t="s">
        <v>156</v>
      </c>
      <c r="F95" s="19" t="s">
        <v>75</v>
      </c>
    </row>
    <row r="96" spans="1:6" ht="14.4">
      <c r="A96" s="15" t="s">
        <v>176</v>
      </c>
      <c r="B96" s="15" t="s">
        <v>61</v>
      </c>
      <c r="C96" s="15" t="s">
        <v>116</v>
      </c>
      <c r="D96" s="19" t="s">
        <v>174</v>
      </c>
      <c r="E96" s="19" t="s">
        <v>156</v>
      </c>
      <c r="F96" s="19" t="s">
        <v>75</v>
      </c>
    </row>
    <row r="97" spans="1:6" ht="14.4">
      <c r="A97" s="15" t="s">
        <v>177</v>
      </c>
      <c r="B97" s="15" t="s">
        <v>61</v>
      </c>
      <c r="C97" s="15" t="s">
        <v>116</v>
      </c>
      <c r="D97" s="19" t="s">
        <v>174</v>
      </c>
      <c r="E97" s="19" t="s">
        <v>156</v>
      </c>
      <c r="F97" s="19" t="s">
        <v>75</v>
      </c>
    </row>
    <row r="98" spans="1:6" ht="14.4">
      <c r="A98" s="15" t="s">
        <v>178</v>
      </c>
      <c r="B98" s="15" t="s">
        <v>61</v>
      </c>
      <c r="C98" s="15" t="s">
        <v>116</v>
      </c>
      <c r="D98" s="19" t="s">
        <v>174</v>
      </c>
      <c r="E98" s="19" t="s">
        <v>156</v>
      </c>
      <c r="F98" s="19" t="s">
        <v>75</v>
      </c>
    </row>
    <row r="99" spans="1:6" ht="14.4">
      <c r="A99" s="15" t="s">
        <v>179</v>
      </c>
      <c r="B99" s="15" t="s">
        <v>61</v>
      </c>
      <c r="C99" s="15" t="s">
        <v>116</v>
      </c>
      <c r="D99" s="19" t="s">
        <v>174</v>
      </c>
      <c r="E99" s="19" t="s">
        <v>156</v>
      </c>
      <c r="F99" s="19" t="s">
        <v>75</v>
      </c>
    </row>
    <row r="100" spans="1:6" ht="14.4">
      <c r="A100" s="15" t="s">
        <v>180</v>
      </c>
      <c r="B100" s="15" t="s">
        <v>61</v>
      </c>
      <c r="C100" s="15" t="s">
        <v>116</v>
      </c>
      <c r="D100" s="19" t="s">
        <v>174</v>
      </c>
      <c r="E100" s="19" t="s">
        <v>156</v>
      </c>
      <c r="F100" s="19" t="s">
        <v>75</v>
      </c>
    </row>
    <row r="101" spans="1:6" ht="14.4">
      <c r="A101" s="15" t="s">
        <v>181</v>
      </c>
      <c r="B101" s="15" t="s">
        <v>61</v>
      </c>
      <c r="C101" s="15" t="s">
        <v>116</v>
      </c>
      <c r="D101" s="19" t="s">
        <v>174</v>
      </c>
      <c r="E101" s="19" t="s">
        <v>156</v>
      </c>
      <c r="F101" s="19" t="s">
        <v>75</v>
      </c>
    </row>
    <row r="102" spans="1:6" ht="14.4">
      <c r="A102" s="15" t="s">
        <v>182</v>
      </c>
      <c r="B102" s="15" t="s">
        <v>61</v>
      </c>
      <c r="C102" s="15" t="s">
        <v>116</v>
      </c>
      <c r="D102" s="19" t="s">
        <v>174</v>
      </c>
      <c r="E102" s="19" t="s">
        <v>156</v>
      </c>
      <c r="F102" s="19" t="s">
        <v>75</v>
      </c>
    </row>
    <row r="103" spans="1:6" ht="14.4">
      <c r="A103" s="15" t="s">
        <v>183</v>
      </c>
      <c r="B103" s="15" t="s">
        <v>61</v>
      </c>
      <c r="C103" s="15" t="s">
        <v>116</v>
      </c>
      <c r="D103" s="19" t="s">
        <v>174</v>
      </c>
      <c r="E103" s="19" t="s">
        <v>156</v>
      </c>
      <c r="F103" s="19" t="s">
        <v>75</v>
      </c>
    </row>
    <row r="104" spans="1:6" ht="14.4">
      <c r="A104" s="15" t="s">
        <v>184</v>
      </c>
      <c r="B104" s="15" t="s">
        <v>61</v>
      </c>
      <c r="C104" s="15" t="s">
        <v>116</v>
      </c>
      <c r="D104" s="19" t="s">
        <v>174</v>
      </c>
      <c r="E104" s="19" t="s">
        <v>156</v>
      </c>
      <c r="F104" s="19" t="s">
        <v>75</v>
      </c>
    </row>
    <row r="105" spans="1:6" ht="14.4">
      <c r="A105" s="15" t="s">
        <v>185</v>
      </c>
      <c r="B105" s="15" t="s">
        <v>61</v>
      </c>
      <c r="C105" s="15" t="s">
        <v>116</v>
      </c>
      <c r="D105" s="19" t="s">
        <v>174</v>
      </c>
      <c r="E105" s="19" t="s">
        <v>156</v>
      </c>
      <c r="F105" s="19" t="s">
        <v>75</v>
      </c>
    </row>
    <row r="106" spans="1:6" ht="14.4">
      <c r="A106" s="15" t="s">
        <v>186</v>
      </c>
      <c r="B106" s="15" t="s">
        <v>61</v>
      </c>
      <c r="C106" s="15" t="s">
        <v>116</v>
      </c>
      <c r="D106" s="19" t="s">
        <v>174</v>
      </c>
      <c r="E106" s="19" t="s">
        <v>156</v>
      </c>
      <c r="F106" s="19" t="s">
        <v>75</v>
      </c>
    </row>
    <row r="107" spans="1:6" ht="14.4">
      <c r="A107" s="15" t="s">
        <v>187</v>
      </c>
      <c r="B107" s="15" t="s">
        <v>61</v>
      </c>
      <c r="C107" s="15" t="s">
        <v>116</v>
      </c>
      <c r="D107" s="19" t="s">
        <v>188</v>
      </c>
      <c r="E107" s="19" t="s">
        <v>156</v>
      </c>
      <c r="F107" s="19" t="s">
        <v>75</v>
      </c>
    </row>
    <row r="108" spans="1:6" ht="14.4">
      <c r="A108" s="15" t="s">
        <v>189</v>
      </c>
      <c r="B108" s="15" t="s">
        <v>61</v>
      </c>
      <c r="C108" s="15" t="s">
        <v>116</v>
      </c>
      <c r="D108" s="19" t="s">
        <v>188</v>
      </c>
      <c r="E108" s="19" t="s">
        <v>156</v>
      </c>
      <c r="F108" s="19" t="s">
        <v>75</v>
      </c>
    </row>
    <row r="109" spans="1:6" ht="14.4">
      <c r="A109" s="15" t="s">
        <v>190</v>
      </c>
      <c r="B109" s="15" t="s">
        <v>61</v>
      </c>
      <c r="C109" s="15" t="s">
        <v>116</v>
      </c>
      <c r="D109" s="19" t="s">
        <v>191</v>
      </c>
      <c r="E109" s="19" t="s">
        <v>156</v>
      </c>
      <c r="F109" s="19" t="s">
        <v>75</v>
      </c>
    </row>
    <row r="110" spans="1:6" ht="14.4">
      <c r="A110" s="15" t="s">
        <v>192</v>
      </c>
      <c r="B110" s="15" t="s">
        <v>61</v>
      </c>
      <c r="C110" s="15" t="s">
        <v>116</v>
      </c>
      <c r="D110" s="19" t="s">
        <v>188</v>
      </c>
      <c r="E110" s="19" t="s">
        <v>156</v>
      </c>
      <c r="F110" s="19" t="s">
        <v>75</v>
      </c>
    </row>
    <row r="111" spans="1:6" s="2" customFormat="1" ht="14.4">
      <c r="A111" s="15" t="s">
        <v>193</v>
      </c>
      <c r="B111" s="15" t="s">
        <v>61</v>
      </c>
      <c r="C111" s="15" t="s">
        <v>116</v>
      </c>
      <c r="D111" s="19" t="s">
        <v>188</v>
      </c>
      <c r="E111" s="19" t="s">
        <v>156</v>
      </c>
      <c r="F111" s="19" t="s">
        <v>75</v>
      </c>
    </row>
    <row r="112" spans="1:6" ht="14.4">
      <c r="A112" s="15" t="s">
        <v>194</v>
      </c>
      <c r="B112" s="15" t="s">
        <v>61</v>
      </c>
      <c r="C112" s="15" t="s">
        <v>116</v>
      </c>
      <c r="D112" s="19" t="s">
        <v>188</v>
      </c>
      <c r="E112" s="19" t="s">
        <v>156</v>
      </c>
      <c r="F112" s="19" t="s">
        <v>75</v>
      </c>
    </row>
    <row r="113" spans="1:6" ht="14.4">
      <c r="A113" s="15" t="s">
        <v>195</v>
      </c>
      <c r="B113" s="15" t="s">
        <v>61</v>
      </c>
      <c r="C113" s="15" t="s">
        <v>116</v>
      </c>
      <c r="D113" s="19" t="s">
        <v>188</v>
      </c>
      <c r="E113" s="19" t="s">
        <v>156</v>
      </c>
      <c r="F113" s="19" t="s">
        <v>75</v>
      </c>
    </row>
    <row r="114" spans="1:6" ht="14.4">
      <c r="A114" s="15" t="s">
        <v>196</v>
      </c>
      <c r="B114" s="15" t="s">
        <v>61</v>
      </c>
      <c r="C114" s="15" t="s">
        <v>116</v>
      </c>
      <c r="D114" s="19" t="s">
        <v>188</v>
      </c>
      <c r="E114" s="19" t="s">
        <v>156</v>
      </c>
      <c r="F114" s="19" t="s">
        <v>75</v>
      </c>
    </row>
    <row r="115" spans="1:6" ht="14.4">
      <c r="A115" s="15" t="s">
        <v>197</v>
      </c>
      <c r="B115" s="15" t="s">
        <v>61</v>
      </c>
      <c r="C115" s="15" t="s">
        <v>116</v>
      </c>
      <c r="D115" s="19" t="s">
        <v>188</v>
      </c>
      <c r="E115" s="19" t="s">
        <v>156</v>
      </c>
      <c r="F115" s="19" t="s">
        <v>75</v>
      </c>
    </row>
    <row r="116" spans="1:6" ht="14.4">
      <c r="A116" s="15" t="s">
        <v>198</v>
      </c>
      <c r="B116" s="15" t="s">
        <v>61</v>
      </c>
      <c r="C116" s="15" t="s">
        <v>116</v>
      </c>
      <c r="D116" s="19" t="s">
        <v>188</v>
      </c>
      <c r="E116" s="19" t="s">
        <v>156</v>
      </c>
      <c r="F116" s="19" t="s">
        <v>75</v>
      </c>
    </row>
    <row r="117" spans="1:6" ht="14.4">
      <c r="A117" s="15" t="s">
        <v>199</v>
      </c>
      <c r="B117" s="15" t="s">
        <v>61</v>
      </c>
      <c r="C117" s="15" t="s">
        <v>116</v>
      </c>
      <c r="D117" s="19" t="s">
        <v>188</v>
      </c>
      <c r="E117" s="19" t="s">
        <v>156</v>
      </c>
      <c r="F117" s="19" t="s">
        <v>75</v>
      </c>
    </row>
    <row r="118" spans="1:6" ht="14.4">
      <c r="A118" s="15" t="s">
        <v>200</v>
      </c>
      <c r="B118" s="15" t="s">
        <v>61</v>
      </c>
      <c r="C118" s="15" t="s">
        <v>116</v>
      </c>
      <c r="D118" s="19" t="s">
        <v>188</v>
      </c>
      <c r="E118" s="19" t="s">
        <v>156</v>
      </c>
      <c r="F118" s="19" t="s">
        <v>75</v>
      </c>
    </row>
    <row r="119" spans="1:6" ht="14.4">
      <c r="A119" s="15" t="s">
        <v>201</v>
      </c>
      <c r="B119" s="15" t="s">
        <v>61</v>
      </c>
      <c r="C119" s="15" t="s">
        <v>116</v>
      </c>
      <c r="D119" s="19" t="s">
        <v>188</v>
      </c>
      <c r="E119" s="19" t="s">
        <v>156</v>
      </c>
      <c r="F119" s="19" t="s">
        <v>75</v>
      </c>
    </row>
    <row r="120" spans="1:6" ht="14.4">
      <c r="A120" s="15" t="s">
        <v>202</v>
      </c>
      <c r="B120" s="15" t="s">
        <v>61</v>
      </c>
      <c r="C120" s="15" t="s">
        <v>116</v>
      </c>
      <c r="D120" s="19" t="s">
        <v>188</v>
      </c>
      <c r="E120" s="19" t="s">
        <v>156</v>
      </c>
      <c r="F120" s="19" t="s">
        <v>75</v>
      </c>
    </row>
    <row r="121" spans="1:6" ht="14.4">
      <c r="A121" s="15" t="s">
        <v>203</v>
      </c>
      <c r="B121" s="15" t="s">
        <v>61</v>
      </c>
      <c r="C121" s="15" t="s">
        <v>116</v>
      </c>
      <c r="D121" s="19" t="s">
        <v>188</v>
      </c>
      <c r="E121" s="19" t="s">
        <v>156</v>
      </c>
      <c r="F121" s="19" t="s">
        <v>75</v>
      </c>
    </row>
    <row r="122" spans="1:6" ht="14.4">
      <c r="A122" s="15" t="s">
        <v>204</v>
      </c>
      <c r="B122" s="15" t="s">
        <v>61</v>
      </c>
      <c r="C122" s="15" t="s">
        <v>116</v>
      </c>
      <c r="D122" s="19" t="s">
        <v>188</v>
      </c>
      <c r="E122" s="19" t="s">
        <v>156</v>
      </c>
      <c r="F122" s="19" t="s">
        <v>75</v>
      </c>
    </row>
    <row r="123" spans="1:6" ht="14.4">
      <c r="A123" s="15" t="s">
        <v>205</v>
      </c>
      <c r="B123" s="15" t="s">
        <v>61</v>
      </c>
      <c r="C123" s="15" t="s">
        <v>116</v>
      </c>
      <c r="D123" s="19" t="s">
        <v>188</v>
      </c>
      <c r="E123" s="19" t="s">
        <v>156</v>
      </c>
      <c r="F123" s="19" t="s">
        <v>75</v>
      </c>
    </row>
    <row r="124" spans="1:6" ht="14.4">
      <c r="A124" s="15" t="s">
        <v>206</v>
      </c>
      <c r="B124" s="15" t="s">
        <v>61</v>
      </c>
      <c r="C124" s="15" t="s">
        <v>116</v>
      </c>
      <c r="D124" s="19" t="s">
        <v>188</v>
      </c>
      <c r="E124" s="19" t="s">
        <v>156</v>
      </c>
      <c r="F124" s="19" t="s">
        <v>75</v>
      </c>
    </row>
    <row r="125" spans="1:6" ht="14.4">
      <c r="A125" s="15" t="s">
        <v>207</v>
      </c>
      <c r="B125" s="15" t="s">
        <v>61</v>
      </c>
      <c r="C125" s="15" t="s">
        <v>116</v>
      </c>
      <c r="D125" s="19" t="s">
        <v>136</v>
      </c>
      <c r="E125" s="19" t="s">
        <v>156</v>
      </c>
      <c r="F125" s="19" t="s">
        <v>75</v>
      </c>
    </row>
    <row r="126" spans="1:6" ht="14.4">
      <c r="A126" s="15" t="s">
        <v>208</v>
      </c>
      <c r="B126" s="15" t="s">
        <v>61</v>
      </c>
      <c r="C126" s="15" t="s">
        <v>116</v>
      </c>
      <c r="D126" s="19" t="s">
        <v>188</v>
      </c>
      <c r="E126" s="19" t="s">
        <v>156</v>
      </c>
      <c r="F126" s="19" t="s">
        <v>75</v>
      </c>
    </row>
    <row r="127" spans="1:6" ht="14.4">
      <c r="A127" s="15" t="s">
        <v>209</v>
      </c>
      <c r="B127" s="15" t="s">
        <v>61</v>
      </c>
      <c r="C127" s="15" t="s">
        <v>116</v>
      </c>
      <c r="D127" s="19" t="s">
        <v>210</v>
      </c>
      <c r="E127" s="19" t="s">
        <v>156</v>
      </c>
      <c r="F127" s="19" t="s">
        <v>75</v>
      </c>
    </row>
    <row r="128" spans="1:6" ht="14.4">
      <c r="A128" s="15" t="s">
        <v>211</v>
      </c>
      <c r="B128" s="15" t="s">
        <v>61</v>
      </c>
      <c r="C128" s="15" t="s">
        <v>116</v>
      </c>
      <c r="D128" s="19" t="s">
        <v>136</v>
      </c>
      <c r="E128" s="19" t="s">
        <v>156</v>
      </c>
      <c r="F128" s="19" t="s">
        <v>75</v>
      </c>
    </row>
    <row r="129" spans="1:6" ht="14.4">
      <c r="A129" s="15" t="s">
        <v>212</v>
      </c>
      <c r="B129" s="15" t="s">
        <v>61</v>
      </c>
      <c r="C129" s="15" t="s">
        <v>116</v>
      </c>
      <c r="D129" s="19" t="s">
        <v>136</v>
      </c>
      <c r="E129" s="19" t="s">
        <v>156</v>
      </c>
      <c r="F129" s="19" t="s">
        <v>75</v>
      </c>
    </row>
    <row r="130" spans="1:6" ht="14.4">
      <c r="A130" s="15" t="s">
        <v>213</v>
      </c>
      <c r="B130" s="15" t="s">
        <v>61</v>
      </c>
      <c r="C130" s="15" t="s">
        <v>116</v>
      </c>
      <c r="D130" s="19" t="s">
        <v>136</v>
      </c>
      <c r="E130" s="19" t="s">
        <v>156</v>
      </c>
      <c r="F130" s="19" t="s">
        <v>75</v>
      </c>
    </row>
    <row r="131" spans="1:6" ht="14.4">
      <c r="A131" s="15" t="s">
        <v>214</v>
      </c>
      <c r="B131" s="15" t="s">
        <v>61</v>
      </c>
      <c r="C131" s="15" t="s">
        <v>116</v>
      </c>
      <c r="D131" s="19" t="s">
        <v>188</v>
      </c>
      <c r="E131" s="19" t="s">
        <v>156</v>
      </c>
      <c r="F131" s="19" t="s">
        <v>75</v>
      </c>
    </row>
    <row r="132" spans="1:6" ht="14.4">
      <c r="A132" s="15" t="s">
        <v>215</v>
      </c>
      <c r="B132" s="15" t="s">
        <v>61</v>
      </c>
      <c r="C132" s="15" t="s">
        <v>116</v>
      </c>
      <c r="D132" s="19" t="s">
        <v>188</v>
      </c>
      <c r="E132" s="19" t="s">
        <v>156</v>
      </c>
      <c r="F132" s="19" t="s">
        <v>75</v>
      </c>
    </row>
    <row r="133" spans="1:6" ht="14.4">
      <c r="A133" s="15" t="s">
        <v>216</v>
      </c>
      <c r="B133" s="15" t="s">
        <v>61</v>
      </c>
      <c r="C133" s="15" t="s">
        <v>116</v>
      </c>
      <c r="D133" s="19" t="s">
        <v>188</v>
      </c>
      <c r="E133" s="19" t="s">
        <v>156</v>
      </c>
      <c r="F133" s="19" t="s">
        <v>75</v>
      </c>
    </row>
    <row r="134" spans="1:6" ht="14.4">
      <c r="A134" s="15" t="s">
        <v>217</v>
      </c>
      <c r="B134" s="15" t="s">
        <v>61</v>
      </c>
      <c r="C134" s="15" t="s">
        <v>116</v>
      </c>
      <c r="D134" s="19" t="s">
        <v>188</v>
      </c>
      <c r="E134" s="19" t="s">
        <v>156</v>
      </c>
      <c r="F134" s="19" t="s">
        <v>75</v>
      </c>
    </row>
    <row r="135" spans="1:6" ht="14.4">
      <c r="A135" s="15" t="s">
        <v>218</v>
      </c>
      <c r="B135" s="15" t="s">
        <v>61</v>
      </c>
      <c r="C135" s="15" t="s">
        <v>116</v>
      </c>
      <c r="D135" s="19" t="s">
        <v>219</v>
      </c>
      <c r="E135" s="19" t="s">
        <v>156</v>
      </c>
      <c r="F135" s="19" t="s">
        <v>75</v>
      </c>
    </row>
    <row r="136" spans="1:6" ht="14.4">
      <c r="A136" s="15" t="s">
        <v>220</v>
      </c>
      <c r="B136" s="15" t="s">
        <v>61</v>
      </c>
      <c r="C136" s="15" t="s">
        <v>116</v>
      </c>
      <c r="D136" s="19" t="s">
        <v>136</v>
      </c>
      <c r="E136" s="19" t="s">
        <v>156</v>
      </c>
      <c r="F136" s="19" t="s">
        <v>75</v>
      </c>
    </row>
    <row r="137" spans="1:6" ht="14.4">
      <c r="A137" s="15" t="s">
        <v>221</v>
      </c>
      <c r="B137" s="15" t="s">
        <v>61</v>
      </c>
      <c r="C137" s="15" t="s">
        <v>116</v>
      </c>
      <c r="D137" s="19" t="s">
        <v>188</v>
      </c>
      <c r="E137" s="19" t="s">
        <v>156</v>
      </c>
      <c r="F137" s="19" t="s">
        <v>75</v>
      </c>
    </row>
    <row r="138" spans="1:6" ht="14.4">
      <c r="A138" s="15" t="s">
        <v>222</v>
      </c>
      <c r="B138" s="15" t="s">
        <v>61</v>
      </c>
      <c r="C138" s="15" t="s">
        <v>116</v>
      </c>
      <c r="D138" s="19" t="s">
        <v>188</v>
      </c>
      <c r="E138" s="19" t="s">
        <v>156</v>
      </c>
      <c r="F138" s="19" t="s">
        <v>75</v>
      </c>
    </row>
    <row r="139" spans="1:6" s="16" customFormat="1" ht="14.4">
      <c r="A139" s="15" t="s">
        <v>223</v>
      </c>
      <c r="B139" s="15" t="s">
        <v>61</v>
      </c>
      <c r="C139" s="15" t="s">
        <v>116</v>
      </c>
      <c r="D139" s="19" t="s">
        <v>188</v>
      </c>
      <c r="E139" s="19" t="s">
        <v>156</v>
      </c>
      <c r="F139" s="19" t="s">
        <v>75</v>
      </c>
    </row>
    <row r="140" spans="1:6" ht="14.4">
      <c r="A140" s="15" t="s">
        <v>224</v>
      </c>
      <c r="B140" s="15" t="s">
        <v>61</v>
      </c>
      <c r="C140" s="15" t="s">
        <v>116</v>
      </c>
      <c r="D140" s="19" t="s">
        <v>188</v>
      </c>
      <c r="E140" s="19" t="s">
        <v>156</v>
      </c>
      <c r="F140" s="19" t="s">
        <v>75</v>
      </c>
    </row>
    <row r="141" spans="1:6" ht="14.4">
      <c r="A141" s="15" t="s">
        <v>225</v>
      </c>
      <c r="B141" s="15" t="s">
        <v>61</v>
      </c>
      <c r="C141" s="15" t="s">
        <v>116</v>
      </c>
      <c r="D141" s="19" t="s">
        <v>188</v>
      </c>
      <c r="E141" s="19" t="s">
        <v>156</v>
      </c>
      <c r="F141" s="19" t="s">
        <v>75</v>
      </c>
    </row>
    <row r="142" spans="1:6" ht="14.4">
      <c r="A142" s="15" t="s">
        <v>226</v>
      </c>
      <c r="B142" s="15" t="s">
        <v>61</v>
      </c>
      <c r="C142" s="15" t="s">
        <v>116</v>
      </c>
      <c r="D142" s="19" t="s">
        <v>188</v>
      </c>
      <c r="E142" s="19" t="s">
        <v>156</v>
      </c>
      <c r="F142" s="19" t="s">
        <v>75</v>
      </c>
    </row>
    <row r="143" spans="1:6" ht="14.4">
      <c r="A143" s="15" t="s">
        <v>227</v>
      </c>
      <c r="B143" s="15" t="s">
        <v>61</v>
      </c>
      <c r="C143" s="15" t="s">
        <v>116</v>
      </c>
      <c r="D143" s="19" t="s">
        <v>188</v>
      </c>
      <c r="E143" s="19" t="s">
        <v>156</v>
      </c>
      <c r="F143" s="19" t="s">
        <v>75</v>
      </c>
    </row>
    <row r="144" spans="1:6" ht="14.4">
      <c r="A144" s="15" t="s">
        <v>228</v>
      </c>
      <c r="B144" s="15" t="s">
        <v>61</v>
      </c>
      <c r="C144" s="15" t="s">
        <v>116</v>
      </c>
      <c r="D144" s="19" t="s">
        <v>188</v>
      </c>
      <c r="E144" s="19" t="s">
        <v>156</v>
      </c>
      <c r="F144" s="19" t="s">
        <v>75</v>
      </c>
    </row>
    <row r="145" spans="1:6" ht="14.4">
      <c r="A145" s="15" t="s">
        <v>229</v>
      </c>
      <c r="B145" s="15" t="s">
        <v>61</v>
      </c>
      <c r="C145" s="15" t="s">
        <v>116</v>
      </c>
      <c r="D145" s="19" t="s">
        <v>136</v>
      </c>
      <c r="E145" s="19" t="s">
        <v>156</v>
      </c>
      <c r="F145" s="19" t="s">
        <v>75</v>
      </c>
    </row>
    <row r="146" spans="1:6" ht="14.4">
      <c r="A146" s="15" t="s">
        <v>230</v>
      </c>
      <c r="B146" s="15" t="s">
        <v>61</v>
      </c>
      <c r="C146" s="15" t="s">
        <v>116</v>
      </c>
      <c r="D146" s="19" t="s">
        <v>188</v>
      </c>
      <c r="E146" s="19" t="s">
        <v>156</v>
      </c>
      <c r="F146" s="19" t="s">
        <v>75</v>
      </c>
    </row>
    <row r="147" spans="1:6" ht="14.4">
      <c r="A147" s="15" t="s">
        <v>231</v>
      </c>
      <c r="B147" s="15" t="s">
        <v>61</v>
      </c>
      <c r="C147" s="15" t="s">
        <v>116</v>
      </c>
      <c r="D147" s="19" t="s">
        <v>188</v>
      </c>
      <c r="E147" s="19" t="s">
        <v>156</v>
      </c>
      <c r="F147" s="19" t="s">
        <v>75</v>
      </c>
    </row>
    <row r="148" spans="1:6" ht="14.4">
      <c r="A148" s="15" t="s">
        <v>232</v>
      </c>
      <c r="B148" s="15" t="s">
        <v>61</v>
      </c>
      <c r="C148" s="15" t="s">
        <v>116</v>
      </c>
      <c r="D148" s="19" t="s">
        <v>188</v>
      </c>
      <c r="E148" s="19" t="s">
        <v>156</v>
      </c>
      <c r="F148" s="19" t="s">
        <v>75</v>
      </c>
    </row>
    <row r="149" spans="1:6" ht="14.4">
      <c r="A149" s="15" t="s">
        <v>233</v>
      </c>
      <c r="B149" s="15" t="s">
        <v>61</v>
      </c>
      <c r="C149" s="15" t="s">
        <v>116</v>
      </c>
      <c r="D149" s="19" t="s">
        <v>188</v>
      </c>
      <c r="E149" s="19" t="s">
        <v>156</v>
      </c>
      <c r="F149" s="19" t="s">
        <v>75</v>
      </c>
    </row>
    <row r="150" spans="1:6" ht="14.4">
      <c r="A150" s="15" t="s">
        <v>234</v>
      </c>
      <c r="B150" s="15" t="s">
        <v>61</v>
      </c>
      <c r="C150" s="15" t="s">
        <v>116</v>
      </c>
      <c r="D150" s="19" t="s">
        <v>188</v>
      </c>
      <c r="E150" s="19" t="s">
        <v>156</v>
      </c>
      <c r="F150" s="19" t="s">
        <v>75</v>
      </c>
    </row>
    <row r="151" spans="1:6" ht="14.4">
      <c r="A151" s="15" t="s">
        <v>235</v>
      </c>
      <c r="B151" s="15" t="s">
        <v>61</v>
      </c>
      <c r="C151" s="15" t="s">
        <v>116</v>
      </c>
      <c r="D151" s="19" t="s">
        <v>136</v>
      </c>
      <c r="E151" s="19" t="s">
        <v>156</v>
      </c>
      <c r="F151" s="19" t="s">
        <v>75</v>
      </c>
    </row>
    <row r="152" spans="1:6" ht="14.4">
      <c r="A152" s="15" t="s">
        <v>236</v>
      </c>
      <c r="B152" s="15" t="s">
        <v>61</v>
      </c>
      <c r="C152" s="15" t="s">
        <v>116</v>
      </c>
      <c r="D152" s="19" t="s">
        <v>188</v>
      </c>
      <c r="E152" s="19" t="s">
        <v>156</v>
      </c>
      <c r="F152" s="19" t="s">
        <v>75</v>
      </c>
    </row>
    <row r="153" spans="1:6" ht="14.4">
      <c r="A153" s="15" t="s">
        <v>237</v>
      </c>
      <c r="B153" s="15" t="s">
        <v>61</v>
      </c>
      <c r="C153" s="15" t="s">
        <v>116</v>
      </c>
      <c r="D153" s="19" t="s">
        <v>188</v>
      </c>
      <c r="E153" s="19" t="s">
        <v>156</v>
      </c>
      <c r="F153" s="19" t="s">
        <v>75</v>
      </c>
    </row>
    <row r="154" spans="1:6" ht="14.4">
      <c r="A154" s="15" t="s">
        <v>238</v>
      </c>
      <c r="B154" s="15" t="s">
        <v>61</v>
      </c>
      <c r="C154" s="15" t="s">
        <v>116</v>
      </c>
      <c r="D154" s="19" t="s">
        <v>136</v>
      </c>
      <c r="E154" s="19" t="s">
        <v>156</v>
      </c>
      <c r="F154" s="19" t="s">
        <v>75</v>
      </c>
    </row>
    <row r="155" spans="1:6" ht="14.4">
      <c r="A155" s="15" t="s">
        <v>239</v>
      </c>
      <c r="B155" s="15" t="s">
        <v>61</v>
      </c>
      <c r="C155" s="15" t="s">
        <v>116</v>
      </c>
      <c r="D155" s="19" t="s">
        <v>136</v>
      </c>
      <c r="E155" s="19" t="s">
        <v>156</v>
      </c>
      <c r="F155" s="19" t="s">
        <v>75</v>
      </c>
    </row>
    <row r="156" spans="1:6" ht="14.4">
      <c r="A156" s="15" t="s">
        <v>240</v>
      </c>
      <c r="B156" s="15" t="s">
        <v>61</v>
      </c>
      <c r="C156" s="15" t="s">
        <v>116</v>
      </c>
      <c r="D156" s="19" t="s">
        <v>136</v>
      </c>
      <c r="E156" s="19" t="s">
        <v>156</v>
      </c>
      <c r="F156" s="19" t="s">
        <v>75</v>
      </c>
    </row>
    <row r="157" spans="1:6" ht="14.4">
      <c r="A157" s="15" t="s">
        <v>241</v>
      </c>
      <c r="B157" s="15" t="s">
        <v>61</v>
      </c>
      <c r="C157" s="15" t="s">
        <v>116</v>
      </c>
      <c r="D157" s="19" t="s">
        <v>242</v>
      </c>
      <c r="E157" s="19" t="s">
        <v>156</v>
      </c>
      <c r="F157" s="19" t="s">
        <v>75</v>
      </c>
    </row>
    <row r="158" spans="1:6" ht="14.4">
      <c r="A158" s="15" t="s">
        <v>243</v>
      </c>
      <c r="B158" s="15" t="s">
        <v>61</v>
      </c>
      <c r="C158" s="15" t="s">
        <v>116</v>
      </c>
      <c r="D158" s="19" t="s">
        <v>141</v>
      </c>
      <c r="E158" s="19" t="s">
        <v>156</v>
      </c>
      <c r="F158" s="19" t="s">
        <v>75</v>
      </c>
    </row>
    <row r="159" spans="1:6" ht="14.4">
      <c r="A159" s="15" t="s">
        <v>244</v>
      </c>
      <c r="B159" s="15" t="s">
        <v>61</v>
      </c>
      <c r="C159" s="15" t="s">
        <v>116</v>
      </c>
      <c r="D159" s="19" t="s">
        <v>242</v>
      </c>
      <c r="E159" s="19" t="s">
        <v>156</v>
      </c>
      <c r="F159" s="19" t="s">
        <v>75</v>
      </c>
    </row>
    <row r="160" spans="1:6" ht="14.4">
      <c r="A160" s="15" t="s">
        <v>245</v>
      </c>
      <c r="B160" s="15" t="s">
        <v>50</v>
      </c>
      <c r="C160" s="15" t="s">
        <v>116</v>
      </c>
      <c r="D160" s="19" t="s">
        <v>242</v>
      </c>
      <c r="E160" s="19" t="s">
        <v>156</v>
      </c>
      <c r="F160" s="19" t="s">
        <v>75</v>
      </c>
    </row>
    <row r="161" spans="1:6" ht="14.4">
      <c r="A161" s="15" t="s">
        <v>246</v>
      </c>
      <c r="B161" s="15" t="s">
        <v>61</v>
      </c>
      <c r="C161" s="15" t="s">
        <v>116</v>
      </c>
      <c r="D161" s="19" t="s">
        <v>247</v>
      </c>
      <c r="E161" s="19" t="s">
        <v>156</v>
      </c>
      <c r="F161" s="19" t="s">
        <v>75</v>
      </c>
    </row>
    <row r="162" spans="1:6" ht="14.4">
      <c r="A162" s="15" t="s">
        <v>248</v>
      </c>
      <c r="B162" s="15" t="s">
        <v>61</v>
      </c>
      <c r="C162" s="15" t="s">
        <v>116</v>
      </c>
      <c r="D162" s="19" t="s">
        <v>247</v>
      </c>
      <c r="E162" s="19" t="s">
        <v>156</v>
      </c>
      <c r="F162" s="19" t="s">
        <v>75</v>
      </c>
    </row>
    <row r="163" spans="1:6" ht="14.4">
      <c r="A163" s="15" t="s">
        <v>249</v>
      </c>
      <c r="B163" s="15" t="s">
        <v>61</v>
      </c>
      <c r="C163" s="15" t="s">
        <v>116</v>
      </c>
      <c r="D163" s="19" t="s">
        <v>247</v>
      </c>
      <c r="E163" s="19" t="s">
        <v>156</v>
      </c>
      <c r="F163" s="19" t="s">
        <v>75</v>
      </c>
    </row>
    <row r="164" spans="1:6" ht="14.4">
      <c r="A164" s="15" t="s">
        <v>250</v>
      </c>
      <c r="B164" s="15" t="s">
        <v>61</v>
      </c>
      <c r="C164" s="15" t="s">
        <v>116</v>
      </c>
      <c r="D164" s="19" t="s">
        <v>247</v>
      </c>
      <c r="E164" s="19" t="s">
        <v>156</v>
      </c>
      <c r="F164" s="19" t="s">
        <v>75</v>
      </c>
    </row>
    <row r="165" spans="1:6" ht="14.4">
      <c r="A165" s="15" t="s">
        <v>251</v>
      </c>
      <c r="B165" s="15" t="s">
        <v>61</v>
      </c>
      <c r="C165" s="15" t="s">
        <v>116</v>
      </c>
      <c r="D165" s="19" t="s">
        <v>247</v>
      </c>
      <c r="E165" s="19" t="s">
        <v>156</v>
      </c>
      <c r="F165" s="19" t="s">
        <v>75</v>
      </c>
    </row>
    <row r="166" spans="1:6" ht="14.4">
      <c r="A166" s="15" t="s">
        <v>252</v>
      </c>
      <c r="B166" s="15" t="s">
        <v>61</v>
      </c>
      <c r="C166" s="15" t="s">
        <v>116</v>
      </c>
      <c r="D166" s="19" t="s">
        <v>247</v>
      </c>
      <c r="E166" s="19" t="s">
        <v>156</v>
      </c>
      <c r="F166" s="19" t="s">
        <v>75</v>
      </c>
    </row>
    <row r="167" spans="1:6" ht="14.4">
      <c r="A167" s="15" t="s">
        <v>253</v>
      </c>
      <c r="B167" s="15" t="s">
        <v>61</v>
      </c>
      <c r="C167" s="15" t="s">
        <v>116</v>
      </c>
      <c r="D167" s="19" t="s">
        <v>247</v>
      </c>
      <c r="E167" s="19" t="s">
        <v>156</v>
      </c>
      <c r="F167" s="19" t="s">
        <v>75</v>
      </c>
    </row>
    <row r="168" spans="1:6" ht="14.4">
      <c r="A168" s="15" t="s">
        <v>254</v>
      </c>
      <c r="B168" s="15" t="s">
        <v>61</v>
      </c>
      <c r="C168" s="15" t="s">
        <v>116</v>
      </c>
      <c r="D168" s="19" t="s">
        <v>247</v>
      </c>
      <c r="E168" s="19" t="s">
        <v>156</v>
      </c>
      <c r="F168" s="19" t="s">
        <v>75</v>
      </c>
    </row>
    <row r="169" spans="1:6" ht="14.4">
      <c r="A169" s="15" t="s">
        <v>255</v>
      </c>
      <c r="B169" s="15" t="s">
        <v>61</v>
      </c>
      <c r="C169" s="15" t="s">
        <v>116</v>
      </c>
      <c r="D169" s="19" t="s">
        <v>247</v>
      </c>
      <c r="E169" s="19" t="s">
        <v>156</v>
      </c>
      <c r="F169" s="19" t="s">
        <v>75</v>
      </c>
    </row>
    <row r="170" spans="1:6" ht="14.4">
      <c r="A170" s="15" t="s">
        <v>256</v>
      </c>
      <c r="B170" s="15" t="s">
        <v>61</v>
      </c>
      <c r="C170" s="15" t="s">
        <v>116</v>
      </c>
      <c r="D170" s="19" t="s">
        <v>247</v>
      </c>
      <c r="E170" s="19" t="s">
        <v>156</v>
      </c>
      <c r="F170" s="19" t="s">
        <v>75</v>
      </c>
    </row>
    <row r="171" spans="1:6" ht="14.4">
      <c r="A171" s="15" t="s">
        <v>257</v>
      </c>
      <c r="B171" s="15" t="s">
        <v>61</v>
      </c>
      <c r="C171" s="15" t="s">
        <v>116</v>
      </c>
      <c r="D171" s="19" t="s">
        <v>247</v>
      </c>
      <c r="E171" s="19" t="s">
        <v>156</v>
      </c>
      <c r="F171" s="19" t="s">
        <v>75</v>
      </c>
    </row>
    <row r="172" spans="1:6" ht="14.4">
      <c r="A172" s="15" t="s">
        <v>258</v>
      </c>
      <c r="B172" s="15" t="s">
        <v>61</v>
      </c>
      <c r="C172" s="15" t="s">
        <v>116</v>
      </c>
      <c r="D172" s="19" t="s">
        <v>247</v>
      </c>
      <c r="E172" s="19" t="s">
        <v>156</v>
      </c>
      <c r="F172" s="19" t="s">
        <v>75</v>
      </c>
    </row>
    <row r="173" spans="1:6" ht="14.4">
      <c r="A173" s="15" t="s">
        <v>259</v>
      </c>
      <c r="B173" s="15" t="s">
        <v>61</v>
      </c>
      <c r="C173" s="15" t="s">
        <v>116</v>
      </c>
      <c r="D173" s="19" t="s">
        <v>247</v>
      </c>
      <c r="E173" s="19" t="s">
        <v>156</v>
      </c>
      <c r="F173" s="19" t="s">
        <v>75</v>
      </c>
    </row>
    <row r="174" spans="1:6" ht="14.4">
      <c r="A174" s="15" t="s">
        <v>260</v>
      </c>
      <c r="B174" s="15" t="s">
        <v>61</v>
      </c>
      <c r="C174" s="15" t="s">
        <v>116</v>
      </c>
      <c r="D174" s="19" t="s">
        <v>247</v>
      </c>
      <c r="E174" s="19" t="s">
        <v>156</v>
      </c>
      <c r="F174" s="19" t="s">
        <v>75</v>
      </c>
    </row>
    <row r="175" spans="1:6" ht="14.4">
      <c r="A175" s="15" t="s">
        <v>261</v>
      </c>
      <c r="B175" s="15" t="s">
        <v>61</v>
      </c>
      <c r="C175" s="15" t="s">
        <v>116</v>
      </c>
      <c r="D175" s="19" t="s">
        <v>247</v>
      </c>
      <c r="E175" s="19" t="s">
        <v>156</v>
      </c>
      <c r="F175" s="19" t="s">
        <v>75</v>
      </c>
    </row>
    <row r="176" spans="1:6" ht="14.4">
      <c r="A176" s="15" t="s">
        <v>262</v>
      </c>
      <c r="B176" s="15" t="s">
        <v>61</v>
      </c>
      <c r="C176" s="15" t="s">
        <v>116</v>
      </c>
      <c r="D176" s="19" t="s">
        <v>247</v>
      </c>
      <c r="E176" s="19" t="s">
        <v>156</v>
      </c>
      <c r="F176" s="19" t="s">
        <v>75</v>
      </c>
    </row>
    <row r="177" spans="1:6" ht="14.4">
      <c r="A177" s="15" t="s">
        <v>263</v>
      </c>
      <c r="B177" s="15" t="s">
        <v>61</v>
      </c>
      <c r="C177" s="15" t="s">
        <v>116</v>
      </c>
      <c r="D177" s="19" t="s">
        <v>247</v>
      </c>
      <c r="E177" s="19" t="s">
        <v>156</v>
      </c>
      <c r="F177" s="19" t="s">
        <v>75</v>
      </c>
    </row>
    <row r="178" spans="1:6" ht="14.4">
      <c r="A178" s="15" t="s">
        <v>264</v>
      </c>
      <c r="B178" s="15" t="s">
        <v>61</v>
      </c>
      <c r="C178" s="15" t="s">
        <v>116</v>
      </c>
      <c r="D178" s="19" t="s">
        <v>247</v>
      </c>
      <c r="E178" s="19" t="s">
        <v>156</v>
      </c>
      <c r="F178" s="19" t="s">
        <v>75</v>
      </c>
    </row>
    <row r="179" spans="1:6" ht="14.4">
      <c r="A179" s="15" t="s">
        <v>265</v>
      </c>
      <c r="B179" s="15" t="s">
        <v>61</v>
      </c>
      <c r="C179" s="15" t="s">
        <v>116</v>
      </c>
      <c r="D179" s="19" t="s">
        <v>247</v>
      </c>
      <c r="E179" s="19" t="s">
        <v>156</v>
      </c>
      <c r="F179" s="19" t="s">
        <v>75</v>
      </c>
    </row>
    <row r="180" spans="1:6" ht="14.4">
      <c r="A180" s="15" t="s">
        <v>266</v>
      </c>
      <c r="B180" s="15" t="s">
        <v>50</v>
      </c>
      <c r="C180" s="15" t="s">
        <v>116</v>
      </c>
      <c r="D180" s="19" t="s">
        <v>247</v>
      </c>
      <c r="E180" s="19" t="s">
        <v>156</v>
      </c>
      <c r="F180" s="19" t="s">
        <v>75</v>
      </c>
    </row>
    <row r="181" spans="1:6" ht="14.4">
      <c r="A181" s="15" t="s">
        <v>267</v>
      </c>
      <c r="B181" s="15" t="s">
        <v>61</v>
      </c>
      <c r="C181" s="15" t="s">
        <v>116</v>
      </c>
      <c r="D181" s="19" t="s">
        <v>247</v>
      </c>
      <c r="E181" s="19" t="s">
        <v>156</v>
      </c>
      <c r="F181" s="19" t="s">
        <v>75</v>
      </c>
    </row>
    <row r="182" spans="1:6" ht="14.4">
      <c r="A182" s="15" t="s">
        <v>268</v>
      </c>
      <c r="B182" s="15" t="s">
        <v>61</v>
      </c>
      <c r="C182" s="15" t="s">
        <v>116</v>
      </c>
      <c r="D182" s="19" t="s">
        <v>247</v>
      </c>
      <c r="E182" s="19" t="s">
        <v>156</v>
      </c>
      <c r="F182" s="19" t="s">
        <v>75</v>
      </c>
    </row>
    <row r="183" spans="1:6" ht="14.4">
      <c r="A183" s="15" t="s">
        <v>269</v>
      </c>
      <c r="B183" s="15" t="s">
        <v>61</v>
      </c>
      <c r="C183" s="15" t="s">
        <v>116</v>
      </c>
      <c r="D183" s="19" t="s">
        <v>247</v>
      </c>
      <c r="E183" s="19" t="s">
        <v>156</v>
      </c>
      <c r="F183" s="19" t="s">
        <v>75</v>
      </c>
    </row>
    <row r="184" spans="1:6" ht="14.4">
      <c r="A184" s="15" t="s">
        <v>270</v>
      </c>
      <c r="B184" s="15" t="s">
        <v>61</v>
      </c>
      <c r="C184" s="15" t="s">
        <v>51</v>
      </c>
      <c r="D184" s="19" t="s">
        <v>271</v>
      </c>
      <c r="E184" s="19" t="s">
        <v>156</v>
      </c>
      <c r="F184" s="19" t="s">
        <v>75</v>
      </c>
    </row>
    <row r="185" spans="1:6" ht="14.4">
      <c r="A185" s="15" t="s">
        <v>272</v>
      </c>
      <c r="B185" s="15" t="s">
        <v>61</v>
      </c>
      <c r="C185" s="15" t="s">
        <v>51</v>
      </c>
      <c r="D185" s="19" t="s">
        <v>273</v>
      </c>
      <c r="E185" s="19" t="s">
        <v>156</v>
      </c>
      <c r="F185" s="19" t="s">
        <v>75</v>
      </c>
    </row>
    <row r="186" spans="1:6" ht="14.4">
      <c r="A186" s="15" t="s">
        <v>274</v>
      </c>
      <c r="B186" s="15" t="s">
        <v>61</v>
      </c>
      <c r="C186" s="15" t="s">
        <v>51</v>
      </c>
      <c r="D186" s="19" t="s">
        <v>273</v>
      </c>
      <c r="E186" s="19" t="s">
        <v>156</v>
      </c>
      <c r="F186" s="19" t="s">
        <v>75</v>
      </c>
    </row>
    <row r="187" spans="1:6" ht="14.4">
      <c r="A187" s="15" t="s">
        <v>275</v>
      </c>
      <c r="B187" s="15" t="s">
        <v>61</v>
      </c>
      <c r="C187" s="15" t="s">
        <v>51</v>
      </c>
      <c r="D187" s="19" t="s">
        <v>276</v>
      </c>
      <c r="E187" s="19" t="s">
        <v>156</v>
      </c>
      <c r="F187" s="19" t="s">
        <v>75</v>
      </c>
    </row>
    <row r="188" spans="1:6" ht="14.4">
      <c r="A188" s="15" t="s">
        <v>277</v>
      </c>
      <c r="B188" s="15" t="s">
        <v>50</v>
      </c>
      <c r="C188" s="15" t="s">
        <v>51</v>
      </c>
      <c r="D188" s="19" t="s">
        <v>278</v>
      </c>
      <c r="E188" s="19" t="s">
        <v>156</v>
      </c>
      <c r="F188" s="19" t="s">
        <v>75</v>
      </c>
    </row>
    <row r="189" spans="1:6" ht="14.4">
      <c r="A189" s="15" t="s">
        <v>279</v>
      </c>
      <c r="B189" s="15" t="s">
        <v>61</v>
      </c>
      <c r="C189" s="15" t="s">
        <v>51</v>
      </c>
      <c r="D189" s="19" t="s">
        <v>280</v>
      </c>
      <c r="E189" s="19" t="s">
        <v>156</v>
      </c>
      <c r="F189" s="19" t="s">
        <v>75</v>
      </c>
    </row>
    <row r="190" spans="1:6" ht="14.4">
      <c r="A190" s="15" t="s">
        <v>281</v>
      </c>
      <c r="B190" s="15" t="s">
        <v>61</v>
      </c>
      <c r="C190" s="15" t="s">
        <v>51</v>
      </c>
      <c r="D190" s="19" t="s">
        <v>280</v>
      </c>
      <c r="E190" s="19" t="s">
        <v>156</v>
      </c>
      <c r="F190" s="19" t="s">
        <v>75</v>
      </c>
    </row>
    <row r="191" spans="1:6" ht="14.4">
      <c r="A191" s="15" t="s">
        <v>282</v>
      </c>
      <c r="B191" s="15" t="s">
        <v>61</v>
      </c>
      <c r="C191" s="15" t="s">
        <v>51</v>
      </c>
      <c r="D191" s="19" t="s">
        <v>283</v>
      </c>
      <c r="E191" s="19" t="s">
        <v>156</v>
      </c>
      <c r="F191" s="19" t="s">
        <v>75</v>
      </c>
    </row>
    <row r="192" spans="1:6" ht="14.4">
      <c r="A192" s="15" t="s">
        <v>284</v>
      </c>
      <c r="B192" s="15" t="s">
        <v>61</v>
      </c>
      <c r="C192" s="15" t="s">
        <v>51</v>
      </c>
      <c r="D192" s="19" t="s">
        <v>285</v>
      </c>
      <c r="E192" s="19" t="s">
        <v>156</v>
      </c>
      <c r="F192" s="19" t="s">
        <v>75</v>
      </c>
    </row>
    <row r="193" spans="1:6" ht="14.4">
      <c r="A193" s="15" t="s">
        <v>286</v>
      </c>
      <c r="B193" s="15" t="s">
        <v>61</v>
      </c>
      <c r="C193" s="15" t="s">
        <v>51</v>
      </c>
      <c r="D193" s="19" t="s">
        <v>285</v>
      </c>
      <c r="E193" s="19" t="s">
        <v>156</v>
      </c>
      <c r="F193" s="19" t="s">
        <v>75</v>
      </c>
    </row>
    <row r="194" spans="1:6" ht="14.4">
      <c r="A194" s="15" t="s">
        <v>287</v>
      </c>
      <c r="B194" s="15" t="s">
        <v>61</v>
      </c>
      <c r="C194" s="15" t="s">
        <v>51</v>
      </c>
      <c r="D194" s="19" t="s">
        <v>288</v>
      </c>
      <c r="E194" s="19" t="s">
        <v>156</v>
      </c>
      <c r="F194" s="19" t="s">
        <v>75</v>
      </c>
    </row>
    <row r="195" spans="1:6" ht="14.4">
      <c r="A195" s="15" t="s">
        <v>289</v>
      </c>
      <c r="B195" s="15" t="s">
        <v>61</v>
      </c>
      <c r="C195" s="15" t="s">
        <v>51</v>
      </c>
      <c r="D195" s="19" t="s">
        <v>85</v>
      </c>
      <c r="E195" s="19" t="s">
        <v>156</v>
      </c>
      <c r="F195" s="19" t="s">
        <v>75</v>
      </c>
    </row>
    <row r="196" spans="1:6" ht="14.4">
      <c r="A196" s="15" t="s">
        <v>290</v>
      </c>
      <c r="B196" s="15" t="s">
        <v>61</v>
      </c>
      <c r="C196" s="15" t="s">
        <v>51</v>
      </c>
      <c r="D196" s="19" t="s">
        <v>85</v>
      </c>
      <c r="E196" s="19" t="s">
        <v>156</v>
      </c>
      <c r="F196" s="19" t="s">
        <v>75</v>
      </c>
    </row>
    <row r="197" spans="1:6" ht="14.4">
      <c r="A197" s="15" t="s">
        <v>291</v>
      </c>
      <c r="B197" s="15" t="s">
        <v>61</v>
      </c>
      <c r="C197" s="15" t="s">
        <v>51</v>
      </c>
      <c r="D197" s="19" t="s">
        <v>111</v>
      </c>
      <c r="E197" s="19" t="s">
        <v>156</v>
      </c>
      <c r="F197" s="19" t="s">
        <v>75</v>
      </c>
    </row>
    <row r="198" spans="1:6" ht="14.4">
      <c r="A198" s="15" t="s">
        <v>292</v>
      </c>
      <c r="B198" s="15" t="s">
        <v>61</v>
      </c>
      <c r="C198" s="15" t="s">
        <v>51</v>
      </c>
      <c r="D198" s="19" t="s">
        <v>111</v>
      </c>
      <c r="E198" s="19" t="s">
        <v>156</v>
      </c>
      <c r="F198" s="19" t="s">
        <v>75</v>
      </c>
    </row>
    <row r="199" spans="1:6" ht="14.4">
      <c r="A199" s="15" t="s">
        <v>293</v>
      </c>
      <c r="B199" s="15" t="s">
        <v>61</v>
      </c>
      <c r="C199" s="15" t="s">
        <v>51</v>
      </c>
      <c r="D199" s="19" t="s">
        <v>111</v>
      </c>
      <c r="E199" s="19" t="s">
        <v>156</v>
      </c>
      <c r="F199" s="19" t="s">
        <v>75</v>
      </c>
    </row>
    <row r="200" spans="1:6" ht="14.4">
      <c r="A200" s="15" t="s">
        <v>294</v>
      </c>
      <c r="B200" s="15" t="s">
        <v>61</v>
      </c>
      <c r="C200" s="15" t="s">
        <v>51</v>
      </c>
      <c r="D200" s="19" t="s">
        <v>295</v>
      </c>
      <c r="E200" s="19" t="s">
        <v>156</v>
      </c>
      <c r="F200" s="19" t="s">
        <v>75</v>
      </c>
    </row>
    <row r="201" spans="1:6" ht="14.4">
      <c r="A201" s="15" t="s">
        <v>296</v>
      </c>
      <c r="B201" s="15" t="s">
        <v>61</v>
      </c>
      <c r="C201" s="15" t="s">
        <v>51</v>
      </c>
      <c r="D201" s="19" t="s">
        <v>295</v>
      </c>
      <c r="E201" s="19" t="s">
        <v>156</v>
      </c>
      <c r="F201" s="19" t="s">
        <v>75</v>
      </c>
    </row>
    <row r="202" spans="1:6" ht="14.4">
      <c r="A202" s="15" t="s">
        <v>297</v>
      </c>
      <c r="B202" s="15" t="s">
        <v>61</v>
      </c>
      <c r="C202" s="15" t="s">
        <v>51</v>
      </c>
      <c r="D202" s="19" t="s">
        <v>109</v>
      </c>
      <c r="E202" s="19" t="s">
        <v>156</v>
      </c>
      <c r="F202" s="19" t="s">
        <v>75</v>
      </c>
    </row>
    <row r="203" spans="1:6" ht="14.4">
      <c r="A203" s="15" t="s">
        <v>298</v>
      </c>
      <c r="B203" s="15" t="s">
        <v>61</v>
      </c>
      <c r="C203" s="15" t="s">
        <v>51</v>
      </c>
      <c r="D203" s="19" t="s">
        <v>109</v>
      </c>
      <c r="E203" s="19" t="s">
        <v>156</v>
      </c>
      <c r="F203" s="19" t="s">
        <v>75</v>
      </c>
    </row>
    <row r="204" spans="1:6" ht="14.4">
      <c r="A204" s="15" t="s">
        <v>299</v>
      </c>
      <c r="B204" s="15" t="s">
        <v>61</v>
      </c>
      <c r="C204" s="15" t="s">
        <v>51</v>
      </c>
      <c r="D204" s="19" t="s">
        <v>295</v>
      </c>
      <c r="E204" s="19" t="s">
        <v>156</v>
      </c>
      <c r="F204" s="19" t="s">
        <v>75</v>
      </c>
    </row>
    <row r="205" spans="1:6" ht="14.4">
      <c r="A205" s="15" t="s">
        <v>300</v>
      </c>
      <c r="B205" s="15" t="s">
        <v>61</v>
      </c>
      <c r="C205" s="15" t="s">
        <v>51</v>
      </c>
      <c r="D205" s="19" t="s">
        <v>295</v>
      </c>
      <c r="E205" s="19" t="s">
        <v>156</v>
      </c>
      <c r="F205" s="19" t="s">
        <v>75</v>
      </c>
    </row>
    <row r="206" spans="1:6" ht="14.4">
      <c r="A206" s="15" t="s">
        <v>301</v>
      </c>
      <c r="B206" s="15" t="s">
        <v>61</v>
      </c>
      <c r="C206" s="15" t="s">
        <v>51</v>
      </c>
      <c r="D206" s="19" t="s">
        <v>111</v>
      </c>
      <c r="E206" s="19" t="s">
        <v>156</v>
      </c>
      <c r="F206" s="19" t="s">
        <v>75</v>
      </c>
    </row>
    <row r="207" spans="1:6" ht="14.4">
      <c r="A207" s="15" t="s">
        <v>302</v>
      </c>
      <c r="B207" s="15" t="s">
        <v>61</v>
      </c>
      <c r="C207" s="15" t="s">
        <v>51</v>
      </c>
      <c r="D207" s="19" t="s">
        <v>111</v>
      </c>
      <c r="E207" s="19" t="s">
        <v>156</v>
      </c>
      <c r="F207" s="19" t="s">
        <v>75</v>
      </c>
    </row>
    <row r="208" spans="1:6" ht="14.4">
      <c r="A208" s="15" t="s">
        <v>303</v>
      </c>
      <c r="B208" s="15" t="s">
        <v>61</v>
      </c>
      <c r="C208" s="15" t="s">
        <v>51</v>
      </c>
      <c r="D208" s="19" t="s">
        <v>111</v>
      </c>
      <c r="E208" s="19" t="s">
        <v>156</v>
      </c>
      <c r="F208" s="19" t="s">
        <v>75</v>
      </c>
    </row>
    <row r="209" spans="1:6" ht="14.4">
      <c r="A209" s="15" t="s">
        <v>304</v>
      </c>
      <c r="B209" s="15" t="s">
        <v>61</v>
      </c>
      <c r="C209" s="15" t="s">
        <v>51</v>
      </c>
      <c r="D209" s="19" t="s">
        <v>111</v>
      </c>
      <c r="E209" s="19" t="s">
        <v>156</v>
      </c>
      <c r="F209" s="19" t="s">
        <v>75</v>
      </c>
    </row>
    <row r="210" spans="1:6" ht="14.4">
      <c r="A210" s="15" t="s">
        <v>305</v>
      </c>
      <c r="B210" s="15" t="s">
        <v>61</v>
      </c>
      <c r="C210" s="15" t="s">
        <v>51</v>
      </c>
      <c r="D210" s="19" t="s">
        <v>111</v>
      </c>
      <c r="E210" s="19" t="s">
        <v>156</v>
      </c>
      <c r="F210" s="19" t="s">
        <v>75</v>
      </c>
    </row>
    <row r="211" spans="1:6" ht="14.4">
      <c r="A211" s="15" t="s">
        <v>306</v>
      </c>
      <c r="B211" s="15" t="s">
        <v>61</v>
      </c>
      <c r="C211" s="15" t="s">
        <v>51</v>
      </c>
      <c r="D211" s="19" t="s">
        <v>276</v>
      </c>
      <c r="E211" s="19" t="s">
        <v>156</v>
      </c>
      <c r="F211" s="19" t="s">
        <v>75</v>
      </c>
    </row>
    <row r="212" spans="1:6" ht="14.4">
      <c r="A212" s="15" t="s">
        <v>307</v>
      </c>
      <c r="B212" s="15" t="s">
        <v>61</v>
      </c>
      <c r="C212" s="15" t="s">
        <v>51</v>
      </c>
      <c r="D212" s="19" t="s">
        <v>276</v>
      </c>
      <c r="E212" s="19" t="s">
        <v>156</v>
      </c>
      <c r="F212" s="19" t="s">
        <v>75</v>
      </c>
    </row>
    <row r="213" spans="1:6" ht="14.4">
      <c r="A213" s="15" t="s">
        <v>308</v>
      </c>
      <c r="B213" s="15" t="s">
        <v>61</v>
      </c>
      <c r="C213" s="15" t="s">
        <v>51</v>
      </c>
      <c r="D213" s="19" t="s">
        <v>114</v>
      </c>
      <c r="E213" s="19" t="s">
        <v>156</v>
      </c>
      <c r="F213" s="19" t="s">
        <v>75</v>
      </c>
    </row>
    <row r="214" spans="1:6" ht="14.4">
      <c r="A214" s="15" t="s">
        <v>309</v>
      </c>
      <c r="B214" s="15" t="s">
        <v>61</v>
      </c>
      <c r="C214" s="15" t="s">
        <v>51</v>
      </c>
      <c r="D214" s="19" t="s">
        <v>114</v>
      </c>
      <c r="E214" s="19" t="s">
        <v>156</v>
      </c>
      <c r="F214" s="19" t="s">
        <v>75</v>
      </c>
    </row>
    <row r="215" spans="1:6" ht="14.4">
      <c r="A215" s="15" t="s">
        <v>310</v>
      </c>
      <c r="B215" s="15" t="s">
        <v>50</v>
      </c>
      <c r="C215" s="15" t="s">
        <v>51</v>
      </c>
      <c r="D215" s="19" t="s">
        <v>114</v>
      </c>
      <c r="E215" s="19" t="s">
        <v>156</v>
      </c>
      <c r="F215" s="19" t="s">
        <v>75</v>
      </c>
    </row>
    <row r="216" spans="1:6" ht="14.4">
      <c r="A216" s="15" t="s">
        <v>311</v>
      </c>
      <c r="B216" s="15" t="s">
        <v>50</v>
      </c>
      <c r="C216" s="15" t="s">
        <v>51</v>
      </c>
      <c r="D216" s="19" t="s">
        <v>114</v>
      </c>
      <c r="E216" s="19" t="s">
        <v>156</v>
      </c>
      <c r="F216" s="19" t="s">
        <v>75</v>
      </c>
    </row>
    <row r="217" spans="1:6" ht="14.4">
      <c r="A217" s="15" t="s">
        <v>312</v>
      </c>
      <c r="B217" s="15" t="s">
        <v>61</v>
      </c>
      <c r="C217" s="15" t="s">
        <v>51</v>
      </c>
      <c r="D217" s="19" t="s">
        <v>114</v>
      </c>
      <c r="E217" s="19" t="s">
        <v>156</v>
      </c>
      <c r="F217" s="19" t="s">
        <v>75</v>
      </c>
    </row>
    <row r="218" spans="1:6" ht="14.4">
      <c r="A218" s="15" t="s">
        <v>313</v>
      </c>
      <c r="B218" s="15" t="s">
        <v>61</v>
      </c>
      <c r="C218" s="15" t="s">
        <v>51</v>
      </c>
      <c r="D218" s="19" t="s">
        <v>114</v>
      </c>
      <c r="E218" s="19" t="s">
        <v>156</v>
      </c>
      <c r="F218" s="19" t="s">
        <v>75</v>
      </c>
    </row>
    <row r="219" spans="1:6" ht="14.4">
      <c r="A219" s="15" t="s">
        <v>314</v>
      </c>
      <c r="B219" s="15" t="s">
        <v>61</v>
      </c>
      <c r="C219" s="15" t="s">
        <v>51</v>
      </c>
      <c r="D219" s="19" t="s">
        <v>114</v>
      </c>
      <c r="E219" s="19" t="s">
        <v>156</v>
      </c>
      <c r="F219" s="19" t="s">
        <v>75</v>
      </c>
    </row>
    <row r="220" spans="1:6" ht="14.4">
      <c r="A220" s="15" t="s">
        <v>315</v>
      </c>
      <c r="B220" s="15" t="s">
        <v>61</v>
      </c>
      <c r="C220" s="15" t="s">
        <v>51</v>
      </c>
      <c r="D220" s="19" t="s">
        <v>114</v>
      </c>
      <c r="E220" s="19" t="s">
        <v>156</v>
      </c>
      <c r="F220" s="19" t="s">
        <v>75</v>
      </c>
    </row>
    <row r="221" spans="1:6" ht="14.4">
      <c r="A221" s="15" t="s">
        <v>316</v>
      </c>
      <c r="B221" s="15" t="s">
        <v>61</v>
      </c>
      <c r="C221" s="15" t="s">
        <v>51</v>
      </c>
      <c r="D221" s="19" t="s">
        <v>114</v>
      </c>
      <c r="E221" s="19" t="s">
        <v>156</v>
      </c>
      <c r="F221" s="19" t="s">
        <v>75</v>
      </c>
    </row>
    <row r="222" spans="1:6" ht="14.4">
      <c r="A222" s="15" t="s">
        <v>317</v>
      </c>
      <c r="B222" s="15" t="s">
        <v>61</v>
      </c>
      <c r="C222" s="15" t="s">
        <v>51</v>
      </c>
      <c r="D222" s="19" t="s">
        <v>114</v>
      </c>
      <c r="E222" s="19" t="s">
        <v>156</v>
      </c>
      <c r="F222" s="19" t="s">
        <v>75</v>
      </c>
    </row>
    <row r="223" spans="1:6" ht="14.4">
      <c r="A223" s="15" t="s">
        <v>318</v>
      </c>
      <c r="B223" s="15" t="s">
        <v>61</v>
      </c>
      <c r="C223" s="15" t="s">
        <v>51</v>
      </c>
      <c r="D223" s="19" t="s">
        <v>114</v>
      </c>
      <c r="E223" s="19" t="s">
        <v>156</v>
      </c>
      <c r="F223" s="19" t="s">
        <v>75</v>
      </c>
    </row>
    <row r="224" spans="1:6" ht="14.4">
      <c r="A224" s="15" t="s">
        <v>319</v>
      </c>
      <c r="B224" s="15" t="s">
        <v>50</v>
      </c>
      <c r="C224" s="15" t="s">
        <v>51</v>
      </c>
      <c r="D224" s="20" t="s">
        <v>52</v>
      </c>
      <c r="E224" s="19" t="s">
        <v>156</v>
      </c>
      <c r="F224" s="19" t="s">
        <v>75</v>
      </c>
    </row>
    <row r="225" spans="1:6" ht="14.4">
      <c r="A225" s="15" t="s">
        <v>320</v>
      </c>
      <c r="B225" s="15" t="s">
        <v>61</v>
      </c>
      <c r="C225" s="15" t="s">
        <v>51</v>
      </c>
      <c r="D225" s="19" t="s">
        <v>114</v>
      </c>
      <c r="E225" s="19" t="s">
        <v>156</v>
      </c>
      <c r="F225" s="19" t="s">
        <v>75</v>
      </c>
    </row>
    <row r="226" spans="1:6" ht="14.4">
      <c r="A226" s="15" t="s">
        <v>321</v>
      </c>
      <c r="B226" s="15" t="s">
        <v>61</v>
      </c>
      <c r="C226" s="15" t="s">
        <v>51</v>
      </c>
      <c r="D226" s="19" t="s">
        <v>114</v>
      </c>
      <c r="E226" s="19" t="s">
        <v>156</v>
      </c>
      <c r="F226" s="19" t="s">
        <v>75</v>
      </c>
    </row>
    <row r="227" spans="1:6" ht="14.4">
      <c r="A227" s="15" t="s">
        <v>322</v>
      </c>
      <c r="B227" s="15" t="s">
        <v>61</v>
      </c>
      <c r="C227" s="15" t="s">
        <v>51</v>
      </c>
      <c r="D227" s="19" t="s">
        <v>114</v>
      </c>
      <c r="E227" s="19" t="s">
        <v>156</v>
      </c>
      <c r="F227" s="19" t="s">
        <v>75</v>
      </c>
    </row>
    <row r="228" spans="1:6" ht="14.4">
      <c r="A228" s="15" t="s">
        <v>323</v>
      </c>
      <c r="B228" s="15" t="s">
        <v>61</v>
      </c>
      <c r="C228" s="15" t="s">
        <v>51</v>
      </c>
      <c r="D228" s="19" t="s">
        <v>114</v>
      </c>
      <c r="E228" s="19" t="s">
        <v>156</v>
      </c>
      <c r="F228" s="19" t="s">
        <v>75</v>
      </c>
    </row>
    <row r="229" spans="1:6" ht="14.4">
      <c r="A229" s="15" t="s">
        <v>324</v>
      </c>
      <c r="B229" s="15" t="s">
        <v>61</v>
      </c>
      <c r="C229" s="15" t="s">
        <v>51</v>
      </c>
      <c r="D229" s="19" t="s">
        <v>114</v>
      </c>
      <c r="E229" s="19" t="s">
        <v>156</v>
      </c>
      <c r="F229" s="19" t="s">
        <v>75</v>
      </c>
    </row>
    <row r="230" spans="1:6" ht="14.4">
      <c r="A230" s="15" t="s">
        <v>325</v>
      </c>
      <c r="B230" s="15" t="s">
        <v>50</v>
      </c>
      <c r="C230" s="15" t="s">
        <v>51</v>
      </c>
      <c r="D230" s="19" t="s">
        <v>326</v>
      </c>
      <c r="E230" s="19" t="s">
        <v>156</v>
      </c>
      <c r="F230" s="15" t="s">
        <v>327</v>
      </c>
    </row>
    <row r="231" spans="1:6" ht="14.4">
      <c r="A231" s="15" t="s">
        <v>328</v>
      </c>
      <c r="B231" s="15" t="s">
        <v>61</v>
      </c>
      <c r="C231" s="15" t="s">
        <v>51</v>
      </c>
      <c r="D231" s="19" t="s">
        <v>329</v>
      </c>
      <c r="E231" s="19" t="s">
        <v>156</v>
      </c>
      <c r="F231" s="15" t="s">
        <v>327</v>
      </c>
    </row>
    <row r="232" spans="1:6" ht="14.4">
      <c r="A232" s="15" t="s">
        <v>330</v>
      </c>
      <c r="B232" s="15" t="s">
        <v>50</v>
      </c>
      <c r="C232" s="15" t="s">
        <v>51</v>
      </c>
      <c r="D232" s="19" t="s">
        <v>329</v>
      </c>
      <c r="E232" s="19" t="s">
        <v>156</v>
      </c>
      <c r="F232" s="15" t="s">
        <v>327</v>
      </c>
    </row>
    <row r="233" spans="1:6" ht="14.4">
      <c r="A233" s="15" t="s">
        <v>331</v>
      </c>
      <c r="B233" s="15" t="s">
        <v>50</v>
      </c>
      <c r="C233" s="15" t="s">
        <v>51</v>
      </c>
      <c r="D233" s="19" t="s">
        <v>329</v>
      </c>
      <c r="E233" s="19" t="s">
        <v>156</v>
      </c>
      <c r="F233" s="15" t="s">
        <v>327</v>
      </c>
    </row>
    <row r="234" spans="1:6" ht="14.4">
      <c r="A234" s="15" t="s">
        <v>332</v>
      </c>
      <c r="B234" s="15" t="s">
        <v>61</v>
      </c>
      <c r="C234" s="15" t="s">
        <v>51</v>
      </c>
      <c r="D234" s="19" t="s">
        <v>329</v>
      </c>
      <c r="E234" s="19" t="s">
        <v>156</v>
      </c>
      <c r="F234" s="15" t="s">
        <v>327</v>
      </c>
    </row>
    <row r="235" spans="1:6" ht="14.4">
      <c r="A235" s="15" t="s">
        <v>333</v>
      </c>
      <c r="B235" s="15" t="s">
        <v>61</v>
      </c>
      <c r="C235" s="15" t="s">
        <v>51</v>
      </c>
      <c r="D235" s="19" t="s">
        <v>329</v>
      </c>
      <c r="E235" s="19" t="s">
        <v>156</v>
      </c>
      <c r="F235" s="15" t="s">
        <v>327</v>
      </c>
    </row>
    <row r="236" spans="1:6" ht="14.4">
      <c r="A236" s="15" t="s">
        <v>334</v>
      </c>
      <c r="B236" s="15" t="s">
        <v>61</v>
      </c>
      <c r="C236" s="15" t="s">
        <v>51</v>
      </c>
      <c r="D236" s="19" t="s">
        <v>329</v>
      </c>
      <c r="E236" s="19" t="s">
        <v>156</v>
      </c>
      <c r="F236" s="15" t="s">
        <v>327</v>
      </c>
    </row>
    <row r="237" spans="1:6" ht="14.4">
      <c r="A237" s="15" t="s">
        <v>335</v>
      </c>
      <c r="B237" s="15" t="s">
        <v>61</v>
      </c>
      <c r="C237" s="15" t="s">
        <v>51</v>
      </c>
      <c r="D237" s="19" t="s">
        <v>158</v>
      </c>
      <c r="E237" s="19" t="s">
        <v>156</v>
      </c>
      <c r="F237" s="15" t="s">
        <v>327</v>
      </c>
    </row>
    <row r="238" spans="1:6" ht="14.4">
      <c r="A238" s="15" t="s">
        <v>336</v>
      </c>
      <c r="B238" s="15" t="s">
        <v>61</v>
      </c>
      <c r="C238" s="15" t="s">
        <v>116</v>
      </c>
      <c r="D238" s="19" t="s">
        <v>337</v>
      </c>
      <c r="E238" s="19" t="s">
        <v>156</v>
      </c>
      <c r="F238" s="15" t="s">
        <v>327</v>
      </c>
    </row>
    <row r="239" spans="1:6" ht="14.4">
      <c r="A239" s="15" t="s">
        <v>338</v>
      </c>
      <c r="B239" s="15" t="s">
        <v>61</v>
      </c>
      <c r="C239" s="15" t="s">
        <v>116</v>
      </c>
      <c r="D239" s="19" t="s">
        <v>337</v>
      </c>
      <c r="E239" s="19" t="s">
        <v>156</v>
      </c>
      <c r="F239" s="15" t="s">
        <v>327</v>
      </c>
    </row>
    <row r="240" spans="1:6" ht="14.4">
      <c r="A240" s="15" t="s">
        <v>339</v>
      </c>
      <c r="B240" s="15" t="s">
        <v>61</v>
      </c>
      <c r="C240" s="15" t="s">
        <v>116</v>
      </c>
      <c r="D240" s="19" t="s">
        <v>337</v>
      </c>
      <c r="E240" s="19" t="s">
        <v>156</v>
      </c>
      <c r="F240" s="15" t="s">
        <v>327</v>
      </c>
    </row>
    <row r="241" spans="1:6" ht="14.4">
      <c r="A241" s="15" t="s">
        <v>340</v>
      </c>
      <c r="B241" s="15" t="s">
        <v>61</v>
      </c>
      <c r="C241" s="15" t="s">
        <v>116</v>
      </c>
      <c r="D241" s="19" t="s">
        <v>341</v>
      </c>
      <c r="E241" s="19" t="s">
        <v>156</v>
      </c>
      <c r="F241" s="15" t="s">
        <v>327</v>
      </c>
    </row>
    <row r="242" spans="1:6" ht="14.4">
      <c r="A242" s="15" t="s">
        <v>342</v>
      </c>
      <c r="B242" s="15" t="s">
        <v>61</v>
      </c>
      <c r="C242" s="15" t="s">
        <v>116</v>
      </c>
      <c r="D242" s="19" t="s">
        <v>341</v>
      </c>
      <c r="E242" s="19" t="s">
        <v>156</v>
      </c>
      <c r="F242" s="15" t="s">
        <v>327</v>
      </c>
    </row>
    <row r="243" spans="1:6" ht="14.4">
      <c r="A243" s="15" t="s">
        <v>343</v>
      </c>
      <c r="B243" s="15" t="s">
        <v>61</v>
      </c>
      <c r="C243" s="15" t="s">
        <v>116</v>
      </c>
      <c r="D243" s="19" t="s">
        <v>341</v>
      </c>
      <c r="E243" s="19" t="s">
        <v>156</v>
      </c>
      <c r="F243" s="15" t="s">
        <v>327</v>
      </c>
    </row>
    <row r="244" spans="1:6" ht="14.4">
      <c r="A244" s="15" t="s">
        <v>344</v>
      </c>
      <c r="B244" s="15" t="s">
        <v>61</v>
      </c>
      <c r="C244" s="15" t="s">
        <v>116</v>
      </c>
      <c r="D244" s="19" t="s">
        <v>345</v>
      </c>
      <c r="E244" s="19" t="s">
        <v>156</v>
      </c>
      <c r="F244" s="15" t="s">
        <v>327</v>
      </c>
    </row>
    <row r="245" spans="1:6" ht="14.4">
      <c r="A245" s="15" t="s">
        <v>346</v>
      </c>
      <c r="B245" s="15" t="s">
        <v>50</v>
      </c>
      <c r="C245" s="15" t="s">
        <v>116</v>
      </c>
      <c r="D245" s="19" t="s">
        <v>347</v>
      </c>
      <c r="E245" s="19" t="s">
        <v>156</v>
      </c>
      <c r="F245" s="15" t="s">
        <v>327</v>
      </c>
    </row>
    <row r="246" spans="1:6" ht="14.4">
      <c r="A246" s="15" t="s">
        <v>348</v>
      </c>
      <c r="B246" s="15" t="s">
        <v>61</v>
      </c>
      <c r="C246" s="15" t="s">
        <v>116</v>
      </c>
      <c r="D246" s="19" t="s">
        <v>163</v>
      </c>
      <c r="E246" s="19" t="s">
        <v>156</v>
      </c>
      <c r="F246" s="15" t="s">
        <v>327</v>
      </c>
    </row>
    <row r="247" spans="1:6" ht="14.4">
      <c r="A247" s="15" t="s">
        <v>349</v>
      </c>
      <c r="B247" s="15" t="s">
        <v>61</v>
      </c>
      <c r="C247" s="15" t="s">
        <v>116</v>
      </c>
      <c r="D247" s="19" t="s">
        <v>163</v>
      </c>
      <c r="E247" s="19" t="s">
        <v>156</v>
      </c>
      <c r="F247" s="15" t="s">
        <v>327</v>
      </c>
    </row>
    <row r="248" spans="1:6" ht="14.4">
      <c r="A248" s="15" t="s">
        <v>350</v>
      </c>
      <c r="B248" s="15" t="s">
        <v>61</v>
      </c>
      <c r="C248" s="15" t="s">
        <v>116</v>
      </c>
      <c r="D248" s="19" t="s">
        <v>163</v>
      </c>
      <c r="E248" s="19" t="s">
        <v>156</v>
      </c>
      <c r="F248" s="15" t="s">
        <v>327</v>
      </c>
    </row>
    <row r="249" spans="1:6" ht="14.4">
      <c r="A249" s="15" t="s">
        <v>351</v>
      </c>
      <c r="B249" s="15" t="s">
        <v>61</v>
      </c>
      <c r="C249" s="15" t="s">
        <v>116</v>
      </c>
      <c r="D249" s="19" t="s">
        <v>163</v>
      </c>
      <c r="E249" s="19" t="s">
        <v>156</v>
      </c>
      <c r="F249" s="15" t="s">
        <v>327</v>
      </c>
    </row>
    <row r="250" spans="1:6" ht="14.4">
      <c r="A250" s="15" t="s">
        <v>352</v>
      </c>
      <c r="B250" s="15" t="s">
        <v>61</v>
      </c>
      <c r="C250" s="15" t="s">
        <v>116</v>
      </c>
      <c r="D250" s="19" t="s">
        <v>163</v>
      </c>
      <c r="E250" s="19" t="s">
        <v>156</v>
      </c>
      <c r="F250" s="15" t="s">
        <v>327</v>
      </c>
    </row>
    <row r="251" spans="1:6" ht="14.4">
      <c r="A251" s="15" t="s">
        <v>353</v>
      </c>
      <c r="B251" s="15" t="s">
        <v>61</v>
      </c>
      <c r="C251" s="15" t="s">
        <v>116</v>
      </c>
      <c r="D251" s="19" t="s">
        <v>163</v>
      </c>
      <c r="E251" s="19" t="s">
        <v>156</v>
      </c>
      <c r="F251" s="15" t="s">
        <v>327</v>
      </c>
    </row>
    <row r="252" spans="1:6" ht="14.4">
      <c r="A252" s="15" t="s">
        <v>354</v>
      </c>
      <c r="B252" s="15" t="s">
        <v>61</v>
      </c>
      <c r="C252" s="15" t="s">
        <v>116</v>
      </c>
      <c r="D252" s="19" t="s">
        <v>163</v>
      </c>
      <c r="E252" s="19" t="s">
        <v>156</v>
      </c>
      <c r="F252" s="15" t="s">
        <v>327</v>
      </c>
    </row>
    <row r="253" spans="1:6" ht="14.4">
      <c r="A253" s="15" t="s">
        <v>355</v>
      </c>
      <c r="B253" s="15" t="s">
        <v>61</v>
      </c>
      <c r="C253" s="15" t="s">
        <v>116</v>
      </c>
      <c r="D253" s="19" t="s">
        <v>163</v>
      </c>
      <c r="E253" s="19" t="s">
        <v>156</v>
      </c>
      <c r="F253" s="15" t="s">
        <v>327</v>
      </c>
    </row>
    <row r="254" spans="1:6" ht="14.4">
      <c r="A254" s="15" t="s">
        <v>356</v>
      </c>
      <c r="B254" s="15" t="s">
        <v>61</v>
      </c>
      <c r="C254" s="15" t="s">
        <v>116</v>
      </c>
      <c r="D254" s="19" t="s">
        <v>163</v>
      </c>
      <c r="E254" s="19" t="s">
        <v>156</v>
      </c>
      <c r="F254" s="15" t="s">
        <v>327</v>
      </c>
    </row>
    <row r="255" spans="1:6" ht="14.4">
      <c r="A255" s="15" t="s">
        <v>357</v>
      </c>
      <c r="B255" s="15" t="s">
        <v>61</v>
      </c>
      <c r="C255" s="15" t="s">
        <v>116</v>
      </c>
      <c r="D255" s="19" t="s">
        <v>163</v>
      </c>
      <c r="E255" s="19" t="s">
        <v>156</v>
      </c>
      <c r="F255" s="15" t="s">
        <v>327</v>
      </c>
    </row>
    <row r="256" spans="1:6" ht="14.4">
      <c r="A256" s="15" t="s">
        <v>358</v>
      </c>
      <c r="B256" s="15" t="s">
        <v>61</v>
      </c>
      <c r="C256" s="15" t="s">
        <v>116</v>
      </c>
      <c r="D256" s="19" t="s">
        <v>163</v>
      </c>
      <c r="E256" s="19" t="s">
        <v>156</v>
      </c>
      <c r="F256" s="15" t="s">
        <v>327</v>
      </c>
    </row>
    <row r="257" spans="1:6" ht="14.4">
      <c r="A257" s="15" t="s">
        <v>359</v>
      </c>
      <c r="B257" s="15" t="s">
        <v>61</v>
      </c>
      <c r="C257" s="15" t="s">
        <v>116</v>
      </c>
      <c r="D257" s="19" t="s">
        <v>163</v>
      </c>
      <c r="E257" s="19" t="s">
        <v>156</v>
      </c>
      <c r="F257" s="15" t="s">
        <v>327</v>
      </c>
    </row>
    <row r="258" spans="1:6" ht="14.4">
      <c r="A258" s="15" t="s">
        <v>360</v>
      </c>
      <c r="B258" s="15" t="s">
        <v>61</v>
      </c>
      <c r="C258" s="15" t="s">
        <v>116</v>
      </c>
      <c r="D258" s="19" t="s">
        <v>163</v>
      </c>
      <c r="E258" s="19" t="s">
        <v>156</v>
      </c>
      <c r="F258" s="15" t="s">
        <v>327</v>
      </c>
    </row>
    <row r="259" spans="1:6" ht="14.4">
      <c r="A259" s="15" t="s">
        <v>123</v>
      </c>
      <c r="B259" s="15" t="s">
        <v>61</v>
      </c>
      <c r="C259" s="15" t="s">
        <v>116</v>
      </c>
      <c r="D259" s="19" t="s">
        <v>163</v>
      </c>
      <c r="E259" s="19" t="s">
        <v>156</v>
      </c>
      <c r="F259" s="15" t="s">
        <v>327</v>
      </c>
    </row>
    <row r="260" spans="1:6" ht="14.4">
      <c r="A260" s="15" t="s">
        <v>361</v>
      </c>
      <c r="B260" s="15" t="s">
        <v>61</v>
      </c>
      <c r="C260" s="15" t="s">
        <v>116</v>
      </c>
      <c r="D260" s="19" t="s">
        <v>163</v>
      </c>
      <c r="E260" s="19" t="s">
        <v>156</v>
      </c>
      <c r="F260" s="15" t="s">
        <v>327</v>
      </c>
    </row>
    <row r="261" spans="1:6" ht="14.4">
      <c r="A261" s="15" t="s">
        <v>362</v>
      </c>
      <c r="B261" s="15" t="s">
        <v>61</v>
      </c>
      <c r="C261" s="15" t="s">
        <v>116</v>
      </c>
      <c r="D261" s="19" t="s">
        <v>163</v>
      </c>
      <c r="E261" s="19" t="s">
        <v>156</v>
      </c>
      <c r="F261" s="15" t="s">
        <v>327</v>
      </c>
    </row>
    <row r="262" spans="1:6" ht="14.4">
      <c r="A262" s="15" t="s">
        <v>363</v>
      </c>
      <c r="B262" s="15" t="s">
        <v>50</v>
      </c>
      <c r="C262" s="15" t="s">
        <v>116</v>
      </c>
      <c r="D262" s="19" t="s">
        <v>163</v>
      </c>
      <c r="E262" s="19" t="s">
        <v>156</v>
      </c>
      <c r="F262" s="15" t="s">
        <v>327</v>
      </c>
    </row>
    <row r="263" spans="1:6" ht="14.4">
      <c r="A263" s="15" t="s">
        <v>364</v>
      </c>
      <c r="B263" s="15" t="s">
        <v>61</v>
      </c>
      <c r="C263" s="15" t="s">
        <v>116</v>
      </c>
      <c r="D263" s="19" t="s">
        <v>163</v>
      </c>
      <c r="E263" s="19" t="s">
        <v>156</v>
      </c>
      <c r="F263" s="15" t="s">
        <v>327</v>
      </c>
    </row>
    <row r="264" spans="1:6" ht="14.4">
      <c r="A264" s="15" t="s">
        <v>365</v>
      </c>
      <c r="B264" s="15" t="s">
        <v>61</v>
      </c>
      <c r="C264" s="15" t="s">
        <v>116</v>
      </c>
      <c r="D264" s="19" t="s">
        <v>163</v>
      </c>
      <c r="E264" s="19" t="s">
        <v>156</v>
      </c>
      <c r="F264" s="15" t="s">
        <v>327</v>
      </c>
    </row>
    <row r="265" spans="1:6" ht="14.4">
      <c r="A265" s="15" t="s">
        <v>366</v>
      </c>
      <c r="B265" s="15" t="s">
        <v>61</v>
      </c>
      <c r="C265" s="15" t="s">
        <v>116</v>
      </c>
      <c r="D265" s="19" t="s">
        <v>163</v>
      </c>
      <c r="E265" s="19" t="s">
        <v>156</v>
      </c>
      <c r="F265" s="15" t="s">
        <v>327</v>
      </c>
    </row>
    <row r="266" spans="1:6" ht="14.4">
      <c r="A266" s="15" t="s">
        <v>367</v>
      </c>
      <c r="B266" s="15" t="s">
        <v>50</v>
      </c>
      <c r="C266" s="15" t="s">
        <v>116</v>
      </c>
      <c r="D266" s="19" t="s">
        <v>163</v>
      </c>
      <c r="E266" s="19" t="s">
        <v>156</v>
      </c>
      <c r="F266" s="15" t="s">
        <v>327</v>
      </c>
    </row>
    <row r="267" spans="1:6" ht="14.4">
      <c r="A267" s="15" t="s">
        <v>368</v>
      </c>
      <c r="B267" s="15" t="s">
        <v>61</v>
      </c>
      <c r="C267" s="15" t="s">
        <v>116</v>
      </c>
      <c r="D267" s="19" t="s">
        <v>163</v>
      </c>
      <c r="E267" s="19" t="s">
        <v>156</v>
      </c>
      <c r="F267" s="15" t="s">
        <v>327</v>
      </c>
    </row>
    <row r="268" spans="1:6" ht="14.4">
      <c r="A268" s="15" t="s">
        <v>369</v>
      </c>
      <c r="B268" s="15" t="s">
        <v>61</v>
      </c>
      <c r="C268" s="15" t="s">
        <v>116</v>
      </c>
      <c r="D268" s="19" t="s">
        <v>163</v>
      </c>
      <c r="E268" s="19" t="s">
        <v>156</v>
      </c>
      <c r="F268" s="15" t="s">
        <v>327</v>
      </c>
    </row>
    <row r="269" spans="1:6" ht="14.4">
      <c r="A269" s="15" t="s">
        <v>370</v>
      </c>
      <c r="B269" s="15" t="s">
        <v>61</v>
      </c>
      <c r="C269" s="15" t="s">
        <v>116</v>
      </c>
      <c r="D269" s="19" t="s">
        <v>163</v>
      </c>
      <c r="E269" s="19" t="s">
        <v>156</v>
      </c>
      <c r="F269" s="15" t="s">
        <v>327</v>
      </c>
    </row>
    <row r="270" spans="1:6" ht="14.4">
      <c r="A270" s="15" t="s">
        <v>371</v>
      </c>
      <c r="B270" s="15" t="s">
        <v>61</v>
      </c>
      <c r="C270" s="15" t="s">
        <v>116</v>
      </c>
      <c r="D270" s="19" t="s">
        <v>163</v>
      </c>
      <c r="E270" s="19" t="s">
        <v>156</v>
      </c>
      <c r="F270" s="15" t="s">
        <v>327</v>
      </c>
    </row>
    <row r="271" spans="1:6" ht="14.4">
      <c r="A271" s="15" t="s">
        <v>372</v>
      </c>
      <c r="B271" s="15" t="s">
        <v>61</v>
      </c>
      <c r="C271" s="15" t="s">
        <v>116</v>
      </c>
      <c r="D271" s="19" t="s">
        <v>163</v>
      </c>
      <c r="E271" s="19" t="s">
        <v>156</v>
      </c>
      <c r="F271" s="15" t="s">
        <v>327</v>
      </c>
    </row>
    <row r="272" spans="1:6" ht="14.4">
      <c r="A272" s="15" t="s">
        <v>373</v>
      </c>
      <c r="B272" s="15" t="s">
        <v>61</v>
      </c>
      <c r="C272" s="15" t="s">
        <v>116</v>
      </c>
      <c r="D272" s="19" t="s">
        <v>163</v>
      </c>
      <c r="E272" s="19" t="s">
        <v>156</v>
      </c>
      <c r="F272" s="15" t="s">
        <v>327</v>
      </c>
    </row>
    <row r="273" spans="1:6" ht="14.4">
      <c r="A273" s="15" t="s">
        <v>374</v>
      </c>
      <c r="B273" s="15" t="s">
        <v>61</v>
      </c>
      <c r="C273" s="15" t="s">
        <v>116</v>
      </c>
      <c r="D273" s="19" t="s">
        <v>163</v>
      </c>
      <c r="E273" s="19" t="s">
        <v>156</v>
      </c>
      <c r="F273" s="15" t="s">
        <v>327</v>
      </c>
    </row>
    <row r="274" spans="1:6" ht="14.4">
      <c r="A274" s="15" t="s">
        <v>375</v>
      </c>
      <c r="B274" s="15" t="s">
        <v>61</v>
      </c>
      <c r="C274" s="15" t="s">
        <v>116</v>
      </c>
      <c r="D274" s="19" t="s">
        <v>163</v>
      </c>
      <c r="E274" s="19" t="s">
        <v>156</v>
      </c>
      <c r="F274" s="15" t="s">
        <v>327</v>
      </c>
    </row>
    <row r="275" spans="1:6" ht="14.4">
      <c r="A275" s="15" t="s">
        <v>376</v>
      </c>
      <c r="B275" s="15" t="s">
        <v>61</v>
      </c>
      <c r="C275" s="15" t="s">
        <v>116</v>
      </c>
      <c r="D275" s="19" t="s">
        <v>163</v>
      </c>
      <c r="E275" s="19" t="s">
        <v>156</v>
      </c>
      <c r="F275" s="15" t="s">
        <v>327</v>
      </c>
    </row>
    <row r="276" spans="1:6" ht="14.4">
      <c r="A276" s="15" t="s">
        <v>377</v>
      </c>
      <c r="B276" s="15" t="s">
        <v>61</v>
      </c>
      <c r="C276" s="15" t="s">
        <v>116</v>
      </c>
      <c r="D276" s="19" t="s">
        <v>163</v>
      </c>
      <c r="E276" s="19" t="s">
        <v>156</v>
      </c>
      <c r="F276" s="15" t="s">
        <v>327</v>
      </c>
    </row>
    <row r="277" spans="1:6" ht="14.4">
      <c r="A277" s="15" t="s">
        <v>378</v>
      </c>
      <c r="B277" s="15" t="s">
        <v>61</v>
      </c>
      <c r="C277" s="15" t="s">
        <v>116</v>
      </c>
      <c r="D277" s="19" t="s">
        <v>163</v>
      </c>
      <c r="E277" s="19" t="s">
        <v>156</v>
      </c>
      <c r="F277" s="15" t="s">
        <v>327</v>
      </c>
    </row>
    <row r="278" spans="1:6" ht="14.4">
      <c r="A278" s="15" t="s">
        <v>379</v>
      </c>
      <c r="B278" s="15" t="s">
        <v>61</v>
      </c>
      <c r="C278" s="15" t="s">
        <v>116</v>
      </c>
      <c r="D278" s="19" t="s">
        <v>163</v>
      </c>
      <c r="E278" s="19" t="s">
        <v>156</v>
      </c>
      <c r="F278" s="15" t="s">
        <v>327</v>
      </c>
    </row>
    <row r="279" spans="1:6" ht="14.4">
      <c r="A279" s="15" t="s">
        <v>380</v>
      </c>
      <c r="B279" s="15" t="s">
        <v>61</v>
      </c>
      <c r="C279" s="15" t="s">
        <v>116</v>
      </c>
      <c r="D279" s="19" t="s">
        <v>163</v>
      </c>
      <c r="E279" s="19" t="s">
        <v>156</v>
      </c>
      <c r="F279" s="15" t="s">
        <v>327</v>
      </c>
    </row>
    <row r="280" spans="1:6" ht="14.4">
      <c r="A280" s="15" t="s">
        <v>381</v>
      </c>
      <c r="B280" s="15" t="s">
        <v>61</v>
      </c>
      <c r="C280" s="15" t="s">
        <v>116</v>
      </c>
      <c r="D280" s="19" t="s">
        <v>163</v>
      </c>
      <c r="E280" s="19" t="s">
        <v>156</v>
      </c>
      <c r="F280" s="15" t="s">
        <v>327</v>
      </c>
    </row>
    <row r="281" spans="1:6" s="2" customFormat="1" ht="14.4">
      <c r="A281" s="15" t="s">
        <v>382</v>
      </c>
      <c r="B281" s="15" t="s">
        <v>61</v>
      </c>
      <c r="C281" s="15" t="s">
        <v>116</v>
      </c>
      <c r="D281" s="19" t="s">
        <v>163</v>
      </c>
      <c r="E281" s="19" t="s">
        <v>156</v>
      </c>
      <c r="F281" s="15" t="s">
        <v>327</v>
      </c>
    </row>
    <row r="282" spans="1:6" ht="14.4">
      <c r="A282" s="15" t="s">
        <v>383</v>
      </c>
      <c r="B282" s="15" t="s">
        <v>61</v>
      </c>
      <c r="C282" s="15" t="s">
        <v>116</v>
      </c>
      <c r="D282" s="19" t="s">
        <v>163</v>
      </c>
      <c r="E282" s="19" t="s">
        <v>156</v>
      </c>
      <c r="F282" s="15" t="s">
        <v>327</v>
      </c>
    </row>
    <row r="283" spans="1:6" ht="14.4">
      <c r="A283" s="15" t="s">
        <v>384</v>
      </c>
      <c r="B283" s="15" t="s">
        <v>61</v>
      </c>
      <c r="C283" s="15" t="s">
        <v>116</v>
      </c>
      <c r="D283" s="19" t="s">
        <v>163</v>
      </c>
      <c r="E283" s="19" t="s">
        <v>156</v>
      </c>
      <c r="F283" s="15" t="s">
        <v>327</v>
      </c>
    </row>
    <row r="284" spans="1:6" ht="14.4">
      <c r="A284" s="15" t="s">
        <v>385</v>
      </c>
      <c r="B284" s="15" t="s">
        <v>50</v>
      </c>
      <c r="C284" s="15" t="s">
        <v>116</v>
      </c>
      <c r="D284" s="19" t="s">
        <v>163</v>
      </c>
      <c r="E284" s="19" t="s">
        <v>156</v>
      </c>
      <c r="F284" s="15" t="s">
        <v>327</v>
      </c>
    </row>
    <row r="285" spans="1:6" ht="14.4">
      <c r="A285" s="15" t="s">
        <v>386</v>
      </c>
      <c r="B285" s="15" t="s">
        <v>61</v>
      </c>
      <c r="C285" s="15" t="s">
        <v>116</v>
      </c>
      <c r="D285" s="19" t="s">
        <v>163</v>
      </c>
      <c r="E285" s="19" t="s">
        <v>156</v>
      </c>
      <c r="F285" s="15" t="s">
        <v>327</v>
      </c>
    </row>
    <row r="286" spans="1:6" ht="14.4">
      <c r="A286" s="15" t="s">
        <v>387</v>
      </c>
      <c r="B286" s="15" t="s">
        <v>61</v>
      </c>
      <c r="C286" s="15" t="s">
        <v>116</v>
      </c>
      <c r="D286" s="19" t="s">
        <v>163</v>
      </c>
      <c r="E286" s="19" t="s">
        <v>156</v>
      </c>
      <c r="F286" s="15" t="s">
        <v>327</v>
      </c>
    </row>
    <row r="287" spans="1:6" ht="14.4">
      <c r="A287" s="15" t="s">
        <v>388</v>
      </c>
      <c r="B287" s="15" t="s">
        <v>61</v>
      </c>
      <c r="C287" s="15" t="s">
        <v>116</v>
      </c>
      <c r="D287" s="19" t="s">
        <v>163</v>
      </c>
      <c r="E287" s="19" t="s">
        <v>156</v>
      </c>
      <c r="F287" s="15" t="s">
        <v>327</v>
      </c>
    </row>
    <row r="288" spans="1:6" ht="14.4">
      <c r="A288" s="15" t="s">
        <v>389</v>
      </c>
      <c r="B288" s="15" t="s">
        <v>61</v>
      </c>
      <c r="C288" s="15" t="s">
        <v>116</v>
      </c>
      <c r="D288" s="19" t="s">
        <v>163</v>
      </c>
      <c r="E288" s="19" t="s">
        <v>156</v>
      </c>
      <c r="F288" s="15" t="s">
        <v>327</v>
      </c>
    </row>
    <row r="289" spans="1:6" ht="14.4">
      <c r="A289" s="15" t="s">
        <v>390</v>
      </c>
      <c r="B289" s="15" t="s">
        <v>61</v>
      </c>
      <c r="C289" s="15" t="s">
        <v>116</v>
      </c>
      <c r="D289" s="19" t="s">
        <v>174</v>
      </c>
      <c r="E289" s="19" t="s">
        <v>156</v>
      </c>
      <c r="F289" s="15" t="s">
        <v>327</v>
      </c>
    </row>
    <row r="290" spans="1:6" ht="14.4">
      <c r="A290" s="15" t="s">
        <v>391</v>
      </c>
      <c r="B290" s="15" t="s">
        <v>61</v>
      </c>
      <c r="C290" s="15" t="s">
        <v>116</v>
      </c>
      <c r="D290" s="19" t="s">
        <v>163</v>
      </c>
      <c r="E290" s="19" t="s">
        <v>156</v>
      </c>
      <c r="F290" s="15" t="s">
        <v>327</v>
      </c>
    </row>
    <row r="291" spans="1:6" ht="14.4">
      <c r="A291" s="15" t="s">
        <v>392</v>
      </c>
      <c r="B291" s="15" t="s">
        <v>61</v>
      </c>
      <c r="C291" s="15" t="s">
        <v>116</v>
      </c>
      <c r="D291" s="19" t="s">
        <v>163</v>
      </c>
      <c r="E291" s="19" t="s">
        <v>156</v>
      </c>
      <c r="F291" s="15" t="s">
        <v>327</v>
      </c>
    </row>
    <row r="292" spans="1:6" ht="14.4">
      <c r="A292" s="15" t="s">
        <v>393</v>
      </c>
      <c r="B292" s="15" t="s">
        <v>61</v>
      </c>
      <c r="C292" s="15" t="s">
        <v>116</v>
      </c>
      <c r="D292" s="19" t="s">
        <v>163</v>
      </c>
      <c r="E292" s="19" t="s">
        <v>156</v>
      </c>
      <c r="F292" s="15" t="s">
        <v>327</v>
      </c>
    </row>
    <row r="293" spans="1:6" ht="14.4">
      <c r="A293" s="15" t="s">
        <v>394</v>
      </c>
      <c r="B293" s="15" t="s">
        <v>61</v>
      </c>
      <c r="C293" s="15" t="s">
        <v>116</v>
      </c>
      <c r="D293" s="19" t="s">
        <v>163</v>
      </c>
      <c r="E293" s="19" t="s">
        <v>156</v>
      </c>
      <c r="F293" s="15" t="s">
        <v>327</v>
      </c>
    </row>
    <row r="294" spans="1:6" ht="14.4">
      <c r="A294" s="15" t="s">
        <v>395</v>
      </c>
      <c r="B294" s="15" t="s">
        <v>61</v>
      </c>
      <c r="C294" s="15" t="s">
        <v>116</v>
      </c>
      <c r="D294" s="19" t="s">
        <v>163</v>
      </c>
      <c r="E294" s="19" t="s">
        <v>156</v>
      </c>
      <c r="F294" s="15" t="s">
        <v>327</v>
      </c>
    </row>
    <row r="295" spans="1:6" ht="14.4">
      <c r="A295" s="15" t="s">
        <v>396</v>
      </c>
      <c r="B295" s="15" t="s">
        <v>50</v>
      </c>
      <c r="C295" s="15" t="s">
        <v>116</v>
      </c>
      <c r="D295" s="19" t="s">
        <v>163</v>
      </c>
      <c r="E295" s="19" t="s">
        <v>156</v>
      </c>
      <c r="F295" s="15" t="s">
        <v>327</v>
      </c>
    </row>
    <row r="296" spans="1:6" ht="14.4">
      <c r="A296" s="15" t="s">
        <v>397</v>
      </c>
      <c r="B296" s="15" t="s">
        <v>50</v>
      </c>
      <c r="C296" s="15" t="s">
        <v>116</v>
      </c>
      <c r="D296" s="19" t="s">
        <v>163</v>
      </c>
      <c r="E296" s="19" t="s">
        <v>156</v>
      </c>
      <c r="F296" s="15" t="s">
        <v>327</v>
      </c>
    </row>
    <row r="297" spans="1:6" ht="14.4">
      <c r="A297" s="15" t="s">
        <v>398</v>
      </c>
      <c r="B297" s="15" t="s">
        <v>50</v>
      </c>
      <c r="C297" s="15" t="s">
        <v>116</v>
      </c>
      <c r="D297" s="19" t="s">
        <v>163</v>
      </c>
      <c r="E297" s="19" t="s">
        <v>156</v>
      </c>
      <c r="F297" s="15" t="s">
        <v>327</v>
      </c>
    </row>
    <row r="298" spans="1:6" ht="14.4">
      <c r="A298" s="15" t="s">
        <v>399</v>
      </c>
      <c r="B298" s="15" t="s">
        <v>50</v>
      </c>
      <c r="C298" s="15" t="s">
        <v>116</v>
      </c>
      <c r="D298" s="19" t="s">
        <v>163</v>
      </c>
      <c r="E298" s="19" t="s">
        <v>156</v>
      </c>
      <c r="F298" s="15" t="s">
        <v>327</v>
      </c>
    </row>
    <row r="299" spans="1:6" ht="14.4">
      <c r="A299" s="15" t="s">
        <v>400</v>
      </c>
      <c r="B299" s="15" t="s">
        <v>61</v>
      </c>
      <c r="C299" s="15" t="s">
        <v>116</v>
      </c>
      <c r="D299" s="19" t="s">
        <v>163</v>
      </c>
      <c r="E299" s="19" t="s">
        <v>156</v>
      </c>
      <c r="F299" s="15" t="s">
        <v>327</v>
      </c>
    </row>
    <row r="300" spans="1:6" ht="14.4">
      <c r="A300" s="15" t="s">
        <v>401</v>
      </c>
      <c r="B300" s="15" t="s">
        <v>61</v>
      </c>
      <c r="C300" s="15" t="s">
        <v>116</v>
      </c>
      <c r="D300" s="19" t="s">
        <v>163</v>
      </c>
      <c r="E300" s="19" t="s">
        <v>156</v>
      </c>
      <c r="F300" s="15" t="s">
        <v>327</v>
      </c>
    </row>
    <row r="301" spans="1:6" ht="14.4">
      <c r="A301" s="15" t="s">
        <v>402</v>
      </c>
      <c r="B301" s="15" t="s">
        <v>50</v>
      </c>
      <c r="C301" s="15" t="s">
        <v>116</v>
      </c>
      <c r="D301" s="19" t="s">
        <v>163</v>
      </c>
      <c r="E301" s="19" t="s">
        <v>156</v>
      </c>
      <c r="F301" s="15" t="s">
        <v>327</v>
      </c>
    </row>
    <row r="302" spans="1:6" ht="14.4">
      <c r="A302" s="15" t="s">
        <v>403</v>
      </c>
      <c r="B302" s="15" t="s">
        <v>61</v>
      </c>
      <c r="C302" s="15" t="s">
        <v>116</v>
      </c>
      <c r="D302" s="19" t="s">
        <v>163</v>
      </c>
      <c r="E302" s="19" t="s">
        <v>156</v>
      </c>
      <c r="F302" s="15" t="s">
        <v>327</v>
      </c>
    </row>
    <row r="303" spans="1:6" ht="14.4">
      <c r="A303" s="15" t="s">
        <v>404</v>
      </c>
      <c r="B303" s="15" t="s">
        <v>61</v>
      </c>
      <c r="C303" s="15" t="s">
        <v>116</v>
      </c>
      <c r="D303" s="19" t="s">
        <v>163</v>
      </c>
      <c r="E303" s="19" t="s">
        <v>156</v>
      </c>
      <c r="F303" s="15" t="s">
        <v>327</v>
      </c>
    </row>
    <row r="304" spans="1:6" ht="14.4">
      <c r="A304" s="15" t="s">
        <v>405</v>
      </c>
      <c r="B304" s="15" t="s">
        <v>61</v>
      </c>
      <c r="C304" s="15" t="s">
        <v>116</v>
      </c>
      <c r="D304" s="19" t="s">
        <v>163</v>
      </c>
      <c r="E304" s="19" t="s">
        <v>156</v>
      </c>
      <c r="F304" s="15" t="s">
        <v>327</v>
      </c>
    </row>
    <row r="305" spans="1:6" ht="14.4">
      <c r="A305" s="15" t="s">
        <v>406</v>
      </c>
      <c r="B305" s="15" t="s">
        <v>50</v>
      </c>
      <c r="C305" s="15" t="s">
        <v>116</v>
      </c>
      <c r="D305" s="19" t="s">
        <v>163</v>
      </c>
      <c r="E305" s="19" t="s">
        <v>156</v>
      </c>
      <c r="F305" s="15" t="s">
        <v>327</v>
      </c>
    </row>
    <row r="306" spans="1:6" ht="14.4">
      <c r="A306" s="15" t="s">
        <v>407</v>
      </c>
      <c r="B306" s="15" t="s">
        <v>61</v>
      </c>
      <c r="C306" s="15" t="s">
        <v>116</v>
      </c>
      <c r="D306" s="19" t="s">
        <v>163</v>
      </c>
      <c r="E306" s="19" t="s">
        <v>156</v>
      </c>
      <c r="F306" s="15" t="s">
        <v>327</v>
      </c>
    </row>
    <row r="307" spans="1:6" ht="14.4">
      <c r="A307" s="15" t="s">
        <v>408</v>
      </c>
      <c r="B307" s="15" t="s">
        <v>61</v>
      </c>
      <c r="C307" s="15" t="s">
        <v>116</v>
      </c>
      <c r="D307" s="19" t="s">
        <v>163</v>
      </c>
      <c r="E307" s="19" t="s">
        <v>156</v>
      </c>
      <c r="F307" s="15" t="s">
        <v>327</v>
      </c>
    </row>
    <row r="308" spans="1:6" ht="14.4">
      <c r="A308" s="15" t="s">
        <v>409</v>
      </c>
      <c r="B308" s="15" t="s">
        <v>61</v>
      </c>
      <c r="C308" s="15" t="s">
        <v>116</v>
      </c>
      <c r="D308" s="19" t="s">
        <v>174</v>
      </c>
      <c r="E308" s="19" t="s">
        <v>156</v>
      </c>
      <c r="F308" s="15" t="s">
        <v>327</v>
      </c>
    </row>
    <row r="309" spans="1:6" ht="14.4">
      <c r="A309" s="15" t="s">
        <v>410</v>
      </c>
      <c r="B309" s="15" t="s">
        <v>61</v>
      </c>
      <c r="C309" s="15" t="s">
        <v>116</v>
      </c>
      <c r="D309" s="19" t="s">
        <v>174</v>
      </c>
      <c r="E309" s="19" t="s">
        <v>156</v>
      </c>
      <c r="F309" s="15" t="s">
        <v>327</v>
      </c>
    </row>
    <row r="310" spans="1:6" ht="14.4">
      <c r="A310" s="15" t="s">
        <v>411</v>
      </c>
      <c r="B310" s="15" t="s">
        <v>61</v>
      </c>
      <c r="C310" s="15" t="s">
        <v>116</v>
      </c>
      <c r="D310" s="19" t="s">
        <v>174</v>
      </c>
      <c r="E310" s="19" t="s">
        <v>156</v>
      </c>
      <c r="F310" s="15" t="s">
        <v>327</v>
      </c>
    </row>
    <row r="311" spans="1:6" ht="14.4">
      <c r="A311" s="15" t="s">
        <v>412</v>
      </c>
      <c r="B311" s="15" t="s">
        <v>61</v>
      </c>
      <c r="C311" s="15" t="s">
        <v>116</v>
      </c>
      <c r="D311" s="19" t="s">
        <v>174</v>
      </c>
      <c r="E311" s="19" t="s">
        <v>156</v>
      </c>
      <c r="F311" s="15" t="s">
        <v>327</v>
      </c>
    </row>
    <row r="312" spans="1:6" ht="14.4">
      <c r="A312" s="15" t="s">
        <v>413</v>
      </c>
      <c r="B312" s="15" t="s">
        <v>61</v>
      </c>
      <c r="C312" s="15" t="s">
        <v>116</v>
      </c>
      <c r="D312" s="19" t="s">
        <v>174</v>
      </c>
      <c r="E312" s="19" t="s">
        <v>156</v>
      </c>
      <c r="F312" s="15" t="s">
        <v>327</v>
      </c>
    </row>
    <row r="313" spans="1:6" ht="14.4">
      <c r="A313" s="15" t="s">
        <v>414</v>
      </c>
      <c r="B313" s="15" t="s">
        <v>61</v>
      </c>
      <c r="C313" s="15" t="s">
        <v>116</v>
      </c>
      <c r="D313" s="19" t="s">
        <v>174</v>
      </c>
      <c r="E313" s="19" t="s">
        <v>156</v>
      </c>
      <c r="F313" s="15" t="s">
        <v>327</v>
      </c>
    </row>
    <row r="314" spans="1:6" ht="14.4">
      <c r="A314" s="15" t="s">
        <v>415</v>
      </c>
      <c r="B314" s="15" t="s">
        <v>61</v>
      </c>
      <c r="C314" s="15" t="s">
        <v>116</v>
      </c>
      <c r="D314" s="19" t="s">
        <v>174</v>
      </c>
      <c r="E314" s="19" t="s">
        <v>156</v>
      </c>
      <c r="F314" s="15" t="s">
        <v>327</v>
      </c>
    </row>
    <row r="315" spans="1:6" ht="14.4">
      <c r="A315" s="15" t="s">
        <v>416</v>
      </c>
      <c r="B315" s="15" t="s">
        <v>61</v>
      </c>
      <c r="C315" s="15" t="s">
        <v>116</v>
      </c>
      <c r="D315" s="19" t="s">
        <v>174</v>
      </c>
      <c r="E315" s="19" t="s">
        <v>156</v>
      </c>
      <c r="F315" s="15" t="s">
        <v>327</v>
      </c>
    </row>
    <row r="316" spans="1:6" ht="14.4">
      <c r="A316" s="15" t="s">
        <v>417</v>
      </c>
      <c r="B316" s="15" t="s">
        <v>61</v>
      </c>
      <c r="C316" s="15" t="s">
        <v>116</v>
      </c>
      <c r="D316" s="19" t="s">
        <v>136</v>
      </c>
      <c r="E316" s="19" t="s">
        <v>156</v>
      </c>
      <c r="F316" s="15" t="s">
        <v>327</v>
      </c>
    </row>
    <row r="317" spans="1:6" ht="14.4">
      <c r="A317" s="15" t="s">
        <v>418</v>
      </c>
      <c r="B317" s="15" t="s">
        <v>61</v>
      </c>
      <c r="C317" s="15" t="s">
        <v>116</v>
      </c>
      <c r="D317" s="19" t="s">
        <v>419</v>
      </c>
      <c r="E317" s="19" t="s">
        <v>156</v>
      </c>
      <c r="F317" s="15" t="s">
        <v>327</v>
      </c>
    </row>
    <row r="318" spans="1:6" ht="14.4">
      <c r="A318" s="15" t="s">
        <v>420</v>
      </c>
      <c r="B318" s="15" t="s">
        <v>61</v>
      </c>
      <c r="C318" s="15" t="s">
        <v>116</v>
      </c>
      <c r="D318" s="19" t="s">
        <v>174</v>
      </c>
      <c r="E318" s="19" t="s">
        <v>156</v>
      </c>
      <c r="F318" s="15" t="s">
        <v>327</v>
      </c>
    </row>
    <row r="319" spans="1:6" ht="14.4">
      <c r="A319" s="15" t="s">
        <v>421</v>
      </c>
      <c r="B319" s="15" t="s">
        <v>61</v>
      </c>
      <c r="C319" s="15" t="s">
        <v>116</v>
      </c>
      <c r="D319" s="19" t="s">
        <v>174</v>
      </c>
      <c r="E319" s="19" t="s">
        <v>156</v>
      </c>
      <c r="F319" s="15" t="s">
        <v>327</v>
      </c>
    </row>
    <row r="320" spans="1:6" ht="14.4">
      <c r="A320" s="15" t="s">
        <v>422</v>
      </c>
      <c r="B320" s="15" t="s">
        <v>61</v>
      </c>
      <c r="C320" s="15" t="s">
        <v>116</v>
      </c>
      <c r="D320" s="19" t="s">
        <v>423</v>
      </c>
      <c r="E320" s="19" t="s">
        <v>156</v>
      </c>
      <c r="F320" s="15" t="s">
        <v>327</v>
      </c>
    </row>
    <row r="321" spans="1:6" ht="14.4">
      <c r="A321" s="15" t="s">
        <v>424</v>
      </c>
      <c r="B321" s="15" t="s">
        <v>61</v>
      </c>
      <c r="C321" s="15" t="s">
        <v>116</v>
      </c>
      <c r="D321" s="19" t="s">
        <v>425</v>
      </c>
      <c r="E321" s="19" t="s">
        <v>156</v>
      </c>
      <c r="F321" s="15" t="s">
        <v>327</v>
      </c>
    </row>
    <row r="322" spans="1:6" ht="14.4">
      <c r="A322" s="15" t="s">
        <v>426</v>
      </c>
      <c r="B322" s="15" t="s">
        <v>61</v>
      </c>
      <c r="C322" s="15" t="s">
        <v>116</v>
      </c>
      <c r="D322" s="19" t="s">
        <v>174</v>
      </c>
      <c r="E322" s="19" t="s">
        <v>156</v>
      </c>
      <c r="F322" s="15" t="s">
        <v>327</v>
      </c>
    </row>
    <row r="323" spans="1:6" ht="14.4">
      <c r="A323" s="15" t="s">
        <v>427</v>
      </c>
      <c r="B323" s="15" t="s">
        <v>61</v>
      </c>
      <c r="C323" s="15" t="s">
        <v>116</v>
      </c>
      <c r="D323" s="19" t="s">
        <v>174</v>
      </c>
      <c r="E323" s="19" t="s">
        <v>156</v>
      </c>
      <c r="F323" s="15" t="s">
        <v>327</v>
      </c>
    </row>
    <row r="324" spans="1:6" ht="14.4">
      <c r="A324" s="15" t="s">
        <v>428</v>
      </c>
      <c r="B324" s="15" t="s">
        <v>61</v>
      </c>
      <c r="C324" s="15" t="s">
        <v>116</v>
      </c>
      <c r="D324" s="19" t="s">
        <v>174</v>
      </c>
      <c r="E324" s="19" t="s">
        <v>156</v>
      </c>
      <c r="F324" s="15" t="s">
        <v>327</v>
      </c>
    </row>
    <row r="325" spans="1:6" ht="14.4">
      <c r="A325" s="15" t="s">
        <v>429</v>
      </c>
      <c r="B325" s="15" t="s">
        <v>61</v>
      </c>
      <c r="C325" s="15" t="s">
        <v>116</v>
      </c>
      <c r="D325" s="19" t="s">
        <v>174</v>
      </c>
      <c r="E325" s="19" t="s">
        <v>156</v>
      </c>
      <c r="F325" s="15" t="s">
        <v>327</v>
      </c>
    </row>
    <row r="326" spans="1:6" ht="14.4">
      <c r="A326" s="15" t="s">
        <v>430</v>
      </c>
      <c r="B326" s="15" t="s">
        <v>61</v>
      </c>
      <c r="C326" s="15" t="s">
        <v>116</v>
      </c>
      <c r="D326" s="19" t="s">
        <v>174</v>
      </c>
      <c r="E326" s="19" t="s">
        <v>156</v>
      </c>
      <c r="F326" s="15" t="s">
        <v>327</v>
      </c>
    </row>
    <row r="327" spans="1:6" ht="14.4">
      <c r="A327" s="15" t="s">
        <v>431</v>
      </c>
      <c r="B327" s="15" t="s">
        <v>61</v>
      </c>
      <c r="C327" s="15" t="s">
        <v>116</v>
      </c>
      <c r="D327" s="19" t="s">
        <v>136</v>
      </c>
      <c r="E327" s="19" t="s">
        <v>156</v>
      </c>
      <c r="F327" s="15" t="s">
        <v>327</v>
      </c>
    </row>
    <row r="328" spans="1:6" ht="14.4">
      <c r="A328" s="15" t="s">
        <v>432</v>
      </c>
      <c r="B328" s="15" t="s">
        <v>61</v>
      </c>
      <c r="C328" s="15" t="s">
        <v>116</v>
      </c>
      <c r="D328" s="19" t="s">
        <v>174</v>
      </c>
      <c r="E328" s="19" t="s">
        <v>156</v>
      </c>
      <c r="F328" s="15" t="s">
        <v>327</v>
      </c>
    </row>
    <row r="329" spans="1:6" ht="14.4">
      <c r="A329" s="15" t="s">
        <v>433</v>
      </c>
      <c r="B329" s="15" t="s">
        <v>61</v>
      </c>
      <c r="C329" s="15" t="s">
        <v>116</v>
      </c>
      <c r="D329" s="19" t="s">
        <v>174</v>
      </c>
      <c r="E329" s="19" t="s">
        <v>156</v>
      </c>
      <c r="F329" s="15" t="s">
        <v>327</v>
      </c>
    </row>
    <row r="330" spans="1:6" ht="14.4">
      <c r="A330" s="15" t="s">
        <v>434</v>
      </c>
      <c r="B330" s="15" t="s">
        <v>61</v>
      </c>
      <c r="C330" s="15" t="s">
        <v>116</v>
      </c>
      <c r="D330" s="19" t="s">
        <v>174</v>
      </c>
      <c r="E330" s="19" t="s">
        <v>156</v>
      </c>
      <c r="F330" s="15" t="s">
        <v>327</v>
      </c>
    </row>
    <row r="331" spans="1:6" ht="14.4">
      <c r="A331" s="15" t="s">
        <v>435</v>
      </c>
      <c r="B331" s="15" t="s">
        <v>61</v>
      </c>
      <c r="C331" s="15" t="s">
        <v>116</v>
      </c>
      <c r="D331" s="19" t="s">
        <v>174</v>
      </c>
      <c r="E331" s="19" t="s">
        <v>156</v>
      </c>
      <c r="F331" s="15" t="s">
        <v>327</v>
      </c>
    </row>
    <row r="332" spans="1:6" ht="14.4">
      <c r="A332" s="15" t="s">
        <v>436</v>
      </c>
      <c r="B332" s="15" t="s">
        <v>61</v>
      </c>
      <c r="C332" s="15" t="s">
        <v>116</v>
      </c>
      <c r="D332" s="19" t="s">
        <v>174</v>
      </c>
      <c r="E332" s="19" t="s">
        <v>156</v>
      </c>
      <c r="F332" s="15" t="s">
        <v>327</v>
      </c>
    </row>
    <row r="333" spans="1:6" ht="14.4">
      <c r="A333" s="15" t="s">
        <v>437</v>
      </c>
      <c r="B333" s="15" t="s">
        <v>61</v>
      </c>
      <c r="C333" s="15" t="s">
        <v>116</v>
      </c>
      <c r="D333" s="19" t="s">
        <v>174</v>
      </c>
      <c r="E333" s="19" t="s">
        <v>156</v>
      </c>
      <c r="F333" s="15" t="s">
        <v>327</v>
      </c>
    </row>
    <row r="334" spans="1:6" ht="14.4">
      <c r="A334" s="15" t="s">
        <v>438</v>
      </c>
      <c r="B334" s="15" t="s">
        <v>61</v>
      </c>
      <c r="C334" s="15" t="s">
        <v>116</v>
      </c>
      <c r="D334" s="19" t="s">
        <v>174</v>
      </c>
      <c r="E334" s="19" t="s">
        <v>156</v>
      </c>
      <c r="F334" s="15" t="s">
        <v>327</v>
      </c>
    </row>
    <row r="335" spans="1:6" ht="14.4">
      <c r="A335" s="15" t="s">
        <v>439</v>
      </c>
      <c r="B335" s="15" t="s">
        <v>61</v>
      </c>
      <c r="C335" s="15" t="s">
        <v>116</v>
      </c>
      <c r="D335" s="19" t="s">
        <v>174</v>
      </c>
      <c r="E335" s="19" t="s">
        <v>156</v>
      </c>
      <c r="F335" s="15" t="s">
        <v>327</v>
      </c>
    </row>
    <row r="336" spans="1:6" ht="14.4">
      <c r="A336" s="15" t="s">
        <v>440</v>
      </c>
      <c r="B336" s="15" t="s">
        <v>61</v>
      </c>
      <c r="C336" s="15" t="s">
        <v>116</v>
      </c>
      <c r="D336" s="19" t="s">
        <v>174</v>
      </c>
      <c r="E336" s="19" t="s">
        <v>156</v>
      </c>
      <c r="F336" s="15" t="s">
        <v>327</v>
      </c>
    </row>
    <row r="337" spans="1:6" ht="14.4">
      <c r="A337" s="15" t="s">
        <v>441</v>
      </c>
      <c r="B337" s="15" t="s">
        <v>61</v>
      </c>
      <c r="C337" s="15" t="s">
        <v>116</v>
      </c>
      <c r="D337" s="19" t="s">
        <v>174</v>
      </c>
      <c r="E337" s="19" t="s">
        <v>156</v>
      </c>
      <c r="F337" s="15" t="s">
        <v>327</v>
      </c>
    </row>
    <row r="338" spans="1:6" ht="14.4">
      <c r="A338" s="15" t="s">
        <v>442</v>
      </c>
      <c r="B338" s="15" t="s">
        <v>61</v>
      </c>
      <c r="C338" s="15" t="s">
        <v>116</v>
      </c>
      <c r="D338" s="19" t="s">
        <v>174</v>
      </c>
      <c r="E338" s="19" t="s">
        <v>156</v>
      </c>
      <c r="F338" s="15" t="s">
        <v>327</v>
      </c>
    </row>
    <row r="339" spans="1:6" ht="14.4">
      <c r="A339" s="15" t="s">
        <v>443</v>
      </c>
      <c r="B339" s="15" t="s">
        <v>61</v>
      </c>
      <c r="C339" s="15" t="s">
        <v>116</v>
      </c>
      <c r="D339" s="19" t="s">
        <v>174</v>
      </c>
      <c r="E339" s="19" t="s">
        <v>156</v>
      </c>
      <c r="F339" s="15" t="s">
        <v>327</v>
      </c>
    </row>
    <row r="340" spans="1:6" ht="14.4">
      <c r="A340" s="15" t="s">
        <v>444</v>
      </c>
      <c r="B340" s="15" t="s">
        <v>61</v>
      </c>
      <c r="C340" s="15" t="s">
        <v>116</v>
      </c>
      <c r="D340" s="19" t="s">
        <v>174</v>
      </c>
      <c r="E340" s="19" t="s">
        <v>156</v>
      </c>
      <c r="F340" s="15" t="s">
        <v>327</v>
      </c>
    </row>
    <row r="341" spans="1:6" ht="14.4">
      <c r="A341" s="15" t="s">
        <v>445</v>
      </c>
      <c r="B341" s="15" t="s">
        <v>61</v>
      </c>
      <c r="C341" s="15" t="s">
        <v>116</v>
      </c>
      <c r="D341" s="19" t="s">
        <v>174</v>
      </c>
      <c r="E341" s="19" t="s">
        <v>156</v>
      </c>
      <c r="F341" s="15" t="s">
        <v>327</v>
      </c>
    </row>
    <row r="342" spans="1:6" ht="14.4">
      <c r="A342" s="15" t="s">
        <v>446</v>
      </c>
      <c r="B342" s="15" t="s">
        <v>61</v>
      </c>
      <c r="C342" s="15" t="s">
        <v>116</v>
      </c>
      <c r="D342" s="19" t="s">
        <v>174</v>
      </c>
      <c r="E342" s="19" t="s">
        <v>156</v>
      </c>
      <c r="F342" s="15" t="s">
        <v>327</v>
      </c>
    </row>
    <row r="343" spans="1:6" ht="14.4">
      <c r="A343" s="15" t="s">
        <v>447</v>
      </c>
      <c r="B343" s="15" t="s">
        <v>61</v>
      </c>
      <c r="C343" s="15" t="s">
        <v>116</v>
      </c>
      <c r="D343" s="19" t="s">
        <v>419</v>
      </c>
      <c r="E343" s="19" t="s">
        <v>156</v>
      </c>
      <c r="F343" s="15" t="s">
        <v>327</v>
      </c>
    </row>
    <row r="344" spans="1:6" ht="14.4">
      <c r="A344" s="15" t="s">
        <v>448</v>
      </c>
      <c r="B344" s="15" t="s">
        <v>50</v>
      </c>
      <c r="C344" s="15" t="s">
        <v>116</v>
      </c>
      <c r="D344" s="19" t="s">
        <v>174</v>
      </c>
      <c r="E344" s="19" t="s">
        <v>156</v>
      </c>
      <c r="F344" s="15" t="s">
        <v>327</v>
      </c>
    </row>
    <row r="345" spans="1:6" ht="14.4">
      <c r="A345" s="15" t="s">
        <v>449</v>
      </c>
      <c r="B345" s="15" t="s">
        <v>61</v>
      </c>
      <c r="C345" s="15" t="s">
        <v>116</v>
      </c>
      <c r="D345" s="19" t="s">
        <v>174</v>
      </c>
      <c r="E345" s="19" t="s">
        <v>156</v>
      </c>
      <c r="F345" s="15" t="s">
        <v>327</v>
      </c>
    </row>
    <row r="346" spans="1:6" ht="14.4">
      <c r="A346" s="15" t="s">
        <v>450</v>
      </c>
      <c r="B346" s="15" t="s">
        <v>61</v>
      </c>
      <c r="C346" s="15" t="s">
        <v>116</v>
      </c>
      <c r="D346" s="19" t="s">
        <v>174</v>
      </c>
      <c r="E346" s="19" t="s">
        <v>156</v>
      </c>
      <c r="F346" s="15" t="s">
        <v>327</v>
      </c>
    </row>
    <row r="347" spans="1:6" ht="14.4">
      <c r="A347" s="15" t="s">
        <v>451</v>
      </c>
      <c r="B347" s="15" t="s">
        <v>61</v>
      </c>
      <c r="C347" s="15" t="s">
        <v>116</v>
      </c>
      <c r="D347" s="19" t="s">
        <v>174</v>
      </c>
      <c r="E347" s="19" t="s">
        <v>156</v>
      </c>
      <c r="F347" s="15" t="s">
        <v>327</v>
      </c>
    </row>
    <row r="348" spans="1:6" ht="14.4">
      <c r="A348" s="15" t="s">
        <v>452</v>
      </c>
      <c r="B348" s="15" t="s">
        <v>61</v>
      </c>
      <c r="C348" s="15" t="s">
        <v>116</v>
      </c>
      <c r="D348" s="19" t="s">
        <v>174</v>
      </c>
      <c r="E348" s="19" t="s">
        <v>156</v>
      </c>
      <c r="F348" s="15" t="s">
        <v>327</v>
      </c>
    </row>
    <row r="349" spans="1:6" ht="14.4">
      <c r="A349" s="15" t="s">
        <v>453</v>
      </c>
      <c r="B349" s="15" t="s">
        <v>61</v>
      </c>
      <c r="C349" s="15" t="s">
        <v>116</v>
      </c>
      <c r="D349" s="19" t="s">
        <v>174</v>
      </c>
      <c r="E349" s="19" t="s">
        <v>156</v>
      </c>
      <c r="F349" s="15" t="s">
        <v>327</v>
      </c>
    </row>
    <row r="350" spans="1:6" ht="14.4">
      <c r="A350" s="15" t="s">
        <v>454</v>
      </c>
      <c r="B350" s="15" t="s">
        <v>61</v>
      </c>
      <c r="C350" s="15" t="s">
        <v>116</v>
      </c>
      <c r="D350" s="19" t="s">
        <v>174</v>
      </c>
      <c r="E350" s="19" t="s">
        <v>156</v>
      </c>
      <c r="F350" s="15" t="s">
        <v>327</v>
      </c>
    </row>
    <row r="351" spans="1:6" ht="14.4">
      <c r="A351" s="15" t="s">
        <v>455</v>
      </c>
      <c r="B351" s="15" t="s">
        <v>61</v>
      </c>
      <c r="C351" s="15" t="s">
        <v>116</v>
      </c>
      <c r="D351" s="19" t="s">
        <v>242</v>
      </c>
      <c r="E351" s="19" t="s">
        <v>156</v>
      </c>
      <c r="F351" s="15" t="s">
        <v>327</v>
      </c>
    </row>
    <row r="352" spans="1:6" ht="14.4">
      <c r="A352" s="15" t="s">
        <v>456</v>
      </c>
      <c r="B352" s="15" t="s">
        <v>61</v>
      </c>
      <c r="C352" s="15" t="s">
        <v>116</v>
      </c>
      <c r="D352" s="19" t="s">
        <v>242</v>
      </c>
      <c r="E352" s="19" t="s">
        <v>156</v>
      </c>
      <c r="F352" s="15" t="s">
        <v>327</v>
      </c>
    </row>
    <row r="353" spans="1:6" ht="14.4">
      <c r="A353" s="15" t="s">
        <v>457</v>
      </c>
      <c r="B353" s="15" t="s">
        <v>61</v>
      </c>
      <c r="C353" s="15" t="s">
        <v>116</v>
      </c>
      <c r="D353" s="19" t="s">
        <v>242</v>
      </c>
      <c r="E353" s="19" t="s">
        <v>156</v>
      </c>
      <c r="F353" s="15" t="s">
        <v>327</v>
      </c>
    </row>
    <row r="354" spans="1:6" ht="14.4">
      <c r="A354" s="15" t="s">
        <v>458</v>
      </c>
      <c r="B354" s="15" t="s">
        <v>61</v>
      </c>
      <c r="C354" s="15" t="s">
        <v>116</v>
      </c>
      <c r="D354" s="19" t="s">
        <v>242</v>
      </c>
      <c r="E354" s="19" t="s">
        <v>156</v>
      </c>
      <c r="F354" s="15" t="s">
        <v>327</v>
      </c>
    </row>
    <row r="355" spans="1:6" ht="14.4">
      <c r="A355" s="15" t="s">
        <v>459</v>
      </c>
      <c r="B355" s="15" t="s">
        <v>61</v>
      </c>
      <c r="C355" s="15" t="s">
        <v>116</v>
      </c>
      <c r="D355" s="19" t="s">
        <v>141</v>
      </c>
      <c r="E355" s="19" t="s">
        <v>156</v>
      </c>
      <c r="F355" s="15" t="s">
        <v>327</v>
      </c>
    </row>
    <row r="356" spans="1:6" ht="14.4">
      <c r="A356" s="15" t="s">
        <v>460</v>
      </c>
      <c r="B356" s="15" t="s">
        <v>61</v>
      </c>
      <c r="C356" s="15" t="s">
        <v>116</v>
      </c>
      <c r="D356" s="19" t="s">
        <v>141</v>
      </c>
      <c r="E356" s="19" t="s">
        <v>156</v>
      </c>
      <c r="F356" s="15" t="s">
        <v>327</v>
      </c>
    </row>
    <row r="357" spans="1:6" ht="14.4">
      <c r="A357" s="15" t="s">
        <v>461</v>
      </c>
      <c r="B357" s="15" t="s">
        <v>61</v>
      </c>
      <c r="C357" s="15" t="s">
        <v>116</v>
      </c>
      <c r="D357" s="19" t="s">
        <v>242</v>
      </c>
      <c r="E357" s="19" t="s">
        <v>156</v>
      </c>
      <c r="F357" s="15" t="s">
        <v>327</v>
      </c>
    </row>
    <row r="358" spans="1:6" ht="14.4">
      <c r="A358" s="15" t="s">
        <v>462</v>
      </c>
      <c r="B358" s="15" t="s">
        <v>50</v>
      </c>
      <c r="C358" s="15" t="s">
        <v>116</v>
      </c>
      <c r="D358" s="19" t="s">
        <v>242</v>
      </c>
      <c r="E358" s="19" t="s">
        <v>156</v>
      </c>
      <c r="F358" s="15" t="s">
        <v>327</v>
      </c>
    </row>
    <row r="359" spans="1:6" ht="14.4">
      <c r="A359" s="15" t="s">
        <v>463</v>
      </c>
      <c r="B359" s="15" t="s">
        <v>50</v>
      </c>
      <c r="C359" s="15" t="s">
        <v>116</v>
      </c>
      <c r="D359" s="19" t="s">
        <v>242</v>
      </c>
      <c r="E359" s="19" t="s">
        <v>156</v>
      </c>
      <c r="F359" s="15" t="s">
        <v>327</v>
      </c>
    </row>
    <row r="360" spans="1:6" ht="14.4">
      <c r="A360" s="15" t="s">
        <v>464</v>
      </c>
      <c r="B360" s="15" t="s">
        <v>61</v>
      </c>
      <c r="C360" s="15" t="s">
        <v>116</v>
      </c>
      <c r="D360" s="19" t="s">
        <v>136</v>
      </c>
      <c r="E360" s="19" t="s">
        <v>156</v>
      </c>
      <c r="F360" s="15" t="s">
        <v>327</v>
      </c>
    </row>
    <row r="361" spans="1:6" ht="14.4">
      <c r="A361" s="15" t="s">
        <v>465</v>
      </c>
      <c r="B361" s="15" t="s">
        <v>61</v>
      </c>
      <c r="C361" s="15" t="s">
        <v>116</v>
      </c>
      <c r="D361" s="19" t="s">
        <v>136</v>
      </c>
      <c r="E361" s="19" t="s">
        <v>156</v>
      </c>
      <c r="F361" s="15" t="s">
        <v>327</v>
      </c>
    </row>
    <row r="362" spans="1:6" ht="14.4">
      <c r="A362" s="15" t="s">
        <v>466</v>
      </c>
      <c r="B362" s="15" t="s">
        <v>61</v>
      </c>
      <c r="C362" s="15" t="s">
        <v>116</v>
      </c>
      <c r="D362" s="19" t="s">
        <v>242</v>
      </c>
      <c r="E362" s="19" t="s">
        <v>156</v>
      </c>
      <c r="F362" s="15" t="s">
        <v>327</v>
      </c>
    </row>
    <row r="363" spans="1:6" ht="14.4">
      <c r="A363" s="15" t="s">
        <v>467</v>
      </c>
      <c r="B363" s="15" t="s">
        <v>61</v>
      </c>
      <c r="C363" s="15" t="s">
        <v>116</v>
      </c>
      <c r="D363" s="19" t="s">
        <v>242</v>
      </c>
      <c r="E363" s="19" t="s">
        <v>156</v>
      </c>
      <c r="F363" s="15" t="s">
        <v>327</v>
      </c>
    </row>
    <row r="364" spans="1:6" ht="14.4">
      <c r="A364" s="15" t="s">
        <v>468</v>
      </c>
      <c r="B364" s="15" t="s">
        <v>61</v>
      </c>
      <c r="C364" s="15" t="s">
        <v>116</v>
      </c>
      <c r="D364" s="19" t="s">
        <v>153</v>
      </c>
      <c r="E364" s="19" t="s">
        <v>156</v>
      </c>
      <c r="F364" s="15" t="s">
        <v>327</v>
      </c>
    </row>
    <row r="365" spans="1:6" ht="14.4">
      <c r="A365" s="15" t="s">
        <v>469</v>
      </c>
      <c r="B365" s="15" t="s">
        <v>61</v>
      </c>
      <c r="C365" s="15" t="s">
        <v>116</v>
      </c>
      <c r="D365" s="19" t="s">
        <v>153</v>
      </c>
      <c r="E365" s="19" t="s">
        <v>156</v>
      </c>
      <c r="F365" s="15" t="s">
        <v>327</v>
      </c>
    </row>
    <row r="366" spans="1:6" ht="14.4">
      <c r="A366" s="15" t="s">
        <v>470</v>
      </c>
      <c r="B366" s="15" t="s">
        <v>61</v>
      </c>
      <c r="C366" s="15" t="s">
        <v>116</v>
      </c>
      <c r="D366" s="19" t="s">
        <v>136</v>
      </c>
      <c r="E366" s="19" t="s">
        <v>156</v>
      </c>
      <c r="F366" s="15" t="s">
        <v>327</v>
      </c>
    </row>
    <row r="367" spans="1:6" s="16" customFormat="1" ht="14.4">
      <c r="A367" s="15" t="s">
        <v>471</v>
      </c>
      <c r="B367" s="15" t="s">
        <v>61</v>
      </c>
      <c r="C367" s="15" t="s">
        <v>116</v>
      </c>
      <c r="D367" s="19" t="s">
        <v>242</v>
      </c>
      <c r="E367" s="19" t="s">
        <v>156</v>
      </c>
      <c r="F367" s="15" t="s">
        <v>327</v>
      </c>
    </row>
    <row r="368" spans="1:6" ht="14.4">
      <c r="A368" s="15" t="s">
        <v>472</v>
      </c>
      <c r="B368" s="15" t="s">
        <v>61</v>
      </c>
      <c r="C368" s="15" t="s">
        <v>116</v>
      </c>
      <c r="D368" s="19" t="s">
        <v>242</v>
      </c>
      <c r="E368" s="19" t="s">
        <v>156</v>
      </c>
      <c r="F368" s="15" t="s">
        <v>327</v>
      </c>
    </row>
    <row r="369" spans="1:6" ht="14.4">
      <c r="A369" s="15" t="s">
        <v>473</v>
      </c>
      <c r="B369" s="15" t="s">
        <v>61</v>
      </c>
      <c r="C369" s="15" t="s">
        <v>116</v>
      </c>
      <c r="D369" s="19" t="s">
        <v>242</v>
      </c>
      <c r="E369" s="19" t="s">
        <v>156</v>
      </c>
      <c r="F369" s="15" t="s">
        <v>327</v>
      </c>
    </row>
    <row r="370" spans="1:6" ht="14.4">
      <c r="A370" s="15" t="s">
        <v>474</v>
      </c>
      <c r="B370" s="15" t="s">
        <v>61</v>
      </c>
      <c r="C370" s="15" t="s">
        <v>116</v>
      </c>
      <c r="D370" s="19" t="s">
        <v>242</v>
      </c>
      <c r="E370" s="19" t="s">
        <v>156</v>
      </c>
      <c r="F370" s="15" t="s">
        <v>327</v>
      </c>
    </row>
    <row r="371" spans="1:6" ht="14.4">
      <c r="A371" s="15" t="s">
        <v>475</v>
      </c>
      <c r="B371" s="15" t="s">
        <v>61</v>
      </c>
      <c r="C371" s="15" t="s">
        <v>116</v>
      </c>
      <c r="D371" s="19" t="s">
        <v>242</v>
      </c>
      <c r="E371" s="19" t="s">
        <v>156</v>
      </c>
      <c r="F371" s="15" t="s">
        <v>327</v>
      </c>
    </row>
    <row r="372" spans="1:6" ht="14.4">
      <c r="A372" s="15" t="s">
        <v>476</v>
      </c>
      <c r="B372" s="15" t="s">
        <v>61</v>
      </c>
      <c r="C372" s="15" t="s">
        <v>116</v>
      </c>
      <c r="D372" s="19" t="s">
        <v>242</v>
      </c>
      <c r="E372" s="19" t="s">
        <v>156</v>
      </c>
      <c r="F372" s="15" t="s">
        <v>327</v>
      </c>
    </row>
    <row r="373" spans="1:6" ht="14.4">
      <c r="A373" s="15" t="s">
        <v>477</v>
      </c>
      <c r="B373" s="15" t="s">
        <v>61</v>
      </c>
      <c r="C373" s="15" t="s">
        <v>116</v>
      </c>
      <c r="D373" s="19" t="s">
        <v>242</v>
      </c>
      <c r="E373" s="19" t="s">
        <v>156</v>
      </c>
      <c r="F373" s="15" t="s">
        <v>327</v>
      </c>
    </row>
    <row r="374" spans="1:6" ht="14.4">
      <c r="A374" s="15" t="s">
        <v>478</v>
      </c>
      <c r="B374" s="15" t="s">
        <v>61</v>
      </c>
      <c r="C374" s="15" t="s">
        <v>116</v>
      </c>
      <c r="D374" s="19" t="s">
        <v>242</v>
      </c>
      <c r="E374" s="19" t="s">
        <v>156</v>
      </c>
      <c r="F374" s="15" t="s">
        <v>327</v>
      </c>
    </row>
    <row r="375" spans="1:6" ht="14.4">
      <c r="A375" s="15" t="s">
        <v>479</v>
      </c>
      <c r="B375" s="15" t="s">
        <v>61</v>
      </c>
      <c r="C375" s="15" t="s">
        <v>116</v>
      </c>
      <c r="D375" s="19" t="s">
        <v>136</v>
      </c>
      <c r="E375" s="19" t="s">
        <v>156</v>
      </c>
      <c r="F375" s="15" t="s">
        <v>327</v>
      </c>
    </row>
    <row r="376" spans="1:6" ht="14.4">
      <c r="A376" s="15" t="s">
        <v>245</v>
      </c>
      <c r="B376" s="15" t="s">
        <v>50</v>
      </c>
      <c r="C376" s="15" t="s">
        <v>116</v>
      </c>
      <c r="D376" s="19" t="s">
        <v>242</v>
      </c>
      <c r="E376" s="19" t="s">
        <v>156</v>
      </c>
      <c r="F376" s="15" t="s">
        <v>327</v>
      </c>
    </row>
    <row r="377" spans="1:6" ht="14.4">
      <c r="A377" s="15" t="s">
        <v>480</v>
      </c>
      <c r="B377" s="15" t="s">
        <v>61</v>
      </c>
      <c r="C377" s="15" t="s">
        <v>116</v>
      </c>
      <c r="D377" s="19" t="s">
        <v>242</v>
      </c>
      <c r="E377" s="19" t="s">
        <v>156</v>
      </c>
      <c r="F377" s="15" t="s">
        <v>327</v>
      </c>
    </row>
    <row r="378" spans="1:6" ht="14.4">
      <c r="A378" s="15" t="s">
        <v>481</v>
      </c>
      <c r="B378" s="15" t="s">
        <v>61</v>
      </c>
      <c r="C378" s="15" t="s">
        <v>116</v>
      </c>
      <c r="D378" s="19" t="s">
        <v>242</v>
      </c>
      <c r="E378" s="19" t="s">
        <v>156</v>
      </c>
      <c r="F378" s="15" t="s">
        <v>327</v>
      </c>
    </row>
    <row r="379" spans="1:6" ht="14.4">
      <c r="A379" s="15" t="s">
        <v>482</v>
      </c>
      <c r="B379" s="15" t="s">
        <v>61</v>
      </c>
      <c r="C379" s="15" t="s">
        <v>116</v>
      </c>
      <c r="D379" s="19" t="s">
        <v>141</v>
      </c>
      <c r="E379" s="19" t="s">
        <v>156</v>
      </c>
      <c r="F379" s="15" t="s">
        <v>327</v>
      </c>
    </row>
    <row r="380" spans="1:6" ht="14.4">
      <c r="A380" s="15" t="s">
        <v>483</v>
      </c>
      <c r="B380" s="15" t="s">
        <v>61</v>
      </c>
      <c r="C380" s="15" t="s">
        <v>116</v>
      </c>
      <c r="D380" s="19" t="s">
        <v>242</v>
      </c>
      <c r="E380" s="19" t="s">
        <v>156</v>
      </c>
      <c r="F380" s="15" t="s">
        <v>327</v>
      </c>
    </row>
    <row r="381" spans="1:6" ht="14.4">
      <c r="A381" s="15" t="s">
        <v>484</v>
      </c>
      <c r="B381" s="15" t="s">
        <v>61</v>
      </c>
      <c r="C381" s="15" t="s">
        <v>116</v>
      </c>
      <c r="D381" s="19" t="s">
        <v>242</v>
      </c>
      <c r="E381" s="19" t="s">
        <v>156</v>
      </c>
      <c r="F381" s="15" t="s">
        <v>327</v>
      </c>
    </row>
    <row r="382" spans="1:6" ht="14.4">
      <c r="A382" s="15" t="s">
        <v>485</v>
      </c>
      <c r="B382" s="15" t="s">
        <v>61</v>
      </c>
      <c r="C382" s="15" t="s">
        <v>116</v>
      </c>
      <c r="D382" s="19" t="s">
        <v>242</v>
      </c>
      <c r="E382" s="19" t="s">
        <v>156</v>
      </c>
      <c r="F382" s="15" t="s">
        <v>327</v>
      </c>
    </row>
    <row r="383" spans="1:6" ht="14.4">
      <c r="A383" s="15" t="s">
        <v>486</v>
      </c>
      <c r="B383" s="15" t="s">
        <v>61</v>
      </c>
      <c r="C383" s="15" t="s">
        <v>116</v>
      </c>
      <c r="D383" s="19" t="s">
        <v>136</v>
      </c>
      <c r="E383" s="19" t="s">
        <v>156</v>
      </c>
      <c r="F383" s="15" t="s">
        <v>327</v>
      </c>
    </row>
    <row r="384" spans="1:6" ht="14.4">
      <c r="A384" s="15" t="s">
        <v>487</v>
      </c>
      <c r="B384" s="15" t="s">
        <v>61</v>
      </c>
      <c r="C384" s="15" t="s">
        <v>116</v>
      </c>
      <c r="D384" s="19" t="s">
        <v>136</v>
      </c>
      <c r="E384" s="19" t="s">
        <v>156</v>
      </c>
      <c r="F384" s="15" t="s">
        <v>327</v>
      </c>
    </row>
    <row r="385" spans="1:6" ht="14.4">
      <c r="A385" s="15" t="s">
        <v>488</v>
      </c>
      <c r="B385" s="15" t="s">
        <v>61</v>
      </c>
      <c r="C385" s="15" t="s">
        <v>116</v>
      </c>
      <c r="D385" s="19" t="s">
        <v>242</v>
      </c>
      <c r="E385" s="19" t="s">
        <v>156</v>
      </c>
      <c r="F385" s="15" t="s">
        <v>327</v>
      </c>
    </row>
    <row r="386" spans="1:6" ht="14.4">
      <c r="A386" s="15" t="s">
        <v>489</v>
      </c>
      <c r="B386" s="15" t="s">
        <v>61</v>
      </c>
      <c r="C386" s="15" t="s">
        <v>116</v>
      </c>
      <c r="D386" s="19" t="s">
        <v>242</v>
      </c>
      <c r="E386" s="19" t="s">
        <v>156</v>
      </c>
      <c r="F386" s="15" t="s">
        <v>327</v>
      </c>
    </row>
    <row r="387" spans="1:6" ht="14.4">
      <c r="A387" s="15" t="s">
        <v>490</v>
      </c>
      <c r="B387" s="15" t="s">
        <v>61</v>
      </c>
      <c r="C387" s="15" t="s">
        <v>116</v>
      </c>
      <c r="D387" s="19" t="s">
        <v>242</v>
      </c>
      <c r="E387" s="19" t="s">
        <v>156</v>
      </c>
      <c r="F387" s="15" t="s">
        <v>327</v>
      </c>
    </row>
    <row r="388" spans="1:6" ht="14.4">
      <c r="A388" s="15" t="s">
        <v>491</v>
      </c>
      <c r="B388" s="15" t="s">
        <v>61</v>
      </c>
      <c r="C388" s="15" t="s">
        <v>116</v>
      </c>
      <c r="D388" s="19" t="s">
        <v>242</v>
      </c>
      <c r="E388" s="19" t="s">
        <v>156</v>
      </c>
      <c r="F388" s="15" t="s">
        <v>327</v>
      </c>
    </row>
    <row r="389" spans="1:6" ht="14.4">
      <c r="A389" s="15" t="s">
        <v>492</v>
      </c>
      <c r="B389" s="15" t="s">
        <v>61</v>
      </c>
      <c r="C389" s="15" t="s">
        <v>116</v>
      </c>
      <c r="D389" s="19" t="s">
        <v>136</v>
      </c>
      <c r="E389" s="19" t="s">
        <v>156</v>
      </c>
      <c r="F389" s="15" t="s">
        <v>327</v>
      </c>
    </row>
    <row r="390" spans="1:6" ht="14.4">
      <c r="A390" s="15" t="s">
        <v>493</v>
      </c>
      <c r="B390" s="15" t="s">
        <v>61</v>
      </c>
      <c r="C390" s="15" t="s">
        <v>116</v>
      </c>
      <c r="D390" s="19" t="s">
        <v>136</v>
      </c>
      <c r="E390" s="19" t="s">
        <v>156</v>
      </c>
      <c r="F390" s="15" t="s">
        <v>327</v>
      </c>
    </row>
    <row r="391" spans="1:6" ht="14.4">
      <c r="A391" s="15" t="s">
        <v>494</v>
      </c>
      <c r="B391" s="15" t="s">
        <v>61</v>
      </c>
      <c r="C391" s="15" t="s">
        <v>116</v>
      </c>
      <c r="D391" s="19" t="s">
        <v>242</v>
      </c>
      <c r="E391" s="19" t="s">
        <v>156</v>
      </c>
      <c r="F391" s="15" t="s">
        <v>327</v>
      </c>
    </row>
    <row r="392" spans="1:6" ht="14.4">
      <c r="A392" s="15" t="s">
        <v>495</v>
      </c>
      <c r="B392" s="15" t="s">
        <v>61</v>
      </c>
      <c r="C392" s="15" t="s">
        <v>116</v>
      </c>
      <c r="D392" s="19" t="s">
        <v>242</v>
      </c>
      <c r="E392" s="19" t="s">
        <v>156</v>
      </c>
      <c r="F392" s="15" t="s">
        <v>327</v>
      </c>
    </row>
    <row r="393" spans="1:6" ht="14.4">
      <c r="A393" s="15" t="s">
        <v>496</v>
      </c>
      <c r="B393" s="15" t="s">
        <v>61</v>
      </c>
      <c r="C393" s="15" t="s">
        <v>116</v>
      </c>
      <c r="D393" s="19" t="s">
        <v>242</v>
      </c>
      <c r="E393" s="19" t="s">
        <v>156</v>
      </c>
      <c r="F393" s="15" t="s">
        <v>327</v>
      </c>
    </row>
    <row r="394" spans="1:6" ht="14.4">
      <c r="A394" s="15" t="s">
        <v>497</v>
      </c>
      <c r="B394" s="15" t="s">
        <v>61</v>
      </c>
      <c r="C394" s="15" t="s">
        <v>116</v>
      </c>
      <c r="D394" s="19" t="s">
        <v>136</v>
      </c>
      <c r="E394" s="19" t="s">
        <v>156</v>
      </c>
      <c r="F394" s="15" t="s">
        <v>327</v>
      </c>
    </row>
    <row r="395" spans="1:6" ht="14.4">
      <c r="A395" s="15" t="s">
        <v>498</v>
      </c>
      <c r="B395" s="15" t="s">
        <v>61</v>
      </c>
      <c r="C395" s="15" t="s">
        <v>116</v>
      </c>
      <c r="D395" s="19" t="s">
        <v>153</v>
      </c>
      <c r="E395" s="19" t="s">
        <v>156</v>
      </c>
      <c r="F395" s="15" t="s">
        <v>327</v>
      </c>
    </row>
    <row r="396" spans="1:6" ht="14.4">
      <c r="A396" s="15" t="s">
        <v>499</v>
      </c>
      <c r="B396" s="15" t="s">
        <v>61</v>
      </c>
      <c r="C396" s="15" t="s">
        <v>116</v>
      </c>
      <c r="D396" s="19" t="s">
        <v>242</v>
      </c>
      <c r="E396" s="19" t="s">
        <v>156</v>
      </c>
      <c r="F396" s="15" t="s">
        <v>327</v>
      </c>
    </row>
    <row r="397" spans="1:6" ht="14.4">
      <c r="A397" s="15" t="s">
        <v>500</v>
      </c>
      <c r="B397" s="15" t="s">
        <v>61</v>
      </c>
      <c r="C397" s="15" t="s">
        <v>116</v>
      </c>
      <c r="D397" s="19" t="s">
        <v>501</v>
      </c>
      <c r="E397" s="19" t="s">
        <v>156</v>
      </c>
      <c r="F397" s="15" t="s">
        <v>327</v>
      </c>
    </row>
    <row r="398" spans="1:6" ht="14.4">
      <c r="A398" s="15" t="s">
        <v>502</v>
      </c>
      <c r="B398" s="15" t="s">
        <v>50</v>
      </c>
      <c r="C398" s="15" t="s">
        <v>116</v>
      </c>
      <c r="D398" s="19" t="s">
        <v>242</v>
      </c>
      <c r="E398" s="19" t="s">
        <v>156</v>
      </c>
      <c r="F398" s="15" t="s">
        <v>327</v>
      </c>
    </row>
    <row r="399" spans="1:6" ht="14.4">
      <c r="A399" s="15" t="s">
        <v>503</v>
      </c>
      <c r="B399" s="15" t="s">
        <v>50</v>
      </c>
      <c r="C399" s="15" t="s">
        <v>116</v>
      </c>
      <c r="D399" s="19" t="s">
        <v>242</v>
      </c>
      <c r="E399" s="19" t="s">
        <v>156</v>
      </c>
      <c r="F399" s="15" t="s">
        <v>327</v>
      </c>
    </row>
    <row r="400" spans="1:6" ht="14.4">
      <c r="A400" s="15" t="s">
        <v>504</v>
      </c>
      <c r="B400" s="15" t="s">
        <v>61</v>
      </c>
      <c r="C400" s="15" t="s">
        <v>116</v>
      </c>
      <c r="D400" s="19" t="s">
        <v>242</v>
      </c>
      <c r="E400" s="19" t="s">
        <v>156</v>
      </c>
      <c r="F400" s="15" t="s">
        <v>327</v>
      </c>
    </row>
    <row r="401" spans="1:6" ht="14.4">
      <c r="A401" s="15" t="s">
        <v>505</v>
      </c>
      <c r="B401" s="15" t="s">
        <v>61</v>
      </c>
      <c r="C401" s="15" t="s">
        <v>116</v>
      </c>
      <c r="D401" s="19" t="s">
        <v>242</v>
      </c>
      <c r="E401" s="19" t="s">
        <v>156</v>
      </c>
      <c r="F401" s="15" t="s">
        <v>327</v>
      </c>
    </row>
    <row r="402" spans="1:6" ht="14.4">
      <c r="A402" s="15" t="s">
        <v>506</v>
      </c>
      <c r="B402" s="15" t="s">
        <v>61</v>
      </c>
      <c r="C402" s="15" t="s">
        <v>116</v>
      </c>
      <c r="D402" s="19" t="s">
        <v>136</v>
      </c>
      <c r="E402" s="19" t="s">
        <v>156</v>
      </c>
      <c r="F402" s="15" t="s">
        <v>327</v>
      </c>
    </row>
    <row r="403" spans="1:6" ht="14.4">
      <c r="A403" s="15" t="s">
        <v>507</v>
      </c>
      <c r="B403" s="15" t="s">
        <v>61</v>
      </c>
      <c r="C403" s="15" t="s">
        <v>116</v>
      </c>
      <c r="D403" s="19" t="s">
        <v>136</v>
      </c>
      <c r="E403" s="19" t="s">
        <v>156</v>
      </c>
      <c r="F403" s="15" t="s">
        <v>327</v>
      </c>
    </row>
    <row r="404" spans="1:6" ht="14.4">
      <c r="A404" s="15" t="s">
        <v>260</v>
      </c>
      <c r="B404" s="15" t="s">
        <v>61</v>
      </c>
      <c r="C404" s="15" t="s">
        <v>116</v>
      </c>
      <c r="D404" s="19" t="s">
        <v>247</v>
      </c>
      <c r="E404" s="19" t="s">
        <v>156</v>
      </c>
      <c r="F404" s="15" t="s">
        <v>327</v>
      </c>
    </row>
    <row r="405" spans="1:6" ht="14.4">
      <c r="A405" s="15" t="s">
        <v>152</v>
      </c>
      <c r="B405" s="15" t="s">
        <v>61</v>
      </c>
      <c r="C405" s="15" t="s">
        <v>116</v>
      </c>
      <c r="D405" s="19" t="s">
        <v>153</v>
      </c>
      <c r="E405" s="19" t="s">
        <v>156</v>
      </c>
      <c r="F405" s="15" t="s">
        <v>327</v>
      </c>
    </row>
    <row r="406" spans="1:6" ht="14.4">
      <c r="A406" s="15" t="s">
        <v>508</v>
      </c>
      <c r="B406" s="15" t="s">
        <v>61</v>
      </c>
      <c r="C406" s="15" t="s">
        <v>116</v>
      </c>
      <c r="D406" s="19" t="s">
        <v>153</v>
      </c>
      <c r="E406" s="19" t="s">
        <v>156</v>
      </c>
      <c r="F406" s="15" t="s">
        <v>327</v>
      </c>
    </row>
    <row r="407" spans="1:6" ht="14.4">
      <c r="A407" s="15" t="s">
        <v>509</v>
      </c>
      <c r="B407" s="15" t="s">
        <v>61</v>
      </c>
      <c r="C407" s="15" t="s">
        <v>116</v>
      </c>
      <c r="D407" s="19" t="s">
        <v>153</v>
      </c>
      <c r="E407" s="19" t="s">
        <v>156</v>
      </c>
      <c r="F407" s="15" t="s">
        <v>327</v>
      </c>
    </row>
    <row r="408" spans="1:6" ht="14.4">
      <c r="A408" s="15" t="s">
        <v>510</v>
      </c>
      <c r="B408" s="15" t="s">
        <v>61</v>
      </c>
      <c r="C408" s="15" t="s">
        <v>116</v>
      </c>
      <c r="D408" s="19" t="s">
        <v>136</v>
      </c>
      <c r="E408" s="19" t="s">
        <v>156</v>
      </c>
      <c r="F408" s="15" t="s">
        <v>327</v>
      </c>
    </row>
    <row r="409" spans="1:6" ht="14.4">
      <c r="A409" s="15" t="s">
        <v>511</v>
      </c>
      <c r="B409" s="15" t="s">
        <v>61</v>
      </c>
      <c r="C409" s="15" t="s">
        <v>116</v>
      </c>
      <c r="D409" s="19" t="s">
        <v>136</v>
      </c>
      <c r="E409" s="19" t="s">
        <v>156</v>
      </c>
      <c r="F409" s="15" t="s">
        <v>327</v>
      </c>
    </row>
    <row r="410" spans="1:6" ht="14.4">
      <c r="A410" s="15" t="s">
        <v>512</v>
      </c>
      <c r="B410" s="15" t="s">
        <v>61</v>
      </c>
      <c r="C410" s="15" t="s">
        <v>51</v>
      </c>
      <c r="D410" s="19" t="s">
        <v>285</v>
      </c>
      <c r="E410" s="19" t="s">
        <v>156</v>
      </c>
      <c r="F410" s="15" t="s">
        <v>327</v>
      </c>
    </row>
    <row r="411" spans="1:6" ht="14.4">
      <c r="A411" s="15" t="s">
        <v>513</v>
      </c>
      <c r="B411" s="15" t="s">
        <v>61</v>
      </c>
      <c r="C411" s="15" t="s">
        <v>51</v>
      </c>
      <c r="D411" s="19" t="s">
        <v>278</v>
      </c>
      <c r="E411" s="19" t="s">
        <v>156</v>
      </c>
      <c r="F411" s="15" t="s">
        <v>327</v>
      </c>
    </row>
    <row r="412" spans="1:6" ht="14.4">
      <c r="A412" s="15" t="s">
        <v>514</v>
      </c>
      <c r="B412" s="15" t="s">
        <v>61</v>
      </c>
      <c r="C412" s="15" t="s">
        <v>51</v>
      </c>
      <c r="D412" s="19" t="s">
        <v>219</v>
      </c>
      <c r="E412" s="19" t="s">
        <v>156</v>
      </c>
      <c r="F412" s="15" t="s">
        <v>327</v>
      </c>
    </row>
    <row r="413" spans="1:6" ht="14.4">
      <c r="A413" s="15" t="s">
        <v>515</v>
      </c>
      <c r="B413" s="15" t="s">
        <v>50</v>
      </c>
      <c r="C413" s="15" t="s">
        <v>51</v>
      </c>
      <c r="D413" s="19" t="s">
        <v>516</v>
      </c>
      <c r="E413" s="19" t="s">
        <v>156</v>
      </c>
      <c r="F413" s="15" t="s">
        <v>327</v>
      </c>
    </row>
    <row r="414" spans="1:6" ht="14.4">
      <c r="A414" s="15" t="s">
        <v>517</v>
      </c>
      <c r="B414" s="15" t="s">
        <v>61</v>
      </c>
      <c r="C414" s="15" t="s">
        <v>51</v>
      </c>
      <c r="D414" s="19" t="s">
        <v>83</v>
      </c>
      <c r="E414" s="19" t="s">
        <v>156</v>
      </c>
      <c r="F414" s="15" t="s">
        <v>327</v>
      </c>
    </row>
    <row r="415" spans="1:6" ht="14.4">
      <c r="A415" s="15" t="s">
        <v>518</v>
      </c>
      <c r="B415" s="15" t="s">
        <v>61</v>
      </c>
      <c r="C415" s="15" t="s">
        <v>51</v>
      </c>
      <c r="D415" s="19" t="s">
        <v>85</v>
      </c>
      <c r="E415" s="19" t="s">
        <v>156</v>
      </c>
      <c r="F415" s="15" t="s">
        <v>327</v>
      </c>
    </row>
    <row r="416" spans="1:6" ht="14.4">
      <c r="A416" s="15" t="s">
        <v>519</v>
      </c>
      <c r="B416" s="15" t="s">
        <v>50</v>
      </c>
      <c r="C416" s="15" t="s">
        <v>51</v>
      </c>
      <c r="D416" s="19" t="s">
        <v>85</v>
      </c>
      <c r="E416" s="19" t="s">
        <v>156</v>
      </c>
      <c r="F416" s="15" t="s">
        <v>327</v>
      </c>
    </row>
    <row r="417" spans="1:6" ht="14.4">
      <c r="A417" s="15" t="s">
        <v>520</v>
      </c>
      <c r="B417" s="15" t="s">
        <v>61</v>
      </c>
      <c r="C417" s="15" t="s">
        <v>51</v>
      </c>
      <c r="D417" s="19" t="s">
        <v>85</v>
      </c>
      <c r="E417" s="19" t="s">
        <v>156</v>
      </c>
      <c r="F417" s="15" t="s">
        <v>327</v>
      </c>
    </row>
    <row r="418" spans="1:6" ht="14.4">
      <c r="A418" s="15" t="s">
        <v>521</v>
      </c>
      <c r="B418" s="15" t="s">
        <v>61</v>
      </c>
      <c r="C418" s="15" t="s">
        <v>51</v>
      </c>
      <c r="D418" s="19" t="s">
        <v>85</v>
      </c>
      <c r="E418" s="19" t="s">
        <v>156</v>
      </c>
      <c r="F418" s="15" t="s">
        <v>327</v>
      </c>
    </row>
    <row r="419" spans="1:6" ht="14.4">
      <c r="A419" s="15" t="s">
        <v>522</v>
      </c>
      <c r="B419" s="15" t="s">
        <v>61</v>
      </c>
      <c r="C419" s="15" t="s">
        <v>51</v>
      </c>
      <c r="D419" s="19" t="s">
        <v>85</v>
      </c>
      <c r="E419" s="19" t="s">
        <v>156</v>
      </c>
      <c r="F419" s="15" t="s">
        <v>327</v>
      </c>
    </row>
    <row r="420" spans="1:6" ht="14.4">
      <c r="A420" s="15" t="s">
        <v>523</v>
      </c>
      <c r="B420" s="15" t="s">
        <v>61</v>
      </c>
      <c r="C420" s="15" t="s">
        <v>51</v>
      </c>
      <c r="D420" s="19" t="s">
        <v>85</v>
      </c>
      <c r="E420" s="19" t="s">
        <v>156</v>
      </c>
      <c r="F420" s="15" t="s">
        <v>327</v>
      </c>
    </row>
    <row r="421" spans="1:6" ht="14.4">
      <c r="A421" s="15" t="s">
        <v>524</v>
      </c>
      <c r="B421" s="15" t="s">
        <v>61</v>
      </c>
      <c r="C421" s="15" t="s">
        <v>51</v>
      </c>
      <c r="D421" s="19" t="s">
        <v>85</v>
      </c>
      <c r="E421" s="19" t="s">
        <v>156</v>
      </c>
      <c r="F421" s="15" t="s">
        <v>327</v>
      </c>
    </row>
    <row r="422" spans="1:6" ht="14.4">
      <c r="A422" s="15" t="s">
        <v>525</v>
      </c>
      <c r="B422" s="15" t="s">
        <v>61</v>
      </c>
      <c r="C422" s="15" t="s">
        <v>51</v>
      </c>
      <c r="D422" s="19" t="s">
        <v>526</v>
      </c>
      <c r="E422" s="19" t="s">
        <v>156</v>
      </c>
      <c r="F422" s="15" t="s">
        <v>327</v>
      </c>
    </row>
    <row r="423" spans="1:6" ht="14.4">
      <c r="A423" s="15" t="s">
        <v>527</v>
      </c>
      <c r="B423" s="15" t="s">
        <v>61</v>
      </c>
      <c r="C423" s="15" t="s">
        <v>51</v>
      </c>
      <c r="D423" s="19" t="s">
        <v>85</v>
      </c>
      <c r="E423" s="19" t="s">
        <v>156</v>
      </c>
      <c r="F423" s="15" t="s">
        <v>327</v>
      </c>
    </row>
    <row r="424" spans="1:6" ht="14.4">
      <c r="A424" s="15" t="s">
        <v>528</v>
      </c>
      <c r="B424" s="15" t="s">
        <v>61</v>
      </c>
      <c r="C424" s="15" t="s">
        <v>51</v>
      </c>
      <c r="D424" s="19" t="s">
        <v>109</v>
      </c>
      <c r="E424" s="19" t="s">
        <v>156</v>
      </c>
      <c r="F424" s="15" t="s">
        <v>327</v>
      </c>
    </row>
    <row r="425" spans="1:6" ht="14.4">
      <c r="A425" s="15" t="s">
        <v>529</v>
      </c>
      <c r="B425" s="15" t="s">
        <v>61</v>
      </c>
      <c r="C425" s="15" t="s">
        <v>51</v>
      </c>
      <c r="D425" s="19" t="s">
        <v>295</v>
      </c>
      <c r="E425" s="19" t="s">
        <v>156</v>
      </c>
      <c r="F425" s="15" t="s">
        <v>327</v>
      </c>
    </row>
    <row r="426" spans="1:6" ht="14.4">
      <c r="A426" s="15" t="s">
        <v>530</v>
      </c>
      <c r="B426" s="15" t="s">
        <v>61</v>
      </c>
      <c r="C426" s="15" t="s">
        <v>51</v>
      </c>
      <c r="D426" s="19" t="s">
        <v>109</v>
      </c>
      <c r="E426" s="19" t="s">
        <v>156</v>
      </c>
      <c r="F426" s="15" t="s">
        <v>327</v>
      </c>
    </row>
    <row r="427" spans="1:6" ht="14.4">
      <c r="A427" s="15" t="s">
        <v>531</v>
      </c>
      <c r="B427" s="15" t="s">
        <v>61</v>
      </c>
      <c r="C427" s="15" t="s">
        <v>51</v>
      </c>
      <c r="D427" s="19" t="s">
        <v>109</v>
      </c>
      <c r="E427" s="19" t="s">
        <v>156</v>
      </c>
      <c r="F427" s="15" t="s">
        <v>327</v>
      </c>
    </row>
    <row r="428" spans="1:6" ht="14.4">
      <c r="A428" s="15" t="s">
        <v>532</v>
      </c>
      <c r="B428" s="15" t="s">
        <v>61</v>
      </c>
      <c r="C428" s="15" t="s">
        <v>51</v>
      </c>
      <c r="D428" s="19" t="s">
        <v>109</v>
      </c>
      <c r="E428" s="19" t="s">
        <v>156</v>
      </c>
      <c r="F428" s="15" t="s">
        <v>327</v>
      </c>
    </row>
    <row r="429" spans="1:6" ht="14.4">
      <c r="A429" s="15" t="s">
        <v>533</v>
      </c>
      <c r="B429" s="15" t="s">
        <v>61</v>
      </c>
      <c r="C429" s="15" t="s">
        <v>51</v>
      </c>
      <c r="D429" s="19" t="s">
        <v>109</v>
      </c>
      <c r="E429" s="19" t="s">
        <v>156</v>
      </c>
      <c r="F429" s="15" t="s">
        <v>327</v>
      </c>
    </row>
    <row r="430" spans="1:6" ht="14.4">
      <c r="A430" s="15" t="s">
        <v>534</v>
      </c>
      <c r="B430" s="15" t="s">
        <v>61</v>
      </c>
      <c r="C430" s="15" t="s">
        <v>51</v>
      </c>
      <c r="D430" s="19" t="s">
        <v>276</v>
      </c>
      <c r="E430" s="19" t="s">
        <v>156</v>
      </c>
      <c r="F430" s="15" t="s">
        <v>327</v>
      </c>
    </row>
    <row r="431" spans="1:6" ht="14.4">
      <c r="A431" s="15" t="s">
        <v>535</v>
      </c>
      <c r="B431" s="15" t="s">
        <v>61</v>
      </c>
      <c r="C431" s="15" t="s">
        <v>51</v>
      </c>
      <c r="D431" s="19" t="s">
        <v>276</v>
      </c>
      <c r="E431" s="19" t="s">
        <v>156</v>
      </c>
      <c r="F431" s="15" t="s">
        <v>327</v>
      </c>
    </row>
    <row r="432" spans="1:6" ht="14.4">
      <c r="A432" s="15" t="s">
        <v>536</v>
      </c>
      <c r="B432" s="15" t="s">
        <v>61</v>
      </c>
      <c r="C432" s="15" t="s">
        <v>51</v>
      </c>
      <c r="D432" s="19" t="s">
        <v>276</v>
      </c>
      <c r="E432" s="19" t="s">
        <v>156</v>
      </c>
      <c r="F432" s="15" t="s">
        <v>327</v>
      </c>
    </row>
    <row r="433" spans="1:6" ht="14.4">
      <c r="A433" s="15" t="s">
        <v>537</v>
      </c>
      <c r="B433" s="15" t="s">
        <v>61</v>
      </c>
      <c r="C433" s="15" t="s">
        <v>51</v>
      </c>
      <c r="D433" s="19" t="s">
        <v>276</v>
      </c>
      <c r="E433" s="19" t="s">
        <v>156</v>
      </c>
      <c r="F433" s="15" t="s">
        <v>327</v>
      </c>
    </row>
    <row r="434" spans="1:6" ht="14.4">
      <c r="A434" s="15" t="s">
        <v>538</v>
      </c>
      <c r="B434" s="15" t="s">
        <v>61</v>
      </c>
      <c r="C434" s="15" t="s">
        <v>51</v>
      </c>
      <c r="D434" s="19" t="s">
        <v>114</v>
      </c>
      <c r="E434" s="19" t="s">
        <v>156</v>
      </c>
      <c r="F434" s="15" t="s">
        <v>327</v>
      </c>
    </row>
    <row r="435" spans="1:6" ht="14.4">
      <c r="A435" s="15" t="s">
        <v>539</v>
      </c>
      <c r="B435" s="15" t="s">
        <v>61</v>
      </c>
      <c r="C435" s="15" t="s">
        <v>51</v>
      </c>
      <c r="D435" s="19" t="s">
        <v>114</v>
      </c>
      <c r="E435" s="19" t="s">
        <v>156</v>
      </c>
      <c r="F435" s="15" t="s">
        <v>327</v>
      </c>
    </row>
    <row r="436" spans="1:6" ht="14.4">
      <c r="A436" s="15" t="s">
        <v>540</v>
      </c>
      <c r="B436" s="15" t="s">
        <v>61</v>
      </c>
      <c r="C436" s="15" t="s">
        <v>51</v>
      </c>
      <c r="D436" s="19" t="s">
        <v>114</v>
      </c>
      <c r="E436" s="19" t="s">
        <v>156</v>
      </c>
      <c r="F436" s="15" t="s">
        <v>327</v>
      </c>
    </row>
    <row r="437" spans="1:6" ht="14.4">
      <c r="A437" s="15" t="s">
        <v>541</v>
      </c>
      <c r="B437" s="15" t="s">
        <v>61</v>
      </c>
      <c r="C437" s="15" t="s">
        <v>51</v>
      </c>
      <c r="D437" s="19" t="s">
        <v>114</v>
      </c>
      <c r="E437" s="19" t="s">
        <v>156</v>
      </c>
      <c r="F437" s="15" t="s">
        <v>327</v>
      </c>
    </row>
    <row r="438" spans="1:6" ht="14.4">
      <c r="A438" s="15" t="s">
        <v>542</v>
      </c>
      <c r="B438" s="15" t="s">
        <v>61</v>
      </c>
      <c r="C438" s="15" t="s">
        <v>51</v>
      </c>
      <c r="D438" s="19" t="s">
        <v>114</v>
      </c>
      <c r="E438" s="19" t="s">
        <v>156</v>
      </c>
      <c r="F438" s="15" t="s">
        <v>327</v>
      </c>
    </row>
    <row r="439" spans="1:6" ht="14.4">
      <c r="A439" s="15" t="s">
        <v>543</v>
      </c>
      <c r="B439" s="15" t="s">
        <v>61</v>
      </c>
      <c r="C439" s="15" t="s">
        <v>51</v>
      </c>
      <c r="D439" s="19" t="s">
        <v>114</v>
      </c>
      <c r="E439" s="19" t="s">
        <v>156</v>
      </c>
      <c r="F439" s="15" t="s">
        <v>327</v>
      </c>
    </row>
    <row r="440" spans="1:6" ht="14.4">
      <c r="A440" s="15" t="s">
        <v>544</v>
      </c>
      <c r="B440" s="15" t="s">
        <v>61</v>
      </c>
      <c r="C440" s="15" t="s">
        <v>51</v>
      </c>
      <c r="D440" s="19" t="s">
        <v>114</v>
      </c>
      <c r="E440" s="19" t="s">
        <v>156</v>
      </c>
      <c r="F440" s="15" t="s">
        <v>327</v>
      </c>
    </row>
    <row r="441" spans="1:6" ht="14.4">
      <c r="A441" s="15" t="s">
        <v>545</v>
      </c>
      <c r="B441" s="15" t="s">
        <v>61</v>
      </c>
      <c r="C441" s="15" t="s">
        <v>51</v>
      </c>
      <c r="D441" s="19" t="s">
        <v>114</v>
      </c>
      <c r="E441" s="19" t="s">
        <v>156</v>
      </c>
      <c r="F441" s="15" t="s">
        <v>327</v>
      </c>
    </row>
    <row r="442" spans="1:6" ht="14.4">
      <c r="A442" s="15" t="s">
        <v>546</v>
      </c>
      <c r="B442" s="15" t="s">
        <v>61</v>
      </c>
      <c r="C442" s="15" t="s">
        <v>51</v>
      </c>
      <c r="D442" s="19" t="s">
        <v>114</v>
      </c>
      <c r="E442" s="19" t="s">
        <v>156</v>
      </c>
      <c r="F442" s="15" t="s">
        <v>327</v>
      </c>
    </row>
    <row r="443" spans="1:6" ht="14.4">
      <c r="A443" s="15" t="s">
        <v>547</v>
      </c>
      <c r="B443" s="15" t="s">
        <v>61</v>
      </c>
      <c r="C443" s="15" t="s">
        <v>51</v>
      </c>
      <c r="D443" s="19" t="s">
        <v>114</v>
      </c>
      <c r="E443" s="19" t="s">
        <v>156</v>
      </c>
      <c r="F443" s="15" t="s">
        <v>327</v>
      </c>
    </row>
    <row r="444" spans="1:6" ht="14.4">
      <c r="A444" s="15" t="s">
        <v>548</v>
      </c>
      <c r="B444" s="15" t="s">
        <v>61</v>
      </c>
      <c r="C444" s="15" t="s">
        <v>51</v>
      </c>
      <c r="D444" s="19" t="s">
        <v>114</v>
      </c>
      <c r="E444" s="19" t="s">
        <v>156</v>
      </c>
      <c r="F444" s="15" t="s">
        <v>327</v>
      </c>
    </row>
    <row r="445" spans="1:6" s="2" customFormat="1" ht="14.4">
      <c r="A445" s="15" t="s">
        <v>549</v>
      </c>
      <c r="B445" s="15" t="s">
        <v>61</v>
      </c>
      <c r="C445" s="15" t="s">
        <v>51</v>
      </c>
      <c r="D445" s="19" t="s">
        <v>114</v>
      </c>
      <c r="E445" s="19" t="s">
        <v>156</v>
      </c>
      <c r="F445" s="15" t="s">
        <v>327</v>
      </c>
    </row>
    <row r="446" spans="1:6" ht="14.4">
      <c r="A446" s="15" t="s">
        <v>550</v>
      </c>
      <c r="B446" s="15" t="s">
        <v>61</v>
      </c>
      <c r="C446" s="15" t="s">
        <v>51</v>
      </c>
      <c r="D446" s="19" t="s">
        <v>114</v>
      </c>
      <c r="E446" s="19" t="s">
        <v>156</v>
      </c>
      <c r="F446" s="15" t="s">
        <v>327</v>
      </c>
    </row>
    <row r="447" spans="1:6" ht="14.4">
      <c r="A447" s="15" t="s">
        <v>551</v>
      </c>
      <c r="B447" s="15" t="s">
        <v>61</v>
      </c>
      <c r="C447" s="15" t="s">
        <v>51</v>
      </c>
      <c r="D447" s="19" t="s">
        <v>114</v>
      </c>
      <c r="E447" s="19" t="s">
        <v>156</v>
      </c>
      <c r="F447" s="15" t="s">
        <v>327</v>
      </c>
    </row>
    <row r="448" spans="1:6" ht="14.4">
      <c r="A448" s="15" t="s">
        <v>552</v>
      </c>
      <c r="B448" s="15" t="s">
        <v>61</v>
      </c>
      <c r="C448" s="15" t="s">
        <v>51</v>
      </c>
      <c r="D448" s="19" t="s">
        <v>114</v>
      </c>
      <c r="E448" s="19" t="s">
        <v>156</v>
      </c>
      <c r="F448" s="15" t="s">
        <v>327</v>
      </c>
    </row>
    <row r="449" spans="1:6" ht="14.4">
      <c r="A449" s="15" t="s">
        <v>553</v>
      </c>
      <c r="B449" s="15" t="s">
        <v>61</v>
      </c>
      <c r="C449" s="15" t="s">
        <v>51</v>
      </c>
      <c r="D449" s="19" t="s">
        <v>114</v>
      </c>
      <c r="E449" s="19" t="s">
        <v>156</v>
      </c>
      <c r="F449" s="15" t="s">
        <v>327</v>
      </c>
    </row>
    <row r="450" spans="1:6">
      <c r="A450" s="2" t="s">
        <v>554</v>
      </c>
      <c r="B450" s="2" t="s">
        <v>61</v>
      </c>
      <c r="C450" s="2" t="s">
        <v>51</v>
      </c>
      <c r="D450" s="2" t="s">
        <v>555</v>
      </c>
      <c r="E450" s="2" t="s">
        <v>156</v>
      </c>
      <c r="F450" s="2" t="s">
        <v>327</v>
      </c>
    </row>
    <row r="451" spans="1:6">
      <c r="A451" s="2" t="s">
        <v>556</v>
      </c>
      <c r="B451" s="2" t="s">
        <v>50</v>
      </c>
      <c r="C451" s="2" t="s">
        <v>51</v>
      </c>
      <c r="D451" s="2" t="s">
        <v>109</v>
      </c>
      <c r="E451" s="2" t="s">
        <v>156</v>
      </c>
      <c r="F451" s="2" t="s">
        <v>327</v>
      </c>
    </row>
  </sheetData>
  <sheetProtection algorithmName="SHA-512" hashValue="kQYwa+/LsmhjX3UFxtO78Eh35H644N0lxvgi4a2pitgst1apNKz6rwzm/sJAC0RBFOWn8aA5hflHWKXjuk6Ydw==" saltValue="/8dd1s8869GwkT5m2Hlp8A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B2:N38"/>
  <sheetViews>
    <sheetView showGridLines="0" showRowColHeaders="0" topLeftCell="A14" zoomScaleNormal="100" workbookViewId="0">
      <selection activeCell="N23" sqref="N2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9.09765625" style="3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49" t="s">
        <v>557</v>
      </c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2" t="s">
        <v>1</v>
      </c>
      <c r="C4" s="53"/>
      <c r="D4" s="4"/>
      <c r="E4" s="52" t="s">
        <v>2</v>
      </c>
      <c r="F4" s="53"/>
      <c r="G4" s="4"/>
      <c r="H4" s="52" t="s">
        <v>3</v>
      </c>
      <c r="I4" s="53"/>
      <c r="K4" s="52" t="s">
        <v>4</v>
      </c>
      <c r="L4" s="53"/>
    </row>
    <row r="5" spans="2:12">
      <c r="B5" s="5" t="s">
        <v>5</v>
      </c>
      <c r="C5" s="6">
        <f>COUNTIFS(INVENTÁRIO_03_2025!C:C,"Linux",INVENTÁRIO_03_2025!E:E,"Virtual")</f>
        <v>103</v>
      </c>
      <c r="D5" s="7"/>
      <c r="E5" s="5" t="s">
        <v>6</v>
      </c>
      <c r="F5" s="6">
        <f>COUNTIFS(INVENTÁRIO_03_2025!C:C,"Linux",INVENTÁRIO_03_2025!E:E,"Fisico")</f>
        <v>50</v>
      </c>
      <c r="G5" s="7"/>
      <c r="H5" s="5" t="s">
        <v>5</v>
      </c>
      <c r="I5" s="6">
        <f>COUNTIFS(INVENTÁRIO_03_2025!C:C,"Windows",INVENTÁRIO_03_2025!E:E,"Virtual")</f>
        <v>285</v>
      </c>
      <c r="K5" s="5" t="s">
        <v>6</v>
      </c>
      <c r="L5" s="6">
        <f>COUNTIFS(INVENTÁRIO_03_2025!C:C,"Windows",INVENTÁRIO_03_2025!E:E,"Fisico")</f>
        <v>49</v>
      </c>
    </row>
    <row r="6" spans="2:12">
      <c r="B6" s="5" t="s">
        <v>7</v>
      </c>
      <c r="C6" s="6">
        <f>COUNTIFS(INVENTÁRIO_03_2025!B:B,"poweredOff",INVENTÁRIO_03_2025!C:C,"Linux",INVENTÁRIO_03_2025!E:E,"Virtual")</f>
        <v>14</v>
      </c>
      <c r="D6" s="7"/>
      <c r="E6" s="5" t="s">
        <v>7</v>
      </c>
      <c r="F6" s="6">
        <f>COUNTIFS(INVENTÁRIO_03_2025!B:B,"poweredOff",INVENTÁRIO_03_2025!C:C,"Linux",INVENTÁRIO_03_2025!E:E,"Fisico")</f>
        <v>4</v>
      </c>
      <c r="G6" s="7"/>
      <c r="H6" s="5" t="s">
        <v>7</v>
      </c>
      <c r="I6" s="6">
        <f>COUNTIFS(INVENTÁRIO_03_2025!B:B,"poweredOff",INVENTÁRIO_03_2025!C:C,"Windows",INVENTÁRIO_03_2025!E:E,"Virtual")</f>
        <v>25</v>
      </c>
      <c r="K6" s="5" t="s">
        <v>7</v>
      </c>
      <c r="L6" s="6">
        <f>COUNTIFS(INVENTÁRIO_03_2025!B:B,"poweredOff",INVENTÁRIO_03_2025!C:C,"Windows",INVENTÁRIO_03_2025!E:E,"Fisico")</f>
        <v>28</v>
      </c>
    </row>
    <row r="7" spans="2:12">
      <c r="B7" s="5" t="s">
        <v>8</v>
      </c>
      <c r="C7" s="6">
        <f>COUNTIFS(INVENTÁRIO_03_2025!B:B,"poweredOn",INVENTÁRIO_03_2025!C:C,"Linux",INVENTÁRIO_03_2025!E:E,"Virtual")</f>
        <v>89</v>
      </c>
      <c r="D7" s="7"/>
      <c r="E7" s="5" t="s">
        <v>8</v>
      </c>
      <c r="F7" s="6">
        <f>COUNTIFS(INVENTÁRIO_03_2025!B:B,"poweredOn",INVENTÁRIO_03_2025!C:C,"Linux",INVENTÁRIO_03_2025!E:E,"Fisico")</f>
        <v>46</v>
      </c>
      <c r="G7" s="7"/>
      <c r="H7" s="5" t="s">
        <v>8</v>
      </c>
      <c r="I7" s="6">
        <f>COUNTIFS(INVENTÁRIO_03_2025!B:B,"poweredOn",INVENTÁRIO_03_2025!C:C,"Windows",INVENTÁRIO_03_2025!E:E,"Virtual")</f>
        <v>260</v>
      </c>
      <c r="K7" s="5" t="s">
        <v>8</v>
      </c>
      <c r="L7" s="6">
        <f>COUNTIFS(INVENTÁRIO_03_2025!B:B,"poweredOn",INVENTÁRIO_03_2025!C:C,"Windows",INVENTÁRIO_03_2025!E:E,"Fisico")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COUNTIFS(INVENTÁRIO_03_2025!C:C,"Linux",INVENTÁRIO_03_2025!D:D,"*RedHat 9*",INVENTÁRIO_03_2025!E:E,"Virtual")</f>
        <v>7</v>
      </c>
      <c r="D9" s="7"/>
      <c r="E9" s="5" t="s">
        <v>9</v>
      </c>
      <c r="F9" s="6">
        <f>COUNTIFS(INVENTÁRIO_03_2025!C:C,"Linux",INVENTÁRIO_03_2025!D:D,"*RedHat 9*",INVENTÁRIO_03_2025!E:E,"Fisico")</f>
        <v>0</v>
      </c>
      <c r="G9" s="7"/>
      <c r="H9" s="5" t="s">
        <v>10</v>
      </c>
      <c r="I9" s="6">
        <f>COUNTIFS(INVENTÁRIO_03_2025!C:C,"Windows",INVENTÁRIO_03_2025!D:D,"*2022*",INVENTÁRIO_03_2025!E:E,"Virtual")</f>
        <v>16</v>
      </c>
      <c r="K9" s="5" t="s">
        <v>10</v>
      </c>
      <c r="L9" s="6">
        <f>COUNTIFS(INVENTÁRIO_03_2025!C:C,"Windows",INVENTÁRIO_03_2025!D:D,"*2022*",INVENTÁRIO_03_2025!E:E,"Fisico")</f>
        <v>22</v>
      </c>
    </row>
    <row r="10" spans="2:12">
      <c r="B10" s="5" t="s">
        <v>11</v>
      </c>
      <c r="C10" s="6">
        <f>COUNTIFS(INVENTÁRIO_03_2025!C:C,"Linux",INVENTÁRIO_03_2025!D:D,"*RedHat 8*",INVENTÁRIO_03_2025!E:E,"Virtual")</f>
        <v>10</v>
      </c>
      <c r="D10" s="7"/>
      <c r="E10" s="5" t="s">
        <v>11</v>
      </c>
      <c r="F10" s="6">
        <f>COUNTIFS(INVENTÁRIO_03_2025!C:C,"Linux",INVENTÁRIO_03_2025!D:D,"*RedHat 8*",INVENTÁRIO_03_2025!E:E,"Fisico")</f>
        <v>2</v>
      </c>
      <c r="G10" s="7"/>
      <c r="H10" s="5" t="s">
        <v>12</v>
      </c>
      <c r="I10" s="6">
        <f>COUNTIFS(INVENTÁRIO_03_2025!C:C,"Windows",INVENTÁRIO_03_2025!D:D,"*2019*",INVENTÁRIO_03_2025!E:E,"Virtual")</f>
        <v>56</v>
      </c>
      <c r="K10" s="5" t="s">
        <v>12</v>
      </c>
      <c r="L10" s="6">
        <f>COUNTIFS(INVENTÁRIO_03_2025!C:C,"Windows",INVENTÁRIO_03_2025!D:D,"*2019*",INVENTÁRIO_03_2025!E:E,"Fisico")</f>
        <v>14</v>
      </c>
    </row>
    <row r="11" spans="2:12">
      <c r="B11" s="5" t="s">
        <v>13</v>
      </c>
      <c r="C11" s="6">
        <f>COUNTIFS(INVENTÁRIO_03_2025!C:C,"Linux",INVENTÁRIO_03_2025!D:D,"*RedHat 7*",INVENTÁRIO_03_2025!E:E,"Virtual")</f>
        <v>9</v>
      </c>
      <c r="D11" s="7"/>
      <c r="E11" s="5" t="s">
        <v>13</v>
      </c>
      <c r="F11" s="6">
        <f>COUNTIFS(INVENTÁRIO_03_2025!C:C,"Linux",INVENTÁRIO_03_2025!D:D,"*RedHat 7*",INVENTÁRIO_03_2025!E:E,"Fisico")</f>
        <v>1</v>
      </c>
      <c r="G11" s="7"/>
      <c r="H11" s="5" t="s">
        <v>14</v>
      </c>
      <c r="I11" s="6">
        <f>COUNTIFS(INVENTÁRIO_03_2025!C:C,"Windows",INVENTÁRIO_03_2025!D:D,"*2016*",INVENTÁRIO_03_2025!E:E,"Virtual")</f>
        <v>81</v>
      </c>
      <c r="K11" s="5" t="s">
        <v>14</v>
      </c>
      <c r="L11" s="6">
        <f>COUNTIFS(INVENTÁRIO_03_2025!C:C,"Windows",INVENTÁRIO_03_2025!D:D,"*2016*",INVENTÁRIO_03_2025!E:E,"Fisico")</f>
        <v>0</v>
      </c>
    </row>
    <row r="12" spans="2:12">
      <c r="B12" s="5" t="s">
        <v>15</v>
      </c>
      <c r="C12" s="6">
        <f>COUNTIFS(INVENTÁRIO_03_2025!C:C,"Linux",INVENTÁRIO_03_2025!D:D,"*RedHat 6*",INVENTÁRIO_03_2025!E:E,"Virtual")</f>
        <v>10</v>
      </c>
      <c r="D12" s="7"/>
      <c r="E12" s="5" t="s">
        <v>15</v>
      </c>
      <c r="F12" s="6">
        <f>COUNTIFS(INVENTÁRIO_03_2025!C:C,"Linux",INVENTÁRIO_03_2025!D:D,"*RedHat 6*",INVENTÁRIO_03_2025!E:E,"Fisico")</f>
        <v>23</v>
      </c>
      <c r="G12" s="7"/>
      <c r="H12" s="5" t="s">
        <v>16</v>
      </c>
      <c r="I12" s="6">
        <f>COUNTIFS(INVENTÁRIO_03_2025!C:C,"Windows",INVENTÁRIO_03_2025!D:D,"*2012*",INVENTÁRIO_03_2025!E:E,"Virtual")</f>
        <v>52</v>
      </c>
      <c r="K12" s="5" t="s">
        <v>16</v>
      </c>
      <c r="L12" s="6">
        <f>COUNTIFS(INVENTÁRIO_03_2025!C:C,"Windows",INVENTÁRIO_03_2025!D:D,"*2012*",INVENTÁRIO_03_2025!E:E,"Fisico")</f>
        <v>7</v>
      </c>
    </row>
    <row r="13" spans="2:12">
      <c r="B13" s="5" t="s">
        <v>17</v>
      </c>
      <c r="C13" s="6">
        <f>COUNTIFS(INVENTÁRIO_03_2025!C:C,"Linux",INVENTÁRIO_03_2025!D:D,"*RedHat 5*",INVENTÁRIO_03_2025!E:E,"Virtual")</f>
        <v>1</v>
      </c>
      <c r="D13" s="7"/>
      <c r="E13" s="5" t="s">
        <v>17</v>
      </c>
      <c r="F13" s="6">
        <f>COUNTIFS(INVENTÁRIO_03_2025!C:C,"Linux",INVENTÁRIO_03_2025!D:D,"*RedHat 5*",INVENTÁRIO_03_2025!E:E,"Fisico")</f>
        <v>1</v>
      </c>
      <c r="G13" s="7"/>
      <c r="H13" s="5" t="s">
        <v>18</v>
      </c>
      <c r="I13" s="6">
        <f>COUNTIFS(INVENTÁRIO_03_2025!C:C,"Windows",INVENTÁRIO_03_2025!D:D,"*2008*",INVENTÁRIO_03_2025!E:E,"Virtual")</f>
        <v>72</v>
      </c>
      <c r="K13" s="5" t="s">
        <v>18</v>
      </c>
      <c r="L13" s="6">
        <f>COUNTIFS(INVENTÁRIO_03_2025!C:C,"Windows",INVENTÁRIO_03_2025!D:D,"*2008*",INVENTÁRIO_03_2025!E:E,"Fisico")</f>
        <v>6</v>
      </c>
    </row>
    <row r="14" spans="2:12">
      <c r="B14" s="5" t="s">
        <v>19</v>
      </c>
      <c r="C14" s="6">
        <f>COUNTIFS(INVENTÁRIO_03_2025!C:C,"Linux",INVENTÁRIO_03_2025!D:D,"*Ubuntu*",INVENTÁRIO_03_2025!E:E,"Virtual")</f>
        <v>33</v>
      </c>
      <c r="D14" s="7"/>
      <c r="E14" s="5" t="s">
        <v>19</v>
      </c>
      <c r="F14" s="6">
        <f>COUNTIFS(INVENTÁRIO_03_2025!C:C,"Linux",INVENTÁRIO_03_2025!D:D,"*Ubuntu*",INVENTÁRIO_03_2025!E:E,"Fisico")</f>
        <v>1</v>
      </c>
      <c r="G14" s="7"/>
      <c r="H14" s="5" t="s">
        <v>20</v>
      </c>
      <c r="I14" s="6">
        <f>COUNTIFS(INVENTÁRIO_03_2025!C:C,"Windows",INVENTÁRIO_03_2025!D:D,"*10*",INVENTÁRIO_03_2025!E:E,"Virtual")</f>
        <v>3</v>
      </c>
      <c r="K14" s="5" t="s">
        <v>20</v>
      </c>
      <c r="L14" s="6">
        <f>COUNTIFS(INVENTÁRIO_03_2025!C:C,"Windows",INVENTÁRIO_03_2025!D:D,"*10*",INVENTÁRIO_03_2025!E:E,"Fisico")</f>
        <v>0</v>
      </c>
    </row>
    <row r="15" spans="2:12">
      <c r="B15" s="5" t="s">
        <v>21</v>
      </c>
      <c r="C15" s="6">
        <f>COUNTIFS(INVENTÁRIO_03_2025!C:C,"Linux",INVENTÁRIO_03_2025!D:D,"*Centos*",INVENTÁRIO_03_2025!E:E,"Virtual")</f>
        <v>6</v>
      </c>
      <c r="D15" s="7"/>
      <c r="E15" s="5" t="s">
        <v>21</v>
      </c>
      <c r="F15" s="6">
        <f>COUNTIFS(INVENTÁRIO_03_2025!C:C,"Linux",INVENTÁRIO_03_2025!D:D,"*Centos*",INVENTÁRIO_03_2025!E:E,"Fisico")</f>
        <v>0</v>
      </c>
      <c r="G15" s="7"/>
      <c r="H15" s="5" t="s">
        <v>22</v>
      </c>
      <c r="I15" s="6">
        <f>COUNTIFS(INVENTÁRIO_03_2025!C:C,"Windows",INVENTÁRIO_03_2025!D:D,"*Windows 8*",INVENTÁRIO_03_2025!E:E,"Virtual")</f>
        <v>1</v>
      </c>
      <c r="K15" s="5" t="s">
        <v>22</v>
      </c>
      <c r="L15" s="6">
        <f>COUNTIFS(INVENTÁRIO_03_2025!C:C,"Windows",INVENTÁRIO_03_2025!D:D,"*Windows 8*",INVENTÁRIO_03_2025!E:E,"Fisico")</f>
        <v>0</v>
      </c>
    </row>
    <row r="16" spans="2:12">
      <c r="B16" s="5" t="s">
        <v>23</v>
      </c>
      <c r="C16" s="6">
        <f>COUNTIFS(INVENTÁRIO_03_2025!C:C,"Linux",INVENTÁRIO_03_2025!D:D,"*Debian*",INVENTÁRIO_03_2025!E:E,"Virtual")</f>
        <v>6</v>
      </c>
      <c r="D16" s="7"/>
      <c r="E16" s="5" t="s">
        <v>23</v>
      </c>
      <c r="F16" s="6">
        <f>COUNTIFS(INVENTÁRIO_03_2025!C:C,"Linux",INVENTÁRIO_03_2025!D:D,"*Debian*",INVENTÁRIO_03_2025!E:E,"Fisico")</f>
        <v>0</v>
      </c>
      <c r="G16" s="7"/>
      <c r="H16" s="12" t="s">
        <v>24</v>
      </c>
      <c r="I16" s="13">
        <f>COUNTIFS(INVENTÁRIO_03_2025!C:C,"Windows",INVENTÁRIO_03_2025!D:D,"*7*",INVENTÁRIO_03_2025!E:E,"Virtual")</f>
        <v>4</v>
      </c>
      <c r="K16" s="12" t="s">
        <v>24</v>
      </c>
      <c r="L16" s="13">
        <f>COUNTIFS(INVENTÁRIO_03_2025!C:C,"Windows",INVENTÁRIO_03_2025!D:D,"*7*",INVENTÁRIO_03_2025!E:E,"Fisico")</f>
        <v>0</v>
      </c>
    </row>
    <row r="17" spans="2:12">
      <c r="B17" s="5" t="s">
        <v>25</v>
      </c>
      <c r="C17" s="6">
        <f>COUNTIFS(INVENTÁRIO_03_2025!C:C,"Linux",INVENTÁRIO_03_2025!D:D,"*Suse*",INVENTÁRIO_03_2025!E:E,"Virtual")</f>
        <v>8</v>
      </c>
      <c r="D17" s="7"/>
      <c r="E17" s="5" t="s">
        <v>25</v>
      </c>
      <c r="F17" s="6">
        <f>COUNTIFS(INVENTÁRIO_03_2025!C:C,"Linux",INVENTÁRIO_03_2025!D:D,"*Suse*",INVENTÁRIO_03_2025!E:E,"Fisico")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90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13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2" t="s">
        <v>28</v>
      </c>
      <c r="C22" s="53"/>
      <c r="E22" s="28" t="s">
        <v>29</v>
      </c>
      <c r="F22" s="29"/>
      <c r="H22" s="28" t="s">
        <v>30</v>
      </c>
      <c r="I22" s="29"/>
      <c r="K22" s="52" t="s">
        <v>31</v>
      </c>
      <c r="L22" s="53"/>
    </row>
    <row r="23" spans="2:12">
      <c r="B23" s="8" t="s">
        <v>12</v>
      </c>
      <c r="C23" s="9">
        <f>I10+L10</f>
        <v>70</v>
      </c>
      <c r="E23" s="22"/>
      <c r="F23" s="23"/>
      <c r="H23" s="22"/>
      <c r="I23" s="23"/>
      <c r="K23" s="8" t="s">
        <v>32</v>
      </c>
      <c r="L23" s="9">
        <f>L25+L24</f>
        <v>487</v>
      </c>
    </row>
    <row r="24" spans="2:12">
      <c r="B24" s="8" t="s">
        <v>14</v>
      </c>
      <c r="C24" s="9">
        <f>I11</f>
        <v>81</v>
      </c>
      <c r="E24" s="24"/>
      <c r="F24" s="25"/>
      <c r="H24" s="24"/>
      <c r="I24" s="25"/>
      <c r="K24" s="8" t="s">
        <v>33</v>
      </c>
      <c r="L24" s="9">
        <f>C5+F5</f>
        <v>153</v>
      </c>
    </row>
    <row r="25" spans="2:12">
      <c r="B25" s="8" t="s">
        <v>18</v>
      </c>
      <c r="C25" s="9">
        <f>I13+L13</f>
        <v>78</v>
      </c>
      <c r="E25" s="24"/>
      <c r="F25" s="25"/>
      <c r="H25" s="24"/>
      <c r="I25" s="25"/>
      <c r="K25" s="8" t="s">
        <v>34</v>
      </c>
      <c r="L25" s="9">
        <f>L5+I5</f>
        <v>334</v>
      </c>
    </row>
    <row r="26" spans="2:12">
      <c r="B26" s="8" t="s">
        <v>16</v>
      </c>
      <c r="C26" s="9">
        <f>I12+L12</f>
        <v>59</v>
      </c>
      <c r="E26" s="24"/>
      <c r="F26" s="25"/>
      <c r="H26" s="24"/>
      <c r="I26" s="25"/>
      <c r="K26" s="8" t="s">
        <v>6</v>
      </c>
      <c r="L26" s="9">
        <f>F5+L5</f>
        <v>99</v>
      </c>
    </row>
    <row r="27" spans="2:12">
      <c r="B27" s="8" t="s">
        <v>35</v>
      </c>
      <c r="C27" s="9">
        <f>C9+C10+C11+C12+C13+F9+F10+F11+F12+F13</f>
        <v>64</v>
      </c>
      <c r="E27" s="24"/>
      <c r="F27" s="25"/>
      <c r="H27" s="24"/>
      <c r="I27" s="25"/>
      <c r="K27" s="8" t="s">
        <v>5</v>
      </c>
      <c r="L27" s="9">
        <f>C5+I5</f>
        <v>388</v>
      </c>
    </row>
    <row r="28" spans="2:12">
      <c r="B28" s="8" t="s">
        <v>36</v>
      </c>
      <c r="C28" s="9">
        <f>C14+F14</f>
        <v>34</v>
      </c>
      <c r="E28" s="24"/>
      <c r="F28" s="25"/>
      <c r="H28" s="24"/>
      <c r="I28" s="25"/>
      <c r="K28" s="8" t="s">
        <v>37</v>
      </c>
      <c r="L28" s="9">
        <f>C7+F7+I7+L7</f>
        <v>416</v>
      </c>
    </row>
    <row r="29" spans="2:12">
      <c r="B29" s="8" t="s">
        <v>38</v>
      </c>
      <c r="C29" s="9">
        <f>C15+F15</f>
        <v>6</v>
      </c>
      <c r="E29" s="26"/>
      <c r="F29" s="27"/>
      <c r="H29" s="26"/>
      <c r="I29" s="27"/>
      <c r="K29" s="8" t="s">
        <v>39</v>
      </c>
      <c r="L29" s="9">
        <f>C6+F6+I6+L6</f>
        <v>71</v>
      </c>
    </row>
    <row r="30" spans="2:12">
      <c r="B30" s="8" t="s">
        <v>40</v>
      </c>
      <c r="C30" s="9">
        <f>C17+F17</f>
        <v>8</v>
      </c>
      <c r="L30" s="7"/>
    </row>
    <row r="31" spans="2:12">
      <c r="B31" s="8" t="s">
        <v>41</v>
      </c>
      <c r="C31" s="9">
        <f>C16+F16</f>
        <v>6</v>
      </c>
      <c r="L31" s="7"/>
    </row>
    <row r="32" spans="2:12">
      <c r="B32" s="14" t="s">
        <v>42</v>
      </c>
      <c r="C32" s="11">
        <f>C19+F19+I14+I15+I16+I9+L9</f>
        <v>81</v>
      </c>
      <c r="L32" s="7"/>
    </row>
    <row r="33" spans="12:14">
      <c r="L33" s="7"/>
    </row>
    <row r="34" spans="12:14">
      <c r="L34" s="7"/>
    </row>
    <row r="35" spans="12:14">
      <c r="L35" s="7"/>
    </row>
    <row r="36" spans="12:14">
      <c r="L36" s="7"/>
    </row>
    <row r="37" spans="12:14">
      <c r="L37" s="7"/>
      <c r="M37" s="7"/>
      <c r="N37" s="7"/>
    </row>
    <row r="38" spans="12:14">
      <c r="L38" s="7"/>
      <c r="M38" s="7"/>
      <c r="N38" s="7"/>
    </row>
  </sheetData>
  <sheetProtection algorithmName="SHA-512" hashValue="xl1cwVslz4jJzZmtfwiH3t3lU/oFxybT9bChAb8rvitDLbDejWIbAIKQqrSLy+TcWSFpRTamOdxdMq9ALBfWHQ==" saltValue="wM9ygXkIHjRvCQYiXH+l2A==" spinCount="100000" sheet="1" objects="1" scenarios="1"/>
  <mergeCells count="7">
    <mergeCell ref="B2:L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F488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9" defaultRowHeight="14.4"/>
  <cols>
    <col min="1" max="1" width="27.69921875" style="21" customWidth="1"/>
    <col min="2" max="2" width="17" style="21" customWidth="1"/>
    <col min="3" max="3" width="43.69921875" style="21" bestFit="1" customWidth="1"/>
    <col min="4" max="4" width="39.296875" style="21" bestFit="1" customWidth="1"/>
    <col min="5" max="5" width="17.8984375" style="21" customWidth="1"/>
    <col min="6" max="6" width="22.69921875" style="21" bestFit="1" customWidth="1"/>
    <col min="7" max="16384" width="9" style="21"/>
  </cols>
  <sheetData>
    <row r="1" spans="1:6">
      <c r="A1" s="21" t="s">
        <v>43</v>
      </c>
      <c r="B1" s="21" t="s">
        <v>44</v>
      </c>
      <c r="C1" s="21" t="s">
        <v>45</v>
      </c>
      <c r="D1" s="21" t="s">
        <v>46</v>
      </c>
      <c r="E1" s="21" t="s">
        <v>47</v>
      </c>
      <c r="F1" s="21" t="s">
        <v>48</v>
      </c>
    </row>
    <row r="2" spans="1:6">
      <c r="A2" s="21" t="s">
        <v>60</v>
      </c>
      <c r="B2" s="21" t="s">
        <v>61</v>
      </c>
      <c r="C2" s="21" t="s">
        <v>51</v>
      </c>
      <c r="D2" s="21" t="s">
        <v>62</v>
      </c>
      <c r="E2" s="21" t="s">
        <v>53</v>
      </c>
      <c r="F2" s="21" t="s">
        <v>63</v>
      </c>
    </row>
    <row r="3" spans="1:6">
      <c r="A3" s="21" t="s">
        <v>64</v>
      </c>
      <c r="B3" s="21" t="s">
        <v>61</v>
      </c>
      <c r="C3" s="21" t="s">
        <v>51</v>
      </c>
      <c r="D3" s="21" t="s">
        <v>62</v>
      </c>
      <c r="E3" s="21" t="s">
        <v>53</v>
      </c>
      <c r="F3" s="21" t="s">
        <v>63</v>
      </c>
    </row>
    <row r="4" spans="1:6">
      <c r="A4" s="21" t="s">
        <v>65</v>
      </c>
      <c r="B4" s="21" t="s">
        <v>61</v>
      </c>
      <c r="C4" s="21" t="s">
        <v>51</v>
      </c>
      <c r="D4" s="21" t="s">
        <v>62</v>
      </c>
      <c r="E4" s="21" t="s">
        <v>53</v>
      </c>
      <c r="F4" s="21" t="s">
        <v>63</v>
      </c>
    </row>
    <row r="5" spans="1:6">
      <c r="A5" s="21" t="s">
        <v>82</v>
      </c>
      <c r="B5" s="21" t="s">
        <v>61</v>
      </c>
      <c r="C5" s="21" t="s">
        <v>51</v>
      </c>
      <c r="D5" s="21" t="s">
        <v>83</v>
      </c>
      <c r="E5" s="21" t="s">
        <v>53</v>
      </c>
      <c r="F5" s="21" t="s">
        <v>63</v>
      </c>
    </row>
    <row r="6" spans="1:6">
      <c r="A6" s="21" t="s">
        <v>84</v>
      </c>
      <c r="B6" s="21" t="s">
        <v>61</v>
      </c>
      <c r="C6" s="21" t="s">
        <v>51</v>
      </c>
      <c r="D6" s="21" t="s">
        <v>85</v>
      </c>
      <c r="E6" s="21" t="s">
        <v>53</v>
      </c>
      <c r="F6" s="21" t="s">
        <v>63</v>
      </c>
    </row>
    <row r="7" spans="1:6">
      <c r="A7" s="21" t="s">
        <v>86</v>
      </c>
      <c r="B7" s="21" t="s">
        <v>61</v>
      </c>
      <c r="C7" s="21" t="s">
        <v>51</v>
      </c>
      <c r="D7" s="21" t="s">
        <v>85</v>
      </c>
      <c r="E7" s="21" t="s">
        <v>53</v>
      </c>
      <c r="F7" s="21" t="s">
        <v>63</v>
      </c>
    </row>
    <row r="8" spans="1:6">
      <c r="A8" s="21" t="s">
        <v>87</v>
      </c>
      <c r="B8" s="21" t="s">
        <v>61</v>
      </c>
      <c r="C8" s="21" t="s">
        <v>51</v>
      </c>
      <c r="D8" s="21" t="s">
        <v>85</v>
      </c>
      <c r="E8" s="21" t="s">
        <v>53</v>
      </c>
      <c r="F8" s="21" t="s">
        <v>63</v>
      </c>
    </row>
    <row r="9" spans="1:6">
      <c r="A9" s="21" t="s">
        <v>88</v>
      </c>
      <c r="B9" s="21" t="s">
        <v>61</v>
      </c>
      <c r="C9" s="21" t="s">
        <v>51</v>
      </c>
      <c r="D9" s="21" t="s">
        <v>85</v>
      </c>
      <c r="E9" s="21" t="s">
        <v>53</v>
      </c>
      <c r="F9" s="21" t="s">
        <v>63</v>
      </c>
    </row>
    <row r="10" spans="1:6">
      <c r="A10" s="21" t="s">
        <v>125</v>
      </c>
      <c r="B10" s="21" t="s">
        <v>61</v>
      </c>
      <c r="C10" s="21" t="s">
        <v>116</v>
      </c>
      <c r="D10" s="21" t="s">
        <v>126</v>
      </c>
      <c r="E10" s="21" t="s">
        <v>53</v>
      </c>
      <c r="F10" s="21" t="s">
        <v>63</v>
      </c>
    </row>
    <row r="11" spans="1:6">
      <c r="A11" s="21" t="s">
        <v>135</v>
      </c>
      <c r="B11" s="21" t="s">
        <v>50</v>
      </c>
      <c r="C11" s="21" t="s">
        <v>116</v>
      </c>
      <c r="D11" s="21" t="s">
        <v>136</v>
      </c>
      <c r="E11" s="21" t="s">
        <v>53</v>
      </c>
      <c r="F11" s="21" t="s">
        <v>63</v>
      </c>
    </row>
    <row r="12" spans="1:6">
      <c r="A12" s="21" t="s">
        <v>66</v>
      </c>
      <c r="B12" s="21" t="s">
        <v>61</v>
      </c>
      <c r="C12" s="21" t="s">
        <v>51</v>
      </c>
      <c r="D12" s="21" t="s">
        <v>62</v>
      </c>
      <c r="E12" s="21" t="s">
        <v>53</v>
      </c>
      <c r="F12" s="21" t="s">
        <v>67</v>
      </c>
    </row>
    <row r="13" spans="1:6">
      <c r="A13" s="21" t="s">
        <v>68</v>
      </c>
      <c r="B13" s="21" t="s">
        <v>61</v>
      </c>
      <c r="C13" s="21" t="s">
        <v>51</v>
      </c>
      <c r="D13" s="21" t="s">
        <v>62</v>
      </c>
      <c r="E13" s="21" t="s">
        <v>53</v>
      </c>
      <c r="F13" s="21" t="s">
        <v>67</v>
      </c>
    </row>
    <row r="14" spans="1:6">
      <c r="A14" s="21" t="s">
        <v>69</v>
      </c>
      <c r="B14" s="21" t="s">
        <v>61</v>
      </c>
      <c r="C14" s="21" t="s">
        <v>51</v>
      </c>
      <c r="D14" s="21" t="s">
        <v>62</v>
      </c>
      <c r="E14" s="21" t="s">
        <v>53</v>
      </c>
      <c r="F14" s="21" t="s">
        <v>67</v>
      </c>
    </row>
    <row r="15" spans="1:6">
      <c r="A15" s="21" t="s">
        <v>89</v>
      </c>
      <c r="B15" s="21" t="s">
        <v>61</v>
      </c>
      <c r="C15" s="21" t="s">
        <v>51</v>
      </c>
      <c r="D15" s="21" t="s">
        <v>85</v>
      </c>
      <c r="E15" s="21" t="s">
        <v>53</v>
      </c>
      <c r="F15" s="21" t="s">
        <v>67</v>
      </c>
    </row>
    <row r="16" spans="1:6">
      <c r="A16" s="21" t="s">
        <v>90</v>
      </c>
      <c r="B16" s="21" t="s">
        <v>61</v>
      </c>
      <c r="C16" s="21" t="s">
        <v>51</v>
      </c>
      <c r="D16" s="21" t="s">
        <v>85</v>
      </c>
      <c r="E16" s="21" t="s">
        <v>53</v>
      </c>
      <c r="F16" s="21" t="s">
        <v>67</v>
      </c>
    </row>
    <row r="17" spans="1:6">
      <c r="A17" s="21" t="s">
        <v>91</v>
      </c>
      <c r="B17" s="21" t="s">
        <v>61</v>
      </c>
      <c r="C17" s="21" t="s">
        <v>51</v>
      </c>
      <c r="D17" s="21" t="s">
        <v>85</v>
      </c>
      <c r="E17" s="21" t="s">
        <v>53</v>
      </c>
      <c r="F17" s="21" t="s">
        <v>67</v>
      </c>
    </row>
    <row r="18" spans="1:6">
      <c r="A18" s="21" t="s">
        <v>92</v>
      </c>
      <c r="B18" s="21" t="s">
        <v>61</v>
      </c>
      <c r="C18" s="21" t="s">
        <v>51</v>
      </c>
      <c r="D18" s="21" t="s">
        <v>85</v>
      </c>
      <c r="E18" s="21" t="s">
        <v>53</v>
      </c>
      <c r="F18" s="21" t="s">
        <v>67</v>
      </c>
    </row>
    <row r="19" spans="1:6">
      <c r="A19" s="21" t="s">
        <v>93</v>
      </c>
      <c r="B19" s="21" t="s">
        <v>61</v>
      </c>
      <c r="C19" s="21" t="s">
        <v>51</v>
      </c>
      <c r="D19" s="21" t="s">
        <v>85</v>
      </c>
      <c r="E19" s="21" t="s">
        <v>53</v>
      </c>
      <c r="F19" s="21" t="s">
        <v>67</v>
      </c>
    </row>
    <row r="20" spans="1:6">
      <c r="A20" s="21" t="s">
        <v>110</v>
      </c>
      <c r="B20" s="21" t="s">
        <v>61</v>
      </c>
      <c r="C20" s="21" t="s">
        <v>51</v>
      </c>
      <c r="D20" s="21" t="s">
        <v>111</v>
      </c>
      <c r="E20" s="21" t="s">
        <v>53</v>
      </c>
      <c r="F20" s="21" t="s">
        <v>67</v>
      </c>
    </row>
    <row r="21" spans="1:6">
      <c r="A21" s="21" t="s">
        <v>127</v>
      </c>
      <c r="B21" s="21" t="s">
        <v>61</v>
      </c>
      <c r="C21" s="21" t="s">
        <v>116</v>
      </c>
      <c r="D21" s="21" t="s">
        <v>126</v>
      </c>
      <c r="E21" s="21" t="s">
        <v>53</v>
      </c>
      <c r="F21" s="21" t="s">
        <v>67</v>
      </c>
    </row>
    <row r="22" spans="1:6">
      <c r="A22" s="21" t="s">
        <v>49</v>
      </c>
      <c r="B22" s="21" t="s">
        <v>50</v>
      </c>
      <c r="C22" s="21" t="s">
        <v>51</v>
      </c>
      <c r="D22" s="21" t="s">
        <v>52</v>
      </c>
      <c r="E22" s="21" t="s">
        <v>53</v>
      </c>
      <c r="F22" s="21" t="s">
        <v>54</v>
      </c>
    </row>
    <row r="23" spans="1:6">
      <c r="A23" s="21" t="s">
        <v>119</v>
      </c>
      <c r="B23" s="21" t="s">
        <v>61</v>
      </c>
      <c r="C23" s="21" t="s">
        <v>116</v>
      </c>
      <c r="D23" s="21" t="s">
        <v>117</v>
      </c>
      <c r="E23" s="21" t="s">
        <v>53</v>
      </c>
      <c r="F23" s="21" t="s">
        <v>120</v>
      </c>
    </row>
    <row r="24" spans="1:6">
      <c r="A24" s="21" t="s">
        <v>121</v>
      </c>
      <c r="B24" s="21" t="s">
        <v>50</v>
      </c>
      <c r="C24" s="21" t="s">
        <v>116</v>
      </c>
      <c r="D24" s="21" t="s">
        <v>122</v>
      </c>
      <c r="E24" s="21" t="s">
        <v>53</v>
      </c>
      <c r="F24" s="21" t="s">
        <v>120</v>
      </c>
    </row>
    <row r="25" spans="1:6">
      <c r="A25" s="21" t="s">
        <v>123</v>
      </c>
      <c r="B25" s="21" t="s">
        <v>50</v>
      </c>
      <c r="C25" s="21" t="s">
        <v>116</v>
      </c>
      <c r="D25" s="21" t="s">
        <v>122</v>
      </c>
      <c r="E25" s="21" t="s">
        <v>53</v>
      </c>
      <c r="F25" s="21" t="s">
        <v>120</v>
      </c>
    </row>
    <row r="26" spans="1:6">
      <c r="A26" s="21" t="s">
        <v>124</v>
      </c>
      <c r="B26" s="21" t="s">
        <v>61</v>
      </c>
      <c r="C26" s="21" t="s">
        <v>116</v>
      </c>
      <c r="D26" s="21" t="s">
        <v>122</v>
      </c>
      <c r="E26" s="21" t="s">
        <v>53</v>
      </c>
      <c r="F26" s="21" t="s">
        <v>120</v>
      </c>
    </row>
    <row r="27" spans="1:6">
      <c r="A27" s="21" t="s">
        <v>130</v>
      </c>
      <c r="B27" s="21" t="s">
        <v>50</v>
      </c>
      <c r="C27" s="21" t="s">
        <v>116</v>
      </c>
      <c r="D27" s="21" t="s">
        <v>129</v>
      </c>
      <c r="E27" s="21" t="s">
        <v>53</v>
      </c>
      <c r="F27" s="21" t="s">
        <v>120</v>
      </c>
    </row>
    <row r="28" spans="1:6">
      <c r="A28" s="21" t="s">
        <v>131</v>
      </c>
      <c r="B28" s="21" t="s">
        <v>61</v>
      </c>
      <c r="C28" s="21" t="s">
        <v>116</v>
      </c>
      <c r="D28" s="21" t="s">
        <v>129</v>
      </c>
      <c r="E28" s="21" t="s">
        <v>53</v>
      </c>
      <c r="F28" s="21" t="s">
        <v>120</v>
      </c>
    </row>
    <row r="29" spans="1:6">
      <c r="A29" s="21" t="s">
        <v>55</v>
      </c>
      <c r="B29" s="21" t="s">
        <v>50</v>
      </c>
      <c r="C29" s="21" t="s">
        <v>51</v>
      </c>
      <c r="D29" s="21" t="s">
        <v>52</v>
      </c>
      <c r="E29" s="21" t="s">
        <v>53</v>
      </c>
      <c r="F29" s="21" t="s">
        <v>56</v>
      </c>
    </row>
    <row r="30" spans="1:6">
      <c r="A30" s="21" t="s">
        <v>70</v>
      </c>
      <c r="B30" s="21" t="s">
        <v>61</v>
      </c>
      <c r="C30" s="21" t="s">
        <v>51</v>
      </c>
      <c r="D30" s="21" t="s">
        <v>62</v>
      </c>
      <c r="E30" s="21" t="s">
        <v>53</v>
      </c>
      <c r="F30" s="21" t="s">
        <v>56</v>
      </c>
    </row>
    <row r="31" spans="1:6">
      <c r="A31" s="21" t="s">
        <v>71</v>
      </c>
      <c r="B31" s="21" t="s">
        <v>61</v>
      </c>
      <c r="C31" s="21" t="s">
        <v>51</v>
      </c>
      <c r="D31" s="21" t="s">
        <v>62</v>
      </c>
      <c r="E31" s="21" t="s">
        <v>53</v>
      </c>
      <c r="F31" s="21" t="s">
        <v>56</v>
      </c>
    </row>
    <row r="32" spans="1:6">
      <c r="A32" s="21" t="s">
        <v>94</v>
      </c>
      <c r="B32" s="21" t="s">
        <v>61</v>
      </c>
      <c r="C32" s="21" t="s">
        <v>51</v>
      </c>
      <c r="D32" s="21" t="s">
        <v>85</v>
      </c>
      <c r="E32" s="21" t="s">
        <v>53</v>
      </c>
      <c r="F32" s="21" t="s">
        <v>56</v>
      </c>
    </row>
    <row r="33" spans="1:6">
      <c r="A33" s="21" t="s">
        <v>95</v>
      </c>
      <c r="B33" s="21" t="s">
        <v>61</v>
      </c>
      <c r="C33" s="21" t="s">
        <v>51</v>
      </c>
      <c r="D33" s="21" t="s">
        <v>85</v>
      </c>
      <c r="E33" s="21" t="s">
        <v>53</v>
      </c>
      <c r="F33" s="21" t="s">
        <v>56</v>
      </c>
    </row>
    <row r="34" spans="1:6">
      <c r="A34" s="21" t="s">
        <v>96</v>
      </c>
      <c r="B34" s="21" t="s">
        <v>61</v>
      </c>
      <c r="C34" s="21" t="s">
        <v>51</v>
      </c>
      <c r="D34" s="21" t="s">
        <v>85</v>
      </c>
      <c r="E34" s="21" t="s">
        <v>53</v>
      </c>
      <c r="F34" s="21" t="s">
        <v>56</v>
      </c>
    </row>
    <row r="35" spans="1:6">
      <c r="A35" s="21" t="s">
        <v>97</v>
      </c>
      <c r="B35" s="21" t="s">
        <v>61</v>
      </c>
      <c r="C35" s="21" t="s">
        <v>51</v>
      </c>
      <c r="D35" s="21" t="s">
        <v>85</v>
      </c>
      <c r="E35" s="21" t="s">
        <v>53</v>
      </c>
      <c r="F35" s="21" t="s">
        <v>56</v>
      </c>
    </row>
    <row r="36" spans="1:6">
      <c r="A36" s="21" t="s">
        <v>98</v>
      </c>
      <c r="B36" s="21" t="s">
        <v>61</v>
      </c>
      <c r="C36" s="21" t="s">
        <v>51</v>
      </c>
      <c r="D36" s="21" t="s">
        <v>85</v>
      </c>
      <c r="E36" s="21" t="s">
        <v>53</v>
      </c>
      <c r="F36" s="21" t="s">
        <v>56</v>
      </c>
    </row>
    <row r="37" spans="1:6">
      <c r="A37" s="21" t="s">
        <v>99</v>
      </c>
      <c r="B37" s="21" t="s">
        <v>61</v>
      </c>
      <c r="C37" s="21" t="s">
        <v>51</v>
      </c>
      <c r="D37" s="21" t="s">
        <v>85</v>
      </c>
      <c r="E37" s="21" t="s">
        <v>53</v>
      </c>
      <c r="F37" s="21" t="s">
        <v>56</v>
      </c>
    </row>
    <row r="38" spans="1:6">
      <c r="A38" s="21" t="s">
        <v>100</v>
      </c>
      <c r="B38" s="21" t="s">
        <v>61</v>
      </c>
      <c r="C38" s="21" t="s">
        <v>51</v>
      </c>
      <c r="D38" s="21" t="s">
        <v>85</v>
      </c>
      <c r="E38" s="21" t="s">
        <v>53</v>
      </c>
      <c r="F38" s="21" t="s">
        <v>56</v>
      </c>
    </row>
    <row r="39" spans="1:6">
      <c r="A39" s="21" t="s">
        <v>113</v>
      </c>
      <c r="B39" s="21" t="s">
        <v>61</v>
      </c>
      <c r="C39" s="21" t="s">
        <v>51</v>
      </c>
      <c r="D39" s="21" t="s">
        <v>114</v>
      </c>
      <c r="E39" s="21" t="s">
        <v>53</v>
      </c>
      <c r="F39" s="21" t="s">
        <v>56</v>
      </c>
    </row>
    <row r="40" spans="1:6">
      <c r="A40" s="21" t="s">
        <v>115</v>
      </c>
      <c r="B40" s="21" t="s">
        <v>50</v>
      </c>
      <c r="C40" s="21" t="s">
        <v>116</v>
      </c>
      <c r="D40" s="21" t="s">
        <v>117</v>
      </c>
      <c r="E40" s="21" t="s">
        <v>53</v>
      </c>
      <c r="F40" s="21" t="s">
        <v>56</v>
      </c>
    </row>
    <row r="41" spans="1:6">
      <c r="A41" s="21" t="s">
        <v>152</v>
      </c>
      <c r="B41" s="21" t="s">
        <v>61</v>
      </c>
      <c r="C41" s="21" t="s">
        <v>116</v>
      </c>
      <c r="D41" s="21" t="s">
        <v>153</v>
      </c>
      <c r="E41" s="21" t="s">
        <v>53</v>
      </c>
      <c r="F41" s="21" t="s">
        <v>56</v>
      </c>
    </row>
    <row r="42" spans="1:6">
      <c r="A42" s="21" t="s">
        <v>57</v>
      </c>
      <c r="B42" s="21" t="s">
        <v>50</v>
      </c>
      <c r="C42" s="21" t="s">
        <v>51</v>
      </c>
      <c r="D42" s="21" t="s">
        <v>52</v>
      </c>
      <c r="E42" s="21" t="s">
        <v>53</v>
      </c>
      <c r="F42" s="21" t="s">
        <v>58</v>
      </c>
    </row>
    <row r="43" spans="1:6">
      <c r="A43" s="21" t="s">
        <v>59</v>
      </c>
      <c r="B43" s="21" t="s">
        <v>50</v>
      </c>
      <c r="C43" s="21" t="s">
        <v>51</v>
      </c>
      <c r="D43" s="21" t="s">
        <v>52</v>
      </c>
      <c r="E43" s="21" t="s">
        <v>53</v>
      </c>
      <c r="F43" s="21" t="s">
        <v>58</v>
      </c>
    </row>
    <row r="44" spans="1:6">
      <c r="A44" s="21" t="s">
        <v>72</v>
      </c>
      <c r="B44" s="21" t="s">
        <v>61</v>
      </c>
      <c r="C44" s="21" t="s">
        <v>51</v>
      </c>
      <c r="D44" s="21" t="s">
        <v>62</v>
      </c>
      <c r="E44" s="21" t="s">
        <v>53</v>
      </c>
      <c r="F44" s="21" t="s">
        <v>58</v>
      </c>
    </row>
    <row r="45" spans="1:6">
      <c r="A45" s="21" t="s">
        <v>73</v>
      </c>
      <c r="B45" s="21" t="s">
        <v>61</v>
      </c>
      <c r="C45" s="21" t="s">
        <v>51</v>
      </c>
      <c r="D45" s="21" t="s">
        <v>62</v>
      </c>
      <c r="E45" s="21" t="s">
        <v>53</v>
      </c>
      <c r="F45" s="21" t="s">
        <v>58</v>
      </c>
    </row>
    <row r="46" spans="1:6">
      <c r="A46" s="21" t="s">
        <v>101</v>
      </c>
      <c r="B46" s="21" t="s">
        <v>61</v>
      </c>
      <c r="C46" s="21" t="s">
        <v>51</v>
      </c>
      <c r="D46" s="21" t="s">
        <v>85</v>
      </c>
      <c r="E46" s="21" t="s">
        <v>53</v>
      </c>
      <c r="F46" s="21" t="s">
        <v>58</v>
      </c>
    </row>
    <row r="47" spans="1:6">
      <c r="A47" s="21" t="s">
        <v>102</v>
      </c>
      <c r="B47" s="21" t="s">
        <v>61</v>
      </c>
      <c r="C47" s="21" t="s">
        <v>51</v>
      </c>
      <c r="D47" s="21" t="s">
        <v>85</v>
      </c>
      <c r="E47" s="21" t="s">
        <v>53</v>
      </c>
      <c r="F47" s="21" t="s">
        <v>58</v>
      </c>
    </row>
    <row r="48" spans="1:6">
      <c r="A48" s="21" t="s">
        <v>103</v>
      </c>
      <c r="B48" s="21" t="s">
        <v>61</v>
      </c>
      <c r="C48" s="21" t="s">
        <v>51</v>
      </c>
      <c r="D48" s="21" t="s">
        <v>85</v>
      </c>
      <c r="E48" s="21" t="s">
        <v>53</v>
      </c>
      <c r="F48" s="21" t="s">
        <v>58</v>
      </c>
    </row>
    <row r="49" spans="1:6">
      <c r="A49" s="21" t="s">
        <v>104</v>
      </c>
      <c r="B49" s="21" t="s">
        <v>61</v>
      </c>
      <c r="C49" s="21" t="s">
        <v>51</v>
      </c>
      <c r="D49" s="21" t="s">
        <v>85</v>
      </c>
      <c r="E49" s="21" t="s">
        <v>53</v>
      </c>
      <c r="F49" s="21" t="s">
        <v>58</v>
      </c>
    </row>
    <row r="50" spans="1:6">
      <c r="A50" s="21" t="s">
        <v>105</v>
      </c>
      <c r="B50" s="21" t="s">
        <v>61</v>
      </c>
      <c r="C50" s="21" t="s">
        <v>51</v>
      </c>
      <c r="D50" s="21" t="s">
        <v>85</v>
      </c>
      <c r="E50" s="21" t="s">
        <v>53</v>
      </c>
      <c r="F50" s="21" t="s">
        <v>58</v>
      </c>
    </row>
    <row r="51" spans="1:6">
      <c r="A51" s="21" t="s">
        <v>106</v>
      </c>
      <c r="B51" s="21" t="s">
        <v>61</v>
      </c>
      <c r="C51" s="21" t="s">
        <v>51</v>
      </c>
      <c r="D51" s="21" t="s">
        <v>85</v>
      </c>
      <c r="E51" s="21" t="s">
        <v>53</v>
      </c>
      <c r="F51" s="21" t="s">
        <v>58</v>
      </c>
    </row>
    <row r="52" spans="1:6">
      <c r="A52" s="21" t="s">
        <v>107</v>
      </c>
      <c r="B52" s="21" t="s">
        <v>61</v>
      </c>
      <c r="C52" s="21" t="s">
        <v>51</v>
      </c>
      <c r="D52" s="21" t="s">
        <v>85</v>
      </c>
      <c r="E52" s="21" t="s">
        <v>53</v>
      </c>
      <c r="F52" s="21" t="s">
        <v>58</v>
      </c>
    </row>
    <row r="53" spans="1:6">
      <c r="A53" s="21" t="s">
        <v>108</v>
      </c>
      <c r="B53" s="21" t="s">
        <v>61</v>
      </c>
      <c r="C53" s="21" t="s">
        <v>51</v>
      </c>
      <c r="D53" s="21" t="s">
        <v>109</v>
      </c>
      <c r="E53" s="21" t="s">
        <v>53</v>
      </c>
      <c r="F53" s="21" t="s">
        <v>58</v>
      </c>
    </row>
    <row r="54" spans="1:6">
      <c r="A54" s="21" t="s">
        <v>112</v>
      </c>
      <c r="B54" s="21" t="s">
        <v>61</v>
      </c>
      <c r="C54" s="21" t="s">
        <v>51</v>
      </c>
      <c r="D54" s="21" t="s">
        <v>111</v>
      </c>
      <c r="E54" s="21" t="s">
        <v>53</v>
      </c>
      <c r="F54" s="21" t="s">
        <v>58</v>
      </c>
    </row>
    <row r="55" spans="1:6">
      <c r="A55" s="21" t="s">
        <v>118</v>
      </c>
      <c r="B55" s="21" t="s">
        <v>50</v>
      </c>
      <c r="C55" s="21" t="s">
        <v>116</v>
      </c>
      <c r="D55" s="21" t="s">
        <v>117</v>
      </c>
      <c r="E55" s="21" t="s">
        <v>53</v>
      </c>
      <c r="F55" s="21" t="s">
        <v>58</v>
      </c>
    </row>
    <row r="56" spans="1:6">
      <c r="A56" s="21" t="s">
        <v>128</v>
      </c>
      <c r="B56" s="21" t="s">
        <v>50</v>
      </c>
      <c r="C56" s="21" t="s">
        <v>116</v>
      </c>
      <c r="D56" s="21" t="s">
        <v>129</v>
      </c>
      <c r="E56" s="21" t="s">
        <v>53</v>
      </c>
      <c r="F56" s="21" t="s">
        <v>58</v>
      </c>
    </row>
    <row r="57" spans="1:6">
      <c r="A57" s="21" t="s">
        <v>74</v>
      </c>
      <c r="B57" s="21" t="s">
        <v>61</v>
      </c>
      <c r="C57" s="21" t="s">
        <v>51</v>
      </c>
      <c r="D57" s="21" t="s">
        <v>62</v>
      </c>
      <c r="E57" s="21" t="s">
        <v>53</v>
      </c>
      <c r="F57" s="21" t="s">
        <v>75</v>
      </c>
    </row>
    <row r="58" spans="1:6">
      <c r="A58" s="21" t="s">
        <v>76</v>
      </c>
      <c r="B58" s="21" t="s">
        <v>61</v>
      </c>
      <c r="C58" s="21" t="s">
        <v>51</v>
      </c>
      <c r="D58" s="21" t="s">
        <v>62</v>
      </c>
      <c r="E58" s="21" t="s">
        <v>53</v>
      </c>
      <c r="F58" s="21" t="s">
        <v>75</v>
      </c>
    </row>
    <row r="59" spans="1:6">
      <c r="A59" s="21" t="s">
        <v>77</v>
      </c>
      <c r="B59" s="21" t="s">
        <v>61</v>
      </c>
      <c r="C59" s="21" t="s">
        <v>51</v>
      </c>
      <c r="D59" s="21" t="s">
        <v>62</v>
      </c>
      <c r="E59" s="21" t="s">
        <v>53</v>
      </c>
      <c r="F59" s="21" t="s">
        <v>75</v>
      </c>
    </row>
    <row r="60" spans="1:6">
      <c r="A60" s="21" t="s">
        <v>78</v>
      </c>
      <c r="B60" s="21" t="s">
        <v>61</v>
      </c>
      <c r="C60" s="21" t="s">
        <v>51</v>
      </c>
      <c r="D60" s="21" t="s">
        <v>62</v>
      </c>
      <c r="E60" s="21" t="s">
        <v>53</v>
      </c>
      <c r="F60" s="21" t="s">
        <v>75</v>
      </c>
    </row>
    <row r="61" spans="1:6">
      <c r="A61" s="21" t="s">
        <v>79</v>
      </c>
      <c r="B61" s="21" t="s">
        <v>61</v>
      </c>
      <c r="C61" s="21" t="s">
        <v>51</v>
      </c>
      <c r="D61" s="21" t="s">
        <v>62</v>
      </c>
      <c r="E61" s="21" t="s">
        <v>53</v>
      </c>
      <c r="F61" s="21" t="s">
        <v>75</v>
      </c>
    </row>
    <row r="62" spans="1:6">
      <c r="A62" s="21" t="s">
        <v>80</v>
      </c>
      <c r="B62" s="21" t="s">
        <v>61</v>
      </c>
      <c r="C62" s="21" t="s">
        <v>51</v>
      </c>
      <c r="D62" s="21" t="s">
        <v>62</v>
      </c>
      <c r="E62" s="21" t="s">
        <v>53</v>
      </c>
      <c r="F62" s="21" t="s">
        <v>75</v>
      </c>
    </row>
    <row r="63" spans="1:6">
      <c r="A63" s="21" t="s">
        <v>81</v>
      </c>
      <c r="B63" s="21" t="s">
        <v>61</v>
      </c>
      <c r="C63" s="21" t="s">
        <v>51</v>
      </c>
      <c r="D63" s="21" t="s">
        <v>62</v>
      </c>
      <c r="E63" s="21" t="s">
        <v>53</v>
      </c>
      <c r="F63" s="21" t="s">
        <v>75</v>
      </c>
    </row>
    <row r="64" spans="1:6">
      <c r="A64" s="21" t="s">
        <v>558</v>
      </c>
      <c r="B64" s="21" t="s">
        <v>61</v>
      </c>
      <c r="C64" s="21" t="s">
        <v>51</v>
      </c>
      <c r="D64" s="21" t="s">
        <v>559</v>
      </c>
      <c r="E64" s="21" t="s">
        <v>53</v>
      </c>
      <c r="F64" s="21" t="s">
        <v>560</v>
      </c>
    </row>
    <row r="65" spans="1:6">
      <c r="A65" s="21" t="s">
        <v>519</v>
      </c>
      <c r="B65" s="21" t="s">
        <v>50</v>
      </c>
      <c r="C65" s="21" t="s">
        <v>51</v>
      </c>
      <c r="D65" s="21" t="s">
        <v>85</v>
      </c>
      <c r="E65" s="21" t="s">
        <v>156</v>
      </c>
      <c r="F65" s="21" t="s">
        <v>560</v>
      </c>
    </row>
    <row r="66" spans="1:6">
      <c r="A66" s="21" t="s">
        <v>346</v>
      </c>
      <c r="B66" s="21" t="s">
        <v>50</v>
      </c>
      <c r="C66" s="21" t="s">
        <v>116</v>
      </c>
      <c r="D66" s="21" t="s">
        <v>347</v>
      </c>
      <c r="E66" s="21" t="s">
        <v>156</v>
      </c>
      <c r="F66" s="21" t="s">
        <v>560</v>
      </c>
    </row>
    <row r="67" spans="1:6">
      <c r="A67" s="21" t="s">
        <v>344</v>
      </c>
      <c r="B67" s="21" t="s">
        <v>61</v>
      </c>
      <c r="C67" s="21" t="s">
        <v>116</v>
      </c>
      <c r="D67" s="21" t="s">
        <v>345</v>
      </c>
      <c r="E67" s="21" t="s">
        <v>156</v>
      </c>
      <c r="F67" s="21" t="s">
        <v>560</v>
      </c>
    </row>
    <row r="68" spans="1:6">
      <c r="A68" s="21" t="s">
        <v>348</v>
      </c>
      <c r="B68" s="21" t="s">
        <v>61</v>
      </c>
      <c r="C68" s="21" t="s">
        <v>116</v>
      </c>
      <c r="D68" s="21" t="s">
        <v>163</v>
      </c>
      <c r="E68" s="21" t="s">
        <v>156</v>
      </c>
      <c r="F68" s="21" t="s">
        <v>560</v>
      </c>
    </row>
    <row r="69" spans="1:6">
      <c r="A69" s="21" t="s">
        <v>349</v>
      </c>
      <c r="B69" s="21" t="s">
        <v>61</v>
      </c>
      <c r="C69" s="21" t="s">
        <v>116</v>
      </c>
      <c r="D69" s="21" t="s">
        <v>163</v>
      </c>
      <c r="E69" s="21" t="s">
        <v>156</v>
      </c>
      <c r="F69" s="21" t="s">
        <v>560</v>
      </c>
    </row>
    <row r="70" spans="1:6">
      <c r="A70" s="21" t="s">
        <v>520</v>
      </c>
      <c r="B70" s="21" t="s">
        <v>61</v>
      </c>
      <c r="C70" s="21" t="s">
        <v>51</v>
      </c>
      <c r="D70" s="21" t="s">
        <v>85</v>
      </c>
      <c r="E70" s="21" t="s">
        <v>156</v>
      </c>
      <c r="F70" s="21" t="s">
        <v>560</v>
      </c>
    </row>
    <row r="71" spans="1:6">
      <c r="A71" s="21" t="s">
        <v>350</v>
      </c>
      <c r="B71" s="21" t="s">
        <v>61</v>
      </c>
      <c r="C71" s="21" t="s">
        <v>116</v>
      </c>
      <c r="D71" s="21" t="s">
        <v>163</v>
      </c>
      <c r="E71" s="21" t="s">
        <v>156</v>
      </c>
      <c r="F71" s="21" t="s">
        <v>560</v>
      </c>
    </row>
    <row r="72" spans="1:6">
      <c r="A72" s="21" t="s">
        <v>521</v>
      </c>
      <c r="B72" s="21" t="s">
        <v>61</v>
      </c>
      <c r="C72" s="21" t="s">
        <v>51</v>
      </c>
      <c r="D72" s="21" t="s">
        <v>85</v>
      </c>
      <c r="E72" s="21" t="s">
        <v>156</v>
      </c>
      <c r="F72" s="21" t="s">
        <v>560</v>
      </c>
    </row>
    <row r="73" spans="1:6">
      <c r="A73" s="21" t="s">
        <v>522</v>
      </c>
      <c r="B73" s="21" t="s">
        <v>61</v>
      </c>
      <c r="C73" s="21" t="s">
        <v>51</v>
      </c>
      <c r="D73" s="21" t="s">
        <v>85</v>
      </c>
      <c r="E73" s="21" t="s">
        <v>156</v>
      </c>
      <c r="F73" s="21" t="s">
        <v>560</v>
      </c>
    </row>
    <row r="74" spans="1:6">
      <c r="A74" s="21" t="s">
        <v>523</v>
      </c>
      <c r="B74" s="21" t="s">
        <v>61</v>
      </c>
      <c r="C74" s="21" t="s">
        <v>51</v>
      </c>
      <c r="D74" s="21" t="s">
        <v>85</v>
      </c>
      <c r="E74" s="21" t="s">
        <v>156</v>
      </c>
      <c r="F74" s="21" t="s">
        <v>560</v>
      </c>
    </row>
    <row r="75" spans="1:6">
      <c r="A75" s="21" t="s">
        <v>524</v>
      </c>
      <c r="B75" s="21" t="s">
        <v>61</v>
      </c>
      <c r="C75" s="21" t="s">
        <v>51</v>
      </c>
      <c r="D75" s="21" t="s">
        <v>85</v>
      </c>
      <c r="E75" s="21" t="s">
        <v>156</v>
      </c>
      <c r="F75" s="21" t="s">
        <v>560</v>
      </c>
    </row>
    <row r="76" spans="1:6">
      <c r="A76" s="21" t="s">
        <v>409</v>
      </c>
      <c r="B76" s="21" t="s">
        <v>61</v>
      </c>
      <c r="C76" s="21" t="s">
        <v>116</v>
      </c>
      <c r="D76" s="21" t="s">
        <v>174</v>
      </c>
      <c r="E76" s="21" t="s">
        <v>156</v>
      </c>
      <c r="F76" s="21" t="s">
        <v>560</v>
      </c>
    </row>
    <row r="77" spans="1:6">
      <c r="A77" s="21" t="s">
        <v>340</v>
      </c>
      <c r="B77" s="21" t="s">
        <v>61</v>
      </c>
      <c r="C77" s="21" t="s">
        <v>116</v>
      </c>
      <c r="D77" s="21" t="s">
        <v>341</v>
      </c>
      <c r="E77" s="21" t="s">
        <v>156</v>
      </c>
      <c r="F77" s="21" t="s">
        <v>560</v>
      </c>
    </row>
    <row r="78" spans="1:6">
      <c r="A78" s="21" t="s">
        <v>410</v>
      </c>
      <c r="B78" s="21" t="s">
        <v>61</v>
      </c>
      <c r="C78" s="21" t="s">
        <v>116</v>
      </c>
      <c r="D78" s="21" t="s">
        <v>174</v>
      </c>
      <c r="E78" s="21" t="s">
        <v>156</v>
      </c>
      <c r="F78" s="21" t="s">
        <v>560</v>
      </c>
    </row>
    <row r="79" spans="1:6">
      <c r="A79" s="21" t="s">
        <v>561</v>
      </c>
      <c r="B79" s="21" t="s">
        <v>61</v>
      </c>
      <c r="C79" s="21" t="s">
        <v>116</v>
      </c>
      <c r="D79" s="21" t="s">
        <v>562</v>
      </c>
      <c r="E79" s="21" t="s">
        <v>156</v>
      </c>
      <c r="F79" s="21" t="s">
        <v>560</v>
      </c>
    </row>
    <row r="80" spans="1:6">
      <c r="A80" s="21" t="s">
        <v>351</v>
      </c>
      <c r="B80" s="21" t="s">
        <v>61</v>
      </c>
      <c r="C80" s="21" t="s">
        <v>116</v>
      </c>
      <c r="D80" s="21" t="s">
        <v>163</v>
      </c>
      <c r="E80" s="21" t="s">
        <v>156</v>
      </c>
      <c r="F80" s="21" t="s">
        <v>560</v>
      </c>
    </row>
    <row r="81" spans="1:6">
      <c r="A81" s="21" t="s">
        <v>352</v>
      </c>
      <c r="B81" s="21" t="s">
        <v>61</v>
      </c>
      <c r="C81" s="21" t="s">
        <v>116</v>
      </c>
      <c r="D81" s="21" t="s">
        <v>163</v>
      </c>
      <c r="E81" s="21" t="s">
        <v>156</v>
      </c>
      <c r="F81" s="21" t="s">
        <v>560</v>
      </c>
    </row>
    <row r="82" spans="1:6">
      <c r="A82" s="21" t="s">
        <v>411</v>
      </c>
      <c r="B82" s="21" t="s">
        <v>61</v>
      </c>
      <c r="C82" s="21" t="s">
        <v>116</v>
      </c>
      <c r="D82" s="21" t="s">
        <v>174</v>
      </c>
      <c r="E82" s="21" t="s">
        <v>156</v>
      </c>
      <c r="F82" s="21" t="s">
        <v>560</v>
      </c>
    </row>
    <row r="83" spans="1:6">
      <c r="A83" s="21" t="s">
        <v>563</v>
      </c>
      <c r="B83" s="21" t="s">
        <v>61</v>
      </c>
      <c r="C83" s="21" t="s">
        <v>116</v>
      </c>
      <c r="D83" s="21" t="s">
        <v>562</v>
      </c>
      <c r="E83" s="21" t="s">
        <v>156</v>
      </c>
      <c r="F83" s="21" t="s">
        <v>560</v>
      </c>
    </row>
    <row r="84" spans="1:6">
      <c r="A84" s="21" t="s">
        <v>528</v>
      </c>
      <c r="B84" s="21" t="s">
        <v>61</v>
      </c>
      <c r="C84" s="21" t="s">
        <v>51</v>
      </c>
      <c r="D84" s="21" t="s">
        <v>109</v>
      </c>
      <c r="E84" s="21" t="s">
        <v>156</v>
      </c>
      <c r="F84" s="21" t="s">
        <v>560</v>
      </c>
    </row>
    <row r="85" spans="1:6">
      <c r="A85" s="21" t="s">
        <v>564</v>
      </c>
      <c r="B85" s="21" t="s">
        <v>61</v>
      </c>
      <c r="C85" s="21" t="s">
        <v>116</v>
      </c>
      <c r="D85" s="21" t="s">
        <v>562</v>
      </c>
      <c r="E85" s="21" t="s">
        <v>156</v>
      </c>
      <c r="F85" s="21" t="s">
        <v>560</v>
      </c>
    </row>
    <row r="86" spans="1:6">
      <c r="A86" s="21" t="s">
        <v>514</v>
      </c>
      <c r="B86" s="21" t="s">
        <v>61</v>
      </c>
      <c r="C86" s="21" t="s">
        <v>116</v>
      </c>
      <c r="D86" s="21" t="s">
        <v>219</v>
      </c>
      <c r="E86" s="21" t="s">
        <v>156</v>
      </c>
      <c r="F86" s="21" t="s">
        <v>560</v>
      </c>
    </row>
    <row r="87" spans="1:6">
      <c r="A87" s="21" t="s">
        <v>529</v>
      </c>
      <c r="B87" s="21" t="s">
        <v>61</v>
      </c>
      <c r="C87" s="21" t="s">
        <v>51</v>
      </c>
      <c r="D87" s="21" t="s">
        <v>295</v>
      </c>
      <c r="E87" s="21" t="s">
        <v>156</v>
      </c>
      <c r="F87" s="21" t="s">
        <v>560</v>
      </c>
    </row>
    <row r="88" spans="1:6">
      <c r="A88" s="21" t="s">
        <v>353</v>
      </c>
      <c r="B88" s="21" t="s">
        <v>61</v>
      </c>
      <c r="C88" s="21" t="s">
        <v>116</v>
      </c>
      <c r="D88" s="21" t="s">
        <v>163</v>
      </c>
      <c r="E88" s="21" t="s">
        <v>156</v>
      </c>
      <c r="F88" s="21" t="s">
        <v>560</v>
      </c>
    </row>
    <row r="89" spans="1:6">
      <c r="A89" s="21" t="s">
        <v>354</v>
      </c>
      <c r="B89" s="21" t="s">
        <v>61</v>
      </c>
      <c r="C89" s="21" t="s">
        <v>116</v>
      </c>
      <c r="D89" s="21" t="s">
        <v>163</v>
      </c>
      <c r="E89" s="21" t="s">
        <v>156</v>
      </c>
      <c r="F89" s="21" t="s">
        <v>560</v>
      </c>
    </row>
    <row r="90" spans="1:6">
      <c r="A90" s="21" t="s">
        <v>565</v>
      </c>
      <c r="B90" s="21" t="s">
        <v>61</v>
      </c>
      <c r="C90" s="21" t="s">
        <v>116</v>
      </c>
      <c r="D90" s="21" t="s">
        <v>562</v>
      </c>
      <c r="E90" s="21" t="s">
        <v>156</v>
      </c>
      <c r="F90" s="21" t="s">
        <v>560</v>
      </c>
    </row>
    <row r="91" spans="1:6">
      <c r="A91" s="21" t="s">
        <v>455</v>
      </c>
      <c r="B91" s="21" t="s">
        <v>61</v>
      </c>
      <c r="C91" s="21" t="s">
        <v>116</v>
      </c>
      <c r="D91" s="21" t="s">
        <v>242</v>
      </c>
      <c r="E91" s="21" t="s">
        <v>156</v>
      </c>
      <c r="F91" s="21" t="s">
        <v>560</v>
      </c>
    </row>
    <row r="92" spans="1:6">
      <c r="A92" s="21" t="s">
        <v>566</v>
      </c>
      <c r="B92" s="21" t="s">
        <v>61</v>
      </c>
      <c r="C92" s="21" t="s">
        <v>116</v>
      </c>
      <c r="D92" s="21" t="s">
        <v>562</v>
      </c>
      <c r="E92" s="21" t="s">
        <v>156</v>
      </c>
      <c r="F92" s="21" t="s">
        <v>560</v>
      </c>
    </row>
    <row r="93" spans="1:6">
      <c r="A93" s="21" t="s">
        <v>355</v>
      </c>
      <c r="B93" s="21" t="s">
        <v>61</v>
      </c>
      <c r="C93" s="21" t="s">
        <v>116</v>
      </c>
      <c r="D93" s="21" t="s">
        <v>163</v>
      </c>
      <c r="E93" s="21" t="s">
        <v>156</v>
      </c>
      <c r="F93" s="21" t="s">
        <v>560</v>
      </c>
    </row>
    <row r="94" spans="1:6">
      <c r="A94" s="21" t="s">
        <v>456</v>
      </c>
      <c r="B94" s="21" t="s">
        <v>61</v>
      </c>
      <c r="C94" s="21" t="s">
        <v>116</v>
      </c>
      <c r="D94" s="21" t="s">
        <v>242</v>
      </c>
      <c r="E94" s="21" t="s">
        <v>156</v>
      </c>
      <c r="F94" s="21" t="s">
        <v>560</v>
      </c>
    </row>
    <row r="95" spans="1:6">
      <c r="A95" s="21" t="s">
        <v>530</v>
      </c>
      <c r="B95" s="21" t="s">
        <v>61</v>
      </c>
      <c r="C95" s="21" t="s">
        <v>51</v>
      </c>
      <c r="D95" s="21" t="s">
        <v>109</v>
      </c>
      <c r="E95" s="21" t="s">
        <v>156</v>
      </c>
      <c r="F95" s="21" t="s">
        <v>560</v>
      </c>
    </row>
    <row r="96" spans="1:6">
      <c r="A96" s="21" t="s">
        <v>356</v>
      </c>
      <c r="B96" s="21" t="s">
        <v>61</v>
      </c>
      <c r="C96" s="21" t="s">
        <v>116</v>
      </c>
      <c r="D96" s="21" t="s">
        <v>163</v>
      </c>
      <c r="E96" s="21" t="s">
        <v>156</v>
      </c>
      <c r="F96" s="21" t="s">
        <v>560</v>
      </c>
    </row>
    <row r="97" spans="1:6">
      <c r="A97" s="21" t="s">
        <v>357</v>
      </c>
      <c r="B97" s="21" t="s">
        <v>61</v>
      </c>
      <c r="C97" s="21" t="s">
        <v>116</v>
      </c>
      <c r="D97" s="21" t="s">
        <v>163</v>
      </c>
      <c r="E97" s="21" t="s">
        <v>156</v>
      </c>
      <c r="F97" s="21" t="s">
        <v>560</v>
      </c>
    </row>
    <row r="98" spans="1:6">
      <c r="A98" s="21" t="s">
        <v>412</v>
      </c>
      <c r="B98" s="21" t="s">
        <v>61</v>
      </c>
      <c r="C98" s="21" t="s">
        <v>116</v>
      </c>
      <c r="D98" s="21" t="s">
        <v>174</v>
      </c>
      <c r="E98" s="21" t="s">
        <v>156</v>
      </c>
      <c r="F98" s="21" t="s">
        <v>560</v>
      </c>
    </row>
    <row r="99" spans="1:6">
      <c r="A99" s="21" t="s">
        <v>358</v>
      </c>
      <c r="B99" s="21" t="s">
        <v>61</v>
      </c>
      <c r="C99" s="21" t="s">
        <v>116</v>
      </c>
      <c r="D99" s="21" t="s">
        <v>163</v>
      </c>
      <c r="E99" s="21" t="s">
        <v>156</v>
      </c>
      <c r="F99" s="21" t="s">
        <v>560</v>
      </c>
    </row>
    <row r="100" spans="1:6">
      <c r="A100" s="21" t="s">
        <v>413</v>
      </c>
      <c r="B100" s="21" t="s">
        <v>61</v>
      </c>
      <c r="C100" s="21" t="s">
        <v>116</v>
      </c>
      <c r="D100" s="21" t="s">
        <v>174</v>
      </c>
      <c r="E100" s="21" t="s">
        <v>156</v>
      </c>
      <c r="F100" s="21" t="s">
        <v>560</v>
      </c>
    </row>
    <row r="101" spans="1:6">
      <c r="A101" s="21" t="s">
        <v>359</v>
      </c>
      <c r="B101" s="21" t="s">
        <v>61</v>
      </c>
      <c r="C101" s="21" t="s">
        <v>116</v>
      </c>
      <c r="D101" s="21" t="s">
        <v>163</v>
      </c>
      <c r="E101" s="21" t="s">
        <v>156</v>
      </c>
      <c r="F101" s="21" t="s">
        <v>560</v>
      </c>
    </row>
    <row r="102" spans="1:6">
      <c r="A102" s="21" t="s">
        <v>360</v>
      </c>
      <c r="B102" s="21" t="s">
        <v>61</v>
      </c>
      <c r="C102" s="21" t="s">
        <v>116</v>
      </c>
      <c r="D102" s="21" t="s">
        <v>163</v>
      </c>
      <c r="E102" s="21" t="s">
        <v>156</v>
      </c>
      <c r="F102" s="21" t="s">
        <v>560</v>
      </c>
    </row>
    <row r="103" spans="1:6">
      <c r="A103" s="21" t="s">
        <v>457</v>
      </c>
      <c r="B103" s="21" t="s">
        <v>61</v>
      </c>
      <c r="C103" s="21" t="s">
        <v>116</v>
      </c>
      <c r="D103" s="21" t="s">
        <v>242</v>
      </c>
      <c r="E103" s="21" t="s">
        <v>156</v>
      </c>
      <c r="F103" s="21" t="s">
        <v>560</v>
      </c>
    </row>
    <row r="104" spans="1:6">
      <c r="A104" s="21" t="s">
        <v>414</v>
      </c>
      <c r="B104" s="21" t="s">
        <v>61</v>
      </c>
      <c r="C104" s="21" t="s">
        <v>116</v>
      </c>
      <c r="D104" s="21" t="s">
        <v>174</v>
      </c>
      <c r="E104" s="21" t="s">
        <v>156</v>
      </c>
      <c r="F104" s="21" t="s">
        <v>560</v>
      </c>
    </row>
    <row r="105" spans="1:6">
      <c r="A105" s="21" t="s">
        <v>415</v>
      </c>
      <c r="B105" s="21" t="s">
        <v>61</v>
      </c>
      <c r="C105" s="21" t="s">
        <v>116</v>
      </c>
      <c r="D105" s="21" t="s">
        <v>174</v>
      </c>
      <c r="E105" s="21" t="s">
        <v>156</v>
      </c>
      <c r="F105" s="21" t="s">
        <v>560</v>
      </c>
    </row>
    <row r="106" spans="1:6">
      <c r="A106" s="21" t="s">
        <v>458</v>
      </c>
      <c r="B106" s="21" t="s">
        <v>61</v>
      </c>
      <c r="C106" s="21" t="s">
        <v>116</v>
      </c>
      <c r="D106" s="21" t="s">
        <v>242</v>
      </c>
      <c r="E106" s="21" t="s">
        <v>156</v>
      </c>
      <c r="F106" s="21" t="s">
        <v>560</v>
      </c>
    </row>
    <row r="107" spans="1:6">
      <c r="A107" s="21" t="s">
        <v>416</v>
      </c>
      <c r="B107" s="21" t="s">
        <v>61</v>
      </c>
      <c r="C107" s="21" t="s">
        <v>116</v>
      </c>
      <c r="D107" s="21" t="s">
        <v>174</v>
      </c>
      <c r="E107" s="21" t="s">
        <v>156</v>
      </c>
      <c r="F107" s="21" t="s">
        <v>560</v>
      </c>
    </row>
    <row r="108" spans="1:6">
      <c r="A108" s="21" t="s">
        <v>459</v>
      </c>
      <c r="B108" s="21" t="s">
        <v>61</v>
      </c>
      <c r="C108" s="21" t="s">
        <v>116</v>
      </c>
      <c r="D108" s="21" t="s">
        <v>141</v>
      </c>
      <c r="E108" s="21" t="s">
        <v>156</v>
      </c>
      <c r="F108" s="21" t="s">
        <v>560</v>
      </c>
    </row>
    <row r="109" spans="1:6">
      <c r="A109" s="21" t="s">
        <v>460</v>
      </c>
      <c r="B109" s="21" t="s">
        <v>61</v>
      </c>
      <c r="C109" s="21" t="s">
        <v>116</v>
      </c>
      <c r="D109" s="21" t="s">
        <v>141</v>
      </c>
      <c r="E109" s="21" t="s">
        <v>156</v>
      </c>
      <c r="F109" s="21" t="s">
        <v>560</v>
      </c>
    </row>
    <row r="110" spans="1:6">
      <c r="A110" s="21" t="s">
        <v>461</v>
      </c>
      <c r="B110" s="21" t="s">
        <v>61</v>
      </c>
      <c r="C110" s="21" t="s">
        <v>116</v>
      </c>
      <c r="D110" s="21" t="s">
        <v>242</v>
      </c>
      <c r="E110" s="21" t="s">
        <v>156</v>
      </c>
      <c r="F110" s="21" t="s">
        <v>560</v>
      </c>
    </row>
    <row r="111" spans="1:6">
      <c r="A111" s="21" t="s">
        <v>123</v>
      </c>
      <c r="B111" s="21" t="s">
        <v>61</v>
      </c>
      <c r="C111" s="21" t="s">
        <v>116</v>
      </c>
      <c r="D111" s="21" t="s">
        <v>122</v>
      </c>
      <c r="E111" s="21" t="s">
        <v>156</v>
      </c>
      <c r="F111" s="21" t="s">
        <v>560</v>
      </c>
    </row>
    <row r="112" spans="1:6">
      <c r="A112" s="21" t="s">
        <v>361</v>
      </c>
      <c r="B112" s="21" t="s">
        <v>61</v>
      </c>
      <c r="C112" s="21" t="s">
        <v>116</v>
      </c>
      <c r="D112" s="21" t="s">
        <v>163</v>
      </c>
      <c r="E112" s="21" t="s">
        <v>156</v>
      </c>
      <c r="F112" s="21" t="s">
        <v>560</v>
      </c>
    </row>
    <row r="113" spans="1:6">
      <c r="A113" s="21" t="s">
        <v>417</v>
      </c>
      <c r="B113" s="21" t="s">
        <v>61</v>
      </c>
      <c r="C113" s="21" t="s">
        <v>116</v>
      </c>
      <c r="D113" s="21" t="s">
        <v>136</v>
      </c>
      <c r="E113" s="21" t="s">
        <v>156</v>
      </c>
      <c r="F113" s="21" t="s">
        <v>560</v>
      </c>
    </row>
    <row r="114" spans="1:6">
      <c r="A114" s="21" t="s">
        <v>418</v>
      </c>
      <c r="B114" s="21" t="s">
        <v>61</v>
      </c>
      <c r="C114" s="21" t="s">
        <v>116</v>
      </c>
      <c r="D114" s="21" t="s">
        <v>419</v>
      </c>
      <c r="E114" s="21" t="s">
        <v>156</v>
      </c>
      <c r="F114" s="21" t="s">
        <v>560</v>
      </c>
    </row>
    <row r="115" spans="1:6">
      <c r="A115" s="21" t="s">
        <v>462</v>
      </c>
      <c r="B115" s="21" t="s">
        <v>50</v>
      </c>
      <c r="C115" s="21" t="s">
        <v>116</v>
      </c>
      <c r="D115" s="21" t="s">
        <v>242</v>
      </c>
      <c r="E115" s="21" t="s">
        <v>156</v>
      </c>
      <c r="F115" s="21" t="s">
        <v>560</v>
      </c>
    </row>
    <row r="116" spans="1:6">
      <c r="A116" s="21" t="s">
        <v>336</v>
      </c>
      <c r="B116" s="21" t="s">
        <v>61</v>
      </c>
      <c r="C116" s="21" t="s">
        <v>116</v>
      </c>
      <c r="D116" s="21" t="s">
        <v>337</v>
      </c>
      <c r="E116" s="21" t="s">
        <v>156</v>
      </c>
      <c r="F116" s="21" t="s">
        <v>560</v>
      </c>
    </row>
    <row r="117" spans="1:6">
      <c r="A117" s="21" t="s">
        <v>328</v>
      </c>
      <c r="B117" s="21" t="s">
        <v>61</v>
      </c>
      <c r="C117" s="21" t="s">
        <v>51</v>
      </c>
      <c r="D117" s="21" t="s">
        <v>329</v>
      </c>
      <c r="E117" s="21" t="s">
        <v>156</v>
      </c>
      <c r="F117" s="21" t="s">
        <v>560</v>
      </c>
    </row>
    <row r="118" spans="1:6">
      <c r="A118" s="21" t="s">
        <v>420</v>
      </c>
      <c r="B118" s="21" t="s">
        <v>61</v>
      </c>
      <c r="C118" s="21" t="s">
        <v>116</v>
      </c>
      <c r="D118" s="21" t="s">
        <v>174</v>
      </c>
      <c r="E118" s="21" t="s">
        <v>156</v>
      </c>
      <c r="F118" s="21" t="s">
        <v>560</v>
      </c>
    </row>
    <row r="119" spans="1:6">
      <c r="A119" s="21" t="s">
        <v>421</v>
      </c>
      <c r="B119" s="21" t="s">
        <v>61</v>
      </c>
      <c r="C119" s="21" t="s">
        <v>116</v>
      </c>
      <c r="D119" s="21" t="s">
        <v>174</v>
      </c>
      <c r="E119" s="21" t="s">
        <v>156</v>
      </c>
      <c r="F119" s="21" t="s">
        <v>560</v>
      </c>
    </row>
    <row r="120" spans="1:6">
      <c r="A120" s="21" t="s">
        <v>463</v>
      </c>
      <c r="B120" s="21" t="s">
        <v>50</v>
      </c>
      <c r="C120" s="21" t="s">
        <v>116</v>
      </c>
      <c r="D120" s="21" t="s">
        <v>242</v>
      </c>
      <c r="E120" s="21" t="s">
        <v>156</v>
      </c>
      <c r="F120" s="21" t="s">
        <v>560</v>
      </c>
    </row>
    <row r="121" spans="1:6">
      <c r="A121" s="21" t="s">
        <v>422</v>
      </c>
      <c r="B121" s="21" t="s">
        <v>61</v>
      </c>
      <c r="C121" s="21" t="s">
        <v>116</v>
      </c>
      <c r="D121" s="21" t="s">
        <v>423</v>
      </c>
      <c r="E121" s="21" t="s">
        <v>156</v>
      </c>
      <c r="F121" s="21" t="s">
        <v>560</v>
      </c>
    </row>
    <row r="122" spans="1:6">
      <c r="A122" s="21" t="s">
        <v>464</v>
      </c>
      <c r="B122" s="21" t="s">
        <v>61</v>
      </c>
      <c r="C122" s="21" t="s">
        <v>116</v>
      </c>
      <c r="D122" s="21" t="s">
        <v>136</v>
      </c>
      <c r="E122" s="21" t="s">
        <v>156</v>
      </c>
      <c r="F122" s="21" t="s">
        <v>560</v>
      </c>
    </row>
    <row r="123" spans="1:6">
      <c r="A123" s="21" t="s">
        <v>465</v>
      </c>
      <c r="B123" s="21" t="s">
        <v>61</v>
      </c>
      <c r="C123" s="21" t="s">
        <v>116</v>
      </c>
      <c r="D123" s="21" t="s">
        <v>136</v>
      </c>
      <c r="E123" s="21" t="s">
        <v>156</v>
      </c>
      <c r="F123" s="21" t="s">
        <v>560</v>
      </c>
    </row>
    <row r="124" spans="1:6">
      <c r="A124" s="21" t="s">
        <v>515</v>
      </c>
      <c r="B124" s="21" t="s">
        <v>50</v>
      </c>
      <c r="C124" s="21" t="s">
        <v>51</v>
      </c>
      <c r="D124" s="21" t="s">
        <v>516</v>
      </c>
      <c r="E124" s="21" t="s">
        <v>156</v>
      </c>
      <c r="F124" s="21" t="s">
        <v>560</v>
      </c>
    </row>
    <row r="125" spans="1:6">
      <c r="A125" s="21" t="s">
        <v>325</v>
      </c>
      <c r="B125" s="21" t="s">
        <v>50</v>
      </c>
      <c r="C125" s="21" t="s">
        <v>51</v>
      </c>
      <c r="D125" s="21" t="s">
        <v>326</v>
      </c>
      <c r="E125" s="21" t="s">
        <v>156</v>
      </c>
      <c r="F125" s="21" t="s">
        <v>560</v>
      </c>
    </row>
    <row r="126" spans="1:6">
      <c r="A126" s="21" t="s">
        <v>517</v>
      </c>
      <c r="B126" s="21" t="s">
        <v>61</v>
      </c>
      <c r="C126" s="21" t="s">
        <v>51</v>
      </c>
      <c r="D126" s="21" t="s">
        <v>83</v>
      </c>
      <c r="E126" s="21" t="s">
        <v>156</v>
      </c>
      <c r="F126" s="21" t="s">
        <v>560</v>
      </c>
    </row>
    <row r="127" spans="1:6">
      <c r="A127" s="21" t="s">
        <v>424</v>
      </c>
      <c r="B127" s="21" t="s">
        <v>61</v>
      </c>
      <c r="C127" s="21" t="s">
        <v>116</v>
      </c>
      <c r="D127" s="21" t="s">
        <v>425</v>
      </c>
      <c r="E127" s="21" t="s">
        <v>156</v>
      </c>
      <c r="F127" s="21" t="s">
        <v>560</v>
      </c>
    </row>
    <row r="128" spans="1:6">
      <c r="A128" s="21" t="s">
        <v>466</v>
      </c>
      <c r="B128" s="21" t="s">
        <v>61</v>
      </c>
      <c r="C128" s="21" t="s">
        <v>116</v>
      </c>
      <c r="D128" s="21" t="s">
        <v>242</v>
      </c>
      <c r="E128" s="21" t="s">
        <v>156</v>
      </c>
      <c r="F128" s="21" t="s">
        <v>560</v>
      </c>
    </row>
    <row r="129" spans="1:6">
      <c r="A129" s="21" t="s">
        <v>426</v>
      </c>
      <c r="B129" s="21" t="s">
        <v>61</v>
      </c>
      <c r="C129" s="21" t="s">
        <v>116</v>
      </c>
      <c r="D129" s="21" t="s">
        <v>174</v>
      </c>
      <c r="E129" s="21" t="s">
        <v>156</v>
      </c>
      <c r="F129" s="21" t="s">
        <v>560</v>
      </c>
    </row>
    <row r="130" spans="1:6">
      <c r="A130" s="21" t="s">
        <v>362</v>
      </c>
      <c r="B130" s="21" t="s">
        <v>61</v>
      </c>
      <c r="C130" s="21" t="s">
        <v>116</v>
      </c>
      <c r="D130" s="21" t="s">
        <v>163</v>
      </c>
      <c r="E130" s="21" t="s">
        <v>156</v>
      </c>
      <c r="F130" s="21" t="s">
        <v>560</v>
      </c>
    </row>
    <row r="131" spans="1:6">
      <c r="A131" s="21" t="s">
        <v>427</v>
      </c>
      <c r="B131" s="21" t="s">
        <v>61</v>
      </c>
      <c r="C131" s="21" t="s">
        <v>116</v>
      </c>
      <c r="D131" s="21" t="s">
        <v>174</v>
      </c>
      <c r="E131" s="21" t="s">
        <v>156</v>
      </c>
      <c r="F131" s="21" t="s">
        <v>560</v>
      </c>
    </row>
    <row r="132" spans="1:6">
      <c r="A132" s="21" t="s">
        <v>428</v>
      </c>
      <c r="B132" s="21" t="s">
        <v>61</v>
      </c>
      <c r="C132" s="21" t="s">
        <v>116</v>
      </c>
      <c r="D132" s="21" t="s">
        <v>174</v>
      </c>
      <c r="E132" s="21" t="s">
        <v>156</v>
      </c>
      <c r="F132" s="21" t="s">
        <v>560</v>
      </c>
    </row>
    <row r="133" spans="1:6">
      <c r="A133" s="21" t="s">
        <v>429</v>
      </c>
      <c r="B133" s="21" t="s">
        <v>61</v>
      </c>
      <c r="C133" s="21" t="s">
        <v>116</v>
      </c>
      <c r="D133" s="21" t="s">
        <v>174</v>
      </c>
      <c r="E133" s="21" t="s">
        <v>156</v>
      </c>
      <c r="F133" s="21" t="s">
        <v>560</v>
      </c>
    </row>
    <row r="134" spans="1:6">
      <c r="A134" s="21" t="s">
        <v>363</v>
      </c>
      <c r="B134" s="21" t="s">
        <v>50</v>
      </c>
      <c r="C134" s="21" t="s">
        <v>116</v>
      </c>
      <c r="D134" s="21" t="s">
        <v>163</v>
      </c>
      <c r="E134" s="21" t="s">
        <v>156</v>
      </c>
      <c r="F134" s="21" t="s">
        <v>560</v>
      </c>
    </row>
    <row r="135" spans="1:6">
      <c r="A135" s="21" t="s">
        <v>525</v>
      </c>
      <c r="B135" s="21" t="s">
        <v>61</v>
      </c>
      <c r="C135" s="21" t="s">
        <v>51</v>
      </c>
      <c r="D135" s="21" t="s">
        <v>526</v>
      </c>
      <c r="E135" s="21" t="s">
        <v>156</v>
      </c>
      <c r="F135" s="21" t="s">
        <v>560</v>
      </c>
    </row>
    <row r="136" spans="1:6">
      <c r="A136" s="21" t="s">
        <v>364</v>
      </c>
      <c r="B136" s="21" t="s">
        <v>61</v>
      </c>
      <c r="C136" s="21" t="s">
        <v>116</v>
      </c>
      <c r="D136" s="21" t="s">
        <v>163</v>
      </c>
      <c r="E136" s="21" t="s">
        <v>156</v>
      </c>
      <c r="F136" s="21" t="s">
        <v>560</v>
      </c>
    </row>
    <row r="137" spans="1:6">
      <c r="A137" s="21" t="s">
        <v>365</v>
      </c>
      <c r="B137" s="21" t="s">
        <v>61</v>
      </c>
      <c r="C137" s="21" t="s">
        <v>116</v>
      </c>
      <c r="D137" s="21" t="s">
        <v>163</v>
      </c>
      <c r="E137" s="21" t="s">
        <v>156</v>
      </c>
      <c r="F137" s="21" t="s">
        <v>560</v>
      </c>
    </row>
    <row r="138" spans="1:6">
      <c r="A138" s="21" t="s">
        <v>467</v>
      </c>
      <c r="B138" s="21" t="s">
        <v>61</v>
      </c>
      <c r="C138" s="21" t="s">
        <v>116</v>
      </c>
      <c r="D138" s="21" t="s">
        <v>242</v>
      </c>
      <c r="E138" s="21" t="s">
        <v>156</v>
      </c>
      <c r="F138" s="21" t="s">
        <v>560</v>
      </c>
    </row>
    <row r="139" spans="1:6">
      <c r="A139" s="21" t="s">
        <v>468</v>
      </c>
      <c r="B139" s="21" t="s">
        <v>61</v>
      </c>
      <c r="C139" s="21" t="s">
        <v>116</v>
      </c>
      <c r="D139" s="21" t="s">
        <v>153</v>
      </c>
      <c r="E139" s="21" t="s">
        <v>156</v>
      </c>
      <c r="F139" s="21" t="s">
        <v>560</v>
      </c>
    </row>
    <row r="140" spans="1:6">
      <c r="A140" s="21" t="s">
        <v>366</v>
      </c>
      <c r="B140" s="21" t="s">
        <v>61</v>
      </c>
      <c r="C140" s="21" t="s">
        <v>116</v>
      </c>
      <c r="D140" s="21" t="s">
        <v>163</v>
      </c>
      <c r="E140" s="21" t="s">
        <v>156</v>
      </c>
      <c r="F140" s="21" t="s">
        <v>560</v>
      </c>
    </row>
    <row r="141" spans="1:6">
      <c r="A141" s="21" t="s">
        <v>367</v>
      </c>
      <c r="B141" s="21" t="s">
        <v>50</v>
      </c>
      <c r="C141" s="21" t="s">
        <v>116</v>
      </c>
      <c r="D141" s="21" t="s">
        <v>163</v>
      </c>
      <c r="E141" s="21" t="s">
        <v>156</v>
      </c>
      <c r="F141" s="21" t="s">
        <v>560</v>
      </c>
    </row>
    <row r="142" spans="1:6">
      <c r="A142" s="21" t="s">
        <v>469</v>
      </c>
      <c r="B142" s="21" t="s">
        <v>61</v>
      </c>
      <c r="C142" s="21" t="s">
        <v>116</v>
      </c>
      <c r="D142" s="21" t="s">
        <v>153</v>
      </c>
      <c r="E142" s="21" t="s">
        <v>156</v>
      </c>
      <c r="F142" s="21" t="s">
        <v>560</v>
      </c>
    </row>
    <row r="143" spans="1:6">
      <c r="A143" s="21" t="s">
        <v>368</v>
      </c>
      <c r="B143" s="21" t="s">
        <v>61</v>
      </c>
      <c r="C143" s="21" t="s">
        <v>116</v>
      </c>
      <c r="D143" s="21" t="s">
        <v>163</v>
      </c>
      <c r="E143" s="21" t="s">
        <v>156</v>
      </c>
      <c r="F143" s="21" t="s">
        <v>560</v>
      </c>
    </row>
    <row r="144" spans="1:6">
      <c r="A144" s="21" t="s">
        <v>369</v>
      </c>
      <c r="B144" s="21" t="s">
        <v>61</v>
      </c>
      <c r="C144" s="21" t="s">
        <v>116</v>
      </c>
      <c r="D144" s="21" t="s">
        <v>163</v>
      </c>
      <c r="E144" s="21" t="s">
        <v>156</v>
      </c>
      <c r="F144" s="21" t="s">
        <v>560</v>
      </c>
    </row>
    <row r="145" spans="1:6">
      <c r="A145" s="21" t="s">
        <v>370</v>
      </c>
      <c r="B145" s="21" t="s">
        <v>61</v>
      </c>
      <c r="C145" s="21" t="s">
        <v>116</v>
      </c>
      <c r="D145" s="21" t="s">
        <v>163</v>
      </c>
      <c r="E145" s="21" t="s">
        <v>156</v>
      </c>
      <c r="F145" s="21" t="s">
        <v>560</v>
      </c>
    </row>
    <row r="146" spans="1:6">
      <c r="A146" s="21" t="s">
        <v>371</v>
      </c>
      <c r="B146" s="21" t="s">
        <v>61</v>
      </c>
      <c r="C146" s="21" t="s">
        <v>116</v>
      </c>
      <c r="D146" s="21" t="s">
        <v>163</v>
      </c>
      <c r="E146" s="21" t="s">
        <v>156</v>
      </c>
      <c r="F146" s="21" t="s">
        <v>560</v>
      </c>
    </row>
    <row r="147" spans="1:6">
      <c r="A147" s="21" t="s">
        <v>372</v>
      </c>
      <c r="B147" s="21" t="s">
        <v>61</v>
      </c>
      <c r="C147" s="21" t="s">
        <v>116</v>
      </c>
      <c r="D147" s="21" t="s">
        <v>163</v>
      </c>
      <c r="E147" s="21" t="s">
        <v>156</v>
      </c>
      <c r="F147" s="21" t="s">
        <v>560</v>
      </c>
    </row>
    <row r="148" spans="1:6">
      <c r="A148" s="21" t="s">
        <v>538</v>
      </c>
      <c r="B148" s="21" t="s">
        <v>61</v>
      </c>
      <c r="C148" s="21" t="s">
        <v>51</v>
      </c>
      <c r="D148" s="21" t="s">
        <v>114</v>
      </c>
      <c r="E148" s="21" t="s">
        <v>156</v>
      </c>
      <c r="F148" s="21" t="s">
        <v>560</v>
      </c>
    </row>
    <row r="149" spans="1:6">
      <c r="A149" s="21" t="s">
        <v>539</v>
      </c>
      <c r="B149" s="21" t="s">
        <v>61</v>
      </c>
      <c r="C149" s="21" t="s">
        <v>51</v>
      </c>
      <c r="D149" s="21" t="s">
        <v>114</v>
      </c>
      <c r="E149" s="21" t="s">
        <v>156</v>
      </c>
      <c r="F149" s="21" t="s">
        <v>560</v>
      </c>
    </row>
    <row r="150" spans="1:6">
      <c r="A150" s="21" t="s">
        <v>540</v>
      </c>
      <c r="B150" s="21" t="s">
        <v>61</v>
      </c>
      <c r="C150" s="21" t="s">
        <v>51</v>
      </c>
      <c r="D150" s="21" t="s">
        <v>114</v>
      </c>
      <c r="E150" s="21" t="s">
        <v>156</v>
      </c>
      <c r="F150" s="21" t="s">
        <v>560</v>
      </c>
    </row>
    <row r="151" spans="1:6">
      <c r="A151" s="21" t="s">
        <v>470</v>
      </c>
      <c r="B151" s="21" t="s">
        <v>61</v>
      </c>
      <c r="C151" s="21" t="s">
        <v>116</v>
      </c>
      <c r="D151" s="21" t="s">
        <v>136</v>
      </c>
      <c r="E151" s="21" t="s">
        <v>156</v>
      </c>
      <c r="F151" s="21" t="s">
        <v>560</v>
      </c>
    </row>
    <row r="152" spans="1:6">
      <c r="A152" s="21" t="s">
        <v>430</v>
      </c>
      <c r="B152" s="21" t="s">
        <v>61</v>
      </c>
      <c r="C152" s="21" t="s">
        <v>116</v>
      </c>
      <c r="D152" s="21" t="s">
        <v>174</v>
      </c>
      <c r="E152" s="21" t="s">
        <v>156</v>
      </c>
      <c r="F152" s="21" t="s">
        <v>560</v>
      </c>
    </row>
    <row r="153" spans="1:6">
      <c r="A153" s="21" t="s">
        <v>342</v>
      </c>
      <c r="B153" s="21" t="s">
        <v>61</v>
      </c>
      <c r="C153" s="21" t="s">
        <v>116</v>
      </c>
      <c r="D153" s="21" t="s">
        <v>341</v>
      </c>
      <c r="E153" s="21" t="s">
        <v>156</v>
      </c>
      <c r="F153" s="21" t="s">
        <v>560</v>
      </c>
    </row>
    <row r="154" spans="1:6">
      <c r="A154" s="21" t="s">
        <v>471</v>
      </c>
      <c r="B154" s="21" t="s">
        <v>61</v>
      </c>
      <c r="C154" s="21" t="s">
        <v>116</v>
      </c>
      <c r="D154" s="21" t="s">
        <v>242</v>
      </c>
      <c r="E154" s="21" t="s">
        <v>156</v>
      </c>
      <c r="F154" s="21" t="s">
        <v>560</v>
      </c>
    </row>
    <row r="155" spans="1:6">
      <c r="A155" s="21" t="s">
        <v>472</v>
      </c>
      <c r="B155" s="21" t="s">
        <v>61</v>
      </c>
      <c r="C155" s="21" t="s">
        <v>116</v>
      </c>
      <c r="D155" s="21" t="s">
        <v>242</v>
      </c>
      <c r="E155" s="21" t="s">
        <v>156</v>
      </c>
      <c r="F155" s="21" t="s">
        <v>560</v>
      </c>
    </row>
    <row r="156" spans="1:6">
      <c r="A156" s="21" t="s">
        <v>473</v>
      </c>
      <c r="B156" s="21" t="s">
        <v>61</v>
      </c>
      <c r="C156" s="21" t="s">
        <v>116</v>
      </c>
      <c r="D156" s="21" t="s">
        <v>242</v>
      </c>
      <c r="E156" s="21" t="s">
        <v>156</v>
      </c>
      <c r="F156" s="21" t="s">
        <v>560</v>
      </c>
    </row>
    <row r="157" spans="1:6">
      <c r="A157" s="21" t="s">
        <v>474</v>
      </c>
      <c r="B157" s="21" t="s">
        <v>61</v>
      </c>
      <c r="C157" s="21" t="s">
        <v>116</v>
      </c>
      <c r="D157" s="21" t="s">
        <v>242</v>
      </c>
      <c r="E157" s="21" t="s">
        <v>156</v>
      </c>
      <c r="F157" s="21" t="s">
        <v>560</v>
      </c>
    </row>
    <row r="158" spans="1:6">
      <c r="A158" s="21" t="s">
        <v>475</v>
      </c>
      <c r="B158" s="21" t="s">
        <v>61</v>
      </c>
      <c r="C158" s="21" t="s">
        <v>116</v>
      </c>
      <c r="D158" s="21" t="s">
        <v>242</v>
      </c>
      <c r="E158" s="21" t="s">
        <v>156</v>
      </c>
      <c r="F158" s="21" t="s">
        <v>560</v>
      </c>
    </row>
    <row r="159" spans="1:6">
      <c r="A159" s="21" t="s">
        <v>476</v>
      </c>
      <c r="B159" s="21" t="s">
        <v>61</v>
      </c>
      <c r="C159" s="21" t="s">
        <v>116</v>
      </c>
      <c r="D159" s="21" t="s">
        <v>242</v>
      </c>
      <c r="E159" s="21" t="s">
        <v>156</v>
      </c>
      <c r="F159" s="21" t="s">
        <v>560</v>
      </c>
    </row>
    <row r="160" spans="1:6">
      <c r="A160" s="21" t="s">
        <v>477</v>
      </c>
      <c r="B160" s="21" t="s">
        <v>61</v>
      </c>
      <c r="C160" s="21" t="s">
        <v>116</v>
      </c>
      <c r="D160" s="21" t="s">
        <v>242</v>
      </c>
      <c r="E160" s="21" t="s">
        <v>156</v>
      </c>
      <c r="F160" s="21" t="s">
        <v>560</v>
      </c>
    </row>
    <row r="161" spans="1:6">
      <c r="A161" s="21" t="s">
        <v>478</v>
      </c>
      <c r="B161" s="21" t="s">
        <v>61</v>
      </c>
      <c r="C161" s="21" t="s">
        <v>116</v>
      </c>
      <c r="D161" s="21" t="s">
        <v>242</v>
      </c>
      <c r="E161" s="21" t="s">
        <v>156</v>
      </c>
      <c r="F161" s="21" t="s">
        <v>560</v>
      </c>
    </row>
    <row r="162" spans="1:6">
      <c r="A162" s="21" t="s">
        <v>373</v>
      </c>
      <c r="B162" s="21" t="s">
        <v>61</v>
      </c>
      <c r="C162" s="21" t="s">
        <v>116</v>
      </c>
      <c r="D162" s="21" t="s">
        <v>163</v>
      </c>
      <c r="E162" s="21" t="s">
        <v>156</v>
      </c>
      <c r="F162" s="21" t="s">
        <v>560</v>
      </c>
    </row>
    <row r="163" spans="1:6">
      <c r="A163" s="21" t="s">
        <v>374</v>
      </c>
      <c r="B163" s="21" t="s">
        <v>61</v>
      </c>
      <c r="C163" s="21" t="s">
        <v>116</v>
      </c>
      <c r="D163" s="21" t="s">
        <v>163</v>
      </c>
      <c r="E163" s="21" t="s">
        <v>156</v>
      </c>
      <c r="F163" s="21" t="s">
        <v>560</v>
      </c>
    </row>
    <row r="164" spans="1:6">
      <c r="A164" s="21" t="s">
        <v>375</v>
      </c>
      <c r="B164" s="21" t="s">
        <v>61</v>
      </c>
      <c r="C164" s="21" t="s">
        <v>116</v>
      </c>
      <c r="D164" s="21" t="s">
        <v>163</v>
      </c>
      <c r="E164" s="21" t="s">
        <v>156</v>
      </c>
      <c r="F164" s="21" t="s">
        <v>560</v>
      </c>
    </row>
    <row r="165" spans="1:6">
      <c r="A165" s="21" t="s">
        <v>479</v>
      </c>
      <c r="B165" s="21" t="s">
        <v>61</v>
      </c>
      <c r="C165" s="21" t="s">
        <v>116</v>
      </c>
      <c r="D165" s="21" t="s">
        <v>136</v>
      </c>
      <c r="E165" s="21" t="s">
        <v>156</v>
      </c>
      <c r="F165" s="21" t="s">
        <v>560</v>
      </c>
    </row>
    <row r="166" spans="1:6">
      <c r="A166" s="21" t="s">
        <v>245</v>
      </c>
      <c r="B166" s="21" t="s">
        <v>50</v>
      </c>
      <c r="C166" s="21" t="s">
        <v>116</v>
      </c>
      <c r="D166" s="21" t="s">
        <v>242</v>
      </c>
      <c r="E166" s="21" t="s">
        <v>156</v>
      </c>
      <c r="F166" s="21" t="s">
        <v>560</v>
      </c>
    </row>
    <row r="167" spans="1:6">
      <c r="A167" s="21" t="s">
        <v>480</v>
      </c>
      <c r="B167" s="21" t="s">
        <v>61</v>
      </c>
      <c r="C167" s="21" t="s">
        <v>116</v>
      </c>
      <c r="D167" s="21" t="s">
        <v>242</v>
      </c>
      <c r="E167" s="21" t="s">
        <v>156</v>
      </c>
      <c r="F167" s="21" t="s">
        <v>560</v>
      </c>
    </row>
    <row r="168" spans="1:6">
      <c r="A168" s="21" t="s">
        <v>481</v>
      </c>
      <c r="B168" s="21" t="s">
        <v>61</v>
      </c>
      <c r="C168" s="21" t="s">
        <v>116</v>
      </c>
      <c r="D168" s="21" t="s">
        <v>242</v>
      </c>
      <c r="E168" s="21" t="s">
        <v>156</v>
      </c>
      <c r="F168" s="21" t="s">
        <v>560</v>
      </c>
    </row>
    <row r="169" spans="1:6">
      <c r="A169" s="21" t="s">
        <v>332</v>
      </c>
      <c r="B169" s="21" t="s">
        <v>61</v>
      </c>
      <c r="C169" s="21" t="s">
        <v>51</v>
      </c>
      <c r="D169" s="21" t="s">
        <v>567</v>
      </c>
      <c r="E169" s="21" t="s">
        <v>156</v>
      </c>
      <c r="F169" s="21" t="s">
        <v>560</v>
      </c>
    </row>
    <row r="170" spans="1:6">
      <c r="A170" s="21" t="s">
        <v>482</v>
      </c>
      <c r="B170" s="21" t="s">
        <v>61</v>
      </c>
      <c r="C170" s="21" t="s">
        <v>116</v>
      </c>
      <c r="D170" s="21" t="s">
        <v>141</v>
      </c>
      <c r="E170" s="21" t="s">
        <v>156</v>
      </c>
      <c r="F170" s="21" t="s">
        <v>560</v>
      </c>
    </row>
    <row r="171" spans="1:6">
      <c r="A171" s="21" t="s">
        <v>431</v>
      </c>
      <c r="B171" s="21" t="s">
        <v>61</v>
      </c>
      <c r="C171" s="21" t="s">
        <v>116</v>
      </c>
      <c r="D171" s="21" t="s">
        <v>136</v>
      </c>
      <c r="E171" s="21" t="s">
        <v>156</v>
      </c>
      <c r="F171" s="21" t="s">
        <v>560</v>
      </c>
    </row>
    <row r="172" spans="1:6">
      <c r="A172" s="21" t="s">
        <v>376</v>
      </c>
      <c r="B172" s="21" t="s">
        <v>61</v>
      </c>
      <c r="C172" s="21" t="s">
        <v>116</v>
      </c>
      <c r="D172" s="21" t="s">
        <v>163</v>
      </c>
      <c r="E172" s="21" t="s">
        <v>156</v>
      </c>
      <c r="F172" s="21" t="s">
        <v>560</v>
      </c>
    </row>
    <row r="173" spans="1:6">
      <c r="A173" s="21" t="s">
        <v>377</v>
      </c>
      <c r="B173" s="21" t="s">
        <v>61</v>
      </c>
      <c r="C173" s="21" t="s">
        <v>116</v>
      </c>
      <c r="D173" s="21" t="s">
        <v>163</v>
      </c>
      <c r="E173" s="21" t="s">
        <v>156</v>
      </c>
      <c r="F173" s="21" t="s">
        <v>560</v>
      </c>
    </row>
    <row r="174" spans="1:6">
      <c r="A174" s="21" t="s">
        <v>378</v>
      </c>
      <c r="B174" s="21" t="s">
        <v>61</v>
      </c>
      <c r="C174" s="21" t="s">
        <v>116</v>
      </c>
      <c r="D174" s="21" t="s">
        <v>163</v>
      </c>
      <c r="E174" s="21" t="s">
        <v>156</v>
      </c>
      <c r="F174" s="21" t="s">
        <v>560</v>
      </c>
    </row>
    <row r="175" spans="1:6">
      <c r="A175" s="21" t="s">
        <v>379</v>
      </c>
      <c r="B175" s="21" t="s">
        <v>61</v>
      </c>
      <c r="C175" s="21" t="s">
        <v>116</v>
      </c>
      <c r="D175" s="21" t="s">
        <v>163</v>
      </c>
      <c r="E175" s="21" t="s">
        <v>156</v>
      </c>
      <c r="F175" s="21" t="s">
        <v>560</v>
      </c>
    </row>
    <row r="176" spans="1:6">
      <c r="A176" s="21" t="s">
        <v>483</v>
      </c>
      <c r="B176" s="21" t="s">
        <v>61</v>
      </c>
      <c r="C176" s="21" t="s">
        <v>116</v>
      </c>
      <c r="D176" s="21" t="s">
        <v>242</v>
      </c>
      <c r="E176" s="21" t="s">
        <v>156</v>
      </c>
      <c r="F176" s="21" t="s">
        <v>560</v>
      </c>
    </row>
    <row r="177" spans="1:6">
      <c r="A177" s="21" t="s">
        <v>380</v>
      </c>
      <c r="B177" s="21" t="s">
        <v>61</v>
      </c>
      <c r="C177" s="21" t="s">
        <v>116</v>
      </c>
      <c r="D177" s="21" t="s">
        <v>163</v>
      </c>
      <c r="E177" s="21" t="s">
        <v>156</v>
      </c>
      <c r="F177" s="21" t="s">
        <v>560</v>
      </c>
    </row>
    <row r="178" spans="1:6">
      <c r="A178" s="21" t="s">
        <v>381</v>
      </c>
      <c r="B178" s="21" t="s">
        <v>61</v>
      </c>
      <c r="C178" s="21" t="s">
        <v>116</v>
      </c>
      <c r="D178" s="21" t="s">
        <v>163</v>
      </c>
      <c r="E178" s="21" t="s">
        <v>156</v>
      </c>
      <c r="F178" s="21" t="s">
        <v>560</v>
      </c>
    </row>
    <row r="179" spans="1:6">
      <c r="A179" s="21" t="s">
        <v>432</v>
      </c>
      <c r="B179" s="21" t="s">
        <v>61</v>
      </c>
      <c r="C179" s="21" t="s">
        <v>116</v>
      </c>
      <c r="D179" s="21" t="s">
        <v>174</v>
      </c>
      <c r="E179" s="21" t="s">
        <v>156</v>
      </c>
      <c r="F179" s="21" t="s">
        <v>560</v>
      </c>
    </row>
    <row r="180" spans="1:6">
      <c r="A180" s="21" t="s">
        <v>484</v>
      </c>
      <c r="B180" s="21" t="s">
        <v>61</v>
      </c>
      <c r="C180" s="21" t="s">
        <v>116</v>
      </c>
      <c r="D180" s="21" t="s">
        <v>242</v>
      </c>
      <c r="E180" s="21" t="s">
        <v>156</v>
      </c>
      <c r="F180" s="21" t="s">
        <v>560</v>
      </c>
    </row>
    <row r="181" spans="1:6">
      <c r="A181" s="21" t="s">
        <v>382</v>
      </c>
      <c r="B181" s="21" t="s">
        <v>61</v>
      </c>
      <c r="C181" s="21" t="s">
        <v>116</v>
      </c>
      <c r="D181" s="21" t="s">
        <v>163</v>
      </c>
      <c r="E181" s="21" t="s">
        <v>156</v>
      </c>
      <c r="F181" s="21" t="s">
        <v>560</v>
      </c>
    </row>
    <row r="182" spans="1:6">
      <c r="A182" s="21" t="s">
        <v>433</v>
      </c>
      <c r="B182" s="21" t="s">
        <v>61</v>
      </c>
      <c r="C182" s="21" t="s">
        <v>116</v>
      </c>
      <c r="D182" s="21" t="s">
        <v>174</v>
      </c>
      <c r="E182" s="21" t="s">
        <v>156</v>
      </c>
      <c r="F182" s="21" t="s">
        <v>560</v>
      </c>
    </row>
    <row r="183" spans="1:6">
      <c r="A183" s="21" t="s">
        <v>383</v>
      </c>
      <c r="B183" s="21" t="s">
        <v>61</v>
      </c>
      <c r="C183" s="21" t="s">
        <v>116</v>
      </c>
      <c r="D183" s="21" t="s">
        <v>163</v>
      </c>
      <c r="E183" s="21" t="s">
        <v>156</v>
      </c>
      <c r="F183" s="21" t="s">
        <v>560</v>
      </c>
    </row>
    <row r="184" spans="1:6">
      <c r="A184" s="21" t="s">
        <v>335</v>
      </c>
      <c r="B184" s="21" t="s">
        <v>61</v>
      </c>
      <c r="C184" s="21" t="s">
        <v>51</v>
      </c>
      <c r="D184" s="21" t="s">
        <v>158</v>
      </c>
      <c r="E184" s="21" t="s">
        <v>156</v>
      </c>
      <c r="F184" s="21" t="s">
        <v>560</v>
      </c>
    </row>
    <row r="185" spans="1:6">
      <c r="A185" s="21" t="s">
        <v>434</v>
      </c>
      <c r="B185" s="21" t="s">
        <v>61</v>
      </c>
      <c r="C185" s="21" t="s">
        <v>116</v>
      </c>
      <c r="D185" s="21" t="s">
        <v>174</v>
      </c>
      <c r="E185" s="21" t="s">
        <v>156</v>
      </c>
      <c r="F185" s="21" t="s">
        <v>560</v>
      </c>
    </row>
    <row r="186" spans="1:6">
      <c r="A186" s="21" t="s">
        <v>435</v>
      </c>
      <c r="B186" s="21" t="s">
        <v>61</v>
      </c>
      <c r="C186" s="21" t="s">
        <v>116</v>
      </c>
      <c r="D186" s="21" t="s">
        <v>174</v>
      </c>
      <c r="E186" s="21" t="s">
        <v>156</v>
      </c>
      <c r="F186" s="21" t="s">
        <v>560</v>
      </c>
    </row>
    <row r="187" spans="1:6">
      <c r="A187" s="21" t="s">
        <v>384</v>
      </c>
      <c r="B187" s="21" t="s">
        <v>61</v>
      </c>
      <c r="C187" s="21" t="s">
        <v>116</v>
      </c>
      <c r="D187" s="21" t="s">
        <v>163</v>
      </c>
      <c r="E187" s="21" t="s">
        <v>156</v>
      </c>
      <c r="F187" s="21" t="s">
        <v>560</v>
      </c>
    </row>
    <row r="188" spans="1:6">
      <c r="A188" s="21" t="s">
        <v>436</v>
      </c>
      <c r="B188" s="21" t="s">
        <v>61</v>
      </c>
      <c r="C188" s="21" t="s">
        <v>116</v>
      </c>
      <c r="D188" s="21" t="s">
        <v>174</v>
      </c>
      <c r="E188" s="21" t="s">
        <v>156</v>
      </c>
      <c r="F188" s="21" t="s">
        <v>560</v>
      </c>
    </row>
    <row r="189" spans="1:6">
      <c r="A189" s="21" t="s">
        <v>541</v>
      </c>
      <c r="B189" s="21" t="s">
        <v>61</v>
      </c>
      <c r="C189" s="21" t="s">
        <v>51</v>
      </c>
      <c r="D189" s="21" t="s">
        <v>114</v>
      </c>
      <c r="E189" s="21" t="s">
        <v>156</v>
      </c>
      <c r="F189" s="21" t="s">
        <v>560</v>
      </c>
    </row>
    <row r="190" spans="1:6">
      <c r="A190" s="21" t="s">
        <v>485</v>
      </c>
      <c r="B190" s="21" t="s">
        <v>61</v>
      </c>
      <c r="C190" s="21" t="s">
        <v>116</v>
      </c>
      <c r="D190" s="21" t="s">
        <v>242</v>
      </c>
      <c r="E190" s="21" t="s">
        <v>156</v>
      </c>
      <c r="F190" s="21" t="s">
        <v>560</v>
      </c>
    </row>
    <row r="191" spans="1:6">
      <c r="A191" s="21" t="s">
        <v>385</v>
      </c>
      <c r="B191" s="21" t="s">
        <v>50</v>
      </c>
      <c r="C191" s="21" t="s">
        <v>116</v>
      </c>
      <c r="D191" s="21" t="s">
        <v>163</v>
      </c>
      <c r="E191" s="21" t="s">
        <v>156</v>
      </c>
      <c r="F191" s="21" t="s">
        <v>560</v>
      </c>
    </row>
    <row r="192" spans="1:6">
      <c r="A192" s="21" t="s">
        <v>486</v>
      </c>
      <c r="B192" s="21" t="s">
        <v>61</v>
      </c>
      <c r="C192" s="21" t="s">
        <v>116</v>
      </c>
      <c r="D192" s="21" t="s">
        <v>136</v>
      </c>
      <c r="E192" s="21" t="s">
        <v>156</v>
      </c>
      <c r="F192" s="21" t="s">
        <v>560</v>
      </c>
    </row>
    <row r="193" spans="1:6">
      <c r="A193" s="21" t="s">
        <v>386</v>
      </c>
      <c r="B193" s="21" t="s">
        <v>61</v>
      </c>
      <c r="C193" s="21" t="s">
        <v>116</v>
      </c>
      <c r="D193" s="21" t="s">
        <v>163</v>
      </c>
      <c r="E193" s="21" t="s">
        <v>156</v>
      </c>
      <c r="F193" s="21" t="s">
        <v>560</v>
      </c>
    </row>
    <row r="194" spans="1:6">
      <c r="A194" s="21" t="s">
        <v>542</v>
      </c>
      <c r="B194" s="21" t="s">
        <v>61</v>
      </c>
      <c r="C194" s="21" t="s">
        <v>51</v>
      </c>
      <c r="D194" s="21" t="s">
        <v>114</v>
      </c>
      <c r="E194" s="21" t="s">
        <v>156</v>
      </c>
      <c r="F194" s="21" t="s">
        <v>560</v>
      </c>
    </row>
    <row r="195" spans="1:6">
      <c r="A195" s="21" t="s">
        <v>543</v>
      </c>
      <c r="B195" s="21" t="s">
        <v>61</v>
      </c>
      <c r="C195" s="21" t="s">
        <v>51</v>
      </c>
      <c r="D195" s="21" t="s">
        <v>114</v>
      </c>
      <c r="E195" s="21" t="s">
        <v>156</v>
      </c>
      <c r="F195" s="21" t="s">
        <v>560</v>
      </c>
    </row>
    <row r="196" spans="1:6">
      <c r="A196" s="21" t="s">
        <v>544</v>
      </c>
      <c r="B196" s="21" t="s">
        <v>61</v>
      </c>
      <c r="C196" s="21" t="s">
        <v>51</v>
      </c>
      <c r="D196" s="21" t="s">
        <v>114</v>
      </c>
      <c r="E196" s="21" t="s">
        <v>156</v>
      </c>
      <c r="F196" s="21" t="s">
        <v>560</v>
      </c>
    </row>
    <row r="197" spans="1:6">
      <c r="A197" s="21" t="s">
        <v>545</v>
      </c>
      <c r="B197" s="21" t="s">
        <v>61</v>
      </c>
      <c r="C197" s="21" t="s">
        <v>51</v>
      </c>
      <c r="D197" s="21" t="s">
        <v>114</v>
      </c>
      <c r="E197" s="21" t="s">
        <v>156</v>
      </c>
      <c r="F197" s="21" t="s">
        <v>560</v>
      </c>
    </row>
    <row r="198" spans="1:6">
      <c r="A198" s="21" t="s">
        <v>487</v>
      </c>
      <c r="B198" s="21" t="s">
        <v>61</v>
      </c>
      <c r="C198" s="21" t="s">
        <v>116</v>
      </c>
      <c r="D198" s="21" t="s">
        <v>136</v>
      </c>
      <c r="E198" s="21" t="s">
        <v>156</v>
      </c>
      <c r="F198" s="21" t="s">
        <v>560</v>
      </c>
    </row>
    <row r="199" spans="1:6">
      <c r="A199" s="21" t="s">
        <v>437</v>
      </c>
      <c r="B199" s="21" t="s">
        <v>61</v>
      </c>
      <c r="C199" s="21" t="s">
        <v>116</v>
      </c>
      <c r="D199" s="21" t="s">
        <v>174</v>
      </c>
      <c r="E199" s="21" t="s">
        <v>156</v>
      </c>
      <c r="F199" s="21" t="s">
        <v>560</v>
      </c>
    </row>
    <row r="200" spans="1:6">
      <c r="A200" s="21" t="s">
        <v>488</v>
      </c>
      <c r="B200" s="21" t="s">
        <v>61</v>
      </c>
      <c r="C200" s="21" t="s">
        <v>116</v>
      </c>
      <c r="D200" s="21" t="s">
        <v>242</v>
      </c>
      <c r="E200" s="21" t="s">
        <v>156</v>
      </c>
      <c r="F200" s="21" t="s">
        <v>560</v>
      </c>
    </row>
    <row r="201" spans="1:6">
      <c r="A201" s="21" t="s">
        <v>489</v>
      </c>
      <c r="B201" s="21" t="s">
        <v>61</v>
      </c>
      <c r="C201" s="21" t="s">
        <v>116</v>
      </c>
      <c r="D201" s="21" t="s">
        <v>242</v>
      </c>
      <c r="E201" s="21" t="s">
        <v>156</v>
      </c>
      <c r="F201" s="21" t="s">
        <v>560</v>
      </c>
    </row>
    <row r="202" spans="1:6">
      <c r="A202" s="21" t="s">
        <v>546</v>
      </c>
      <c r="B202" s="21" t="s">
        <v>61</v>
      </c>
      <c r="C202" s="21" t="s">
        <v>51</v>
      </c>
      <c r="D202" s="21" t="s">
        <v>114</v>
      </c>
      <c r="E202" s="21" t="s">
        <v>156</v>
      </c>
      <c r="F202" s="21" t="s">
        <v>560</v>
      </c>
    </row>
    <row r="203" spans="1:6">
      <c r="A203" s="21" t="s">
        <v>387</v>
      </c>
      <c r="B203" s="21" t="s">
        <v>61</v>
      </c>
      <c r="C203" s="21" t="s">
        <v>116</v>
      </c>
      <c r="D203" s="21" t="s">
        <v>163</v>
      </c>
      <c r="E203" s="21" t="s">
        <v>156</v>
      </c>
      <c r="F203" s="21" t="s">
        <v>560</v>
      </c>
    </row>
    <row r="204" spans="1:6">
      <c r="A204" s="21" t="s">
        <v>438</v>
      </c>
      <c r="B204" s="21" t="s">
        <v>61</v>
      </c>
      <c r="C204" s="21" t="s">
        <v>116</v>
      </c>
      <c r="D204" s="21" t="s">
        <v>174</v>
      </c>
      <c r="E204" s="21" t="s">
        <v>156</v>
      </c>
      <c r="F204" s="21" t="s">
        <v>560</v>
      </c>
    </row>
    <row r="205" spans="1:6">
      <c r="A205" s="21" t="s">
        <v>439</v>
      </c>
      <c r="B205" s="21" t="s">
        <v>61</v>
      </c>
      <c r="C205" s="21" t="s">
        <v>116</v>
      </c>
      <c r="D205" s="21" t="s">
        <v>174</v>
      </c>
      <c r="E205" s="21" t="s">
        <v>156</v>
      </c>
      <c r="F205" s="21" t="s">
        <v>560</v>
      </c>
    </row>
    <row r="206" spans="1:6">
      <c r="A206" s="21" t="s">
        <v>440</v>
      </c>
      <c r="B206" s="21" t="s">
        <v>61</v>
      </c>
      <c r="C206" s="21" t="s">
        <v>116</v>
      </c>
      <c r="D206" s="21" t="s">
        <v>174</v>
      </c>
      <c r="E206" s="21" t="s">
        <v>156</v>
      </c>
      <c r="F206" s="21" t="s">
        <v>560</v>
      </c>
    </row>
    <row r="207" spans="1:6">
      <c r="A207" s="21" t="s">
        <v>441</v>
      </c>
      <c r="B207" s="21" t="s">
        <v>61</v>
      </c>
      <c r="C207" s="21" t="s">
        <v>116</v>
      </c>
      <c r="D207" s="21" t="s">
        <v>174</v>
      </c>
      <c r="E207" s="21" t="s">
        <v>156</v>
      </c>
      <c r="F207" s="21" t="s">
        <v>560</v>
      </c>
    </row>
    <row r="208" spans="1:6">
      <c r="A208" s="21" t="s">
        <v>388</v>
      </c>
      <c r="B208" s="21" t="s">
        <v>61</v>
      </c>
      <c r="C208" s="21" t="s">
        <v>116</v>
      </c>
      <c r="D208" s="21" t="s">
        <v>163</v>
      </c>
      <c r="E208" s="21" t="s">
        <v>156</v>
      </c>
      <c r="F208" s="21" t="s">
        <v>560</v>
      </c>
    </row>
    <row r="209" spans="1:6">
      <c r="A209" s="21" t="s">
        <v>389</v>
      </c>
      <c r="B209" s="21" t="s">
        <v>61</v>
      </c>
      <c r="C209" s="21" t="s">
        <v>116</v>
      </c>
      <c r="D209" s="21" t="s">
        <v>163</v>
      </c>
      <c r="E209" s="21" t="s">
        <v>156</v>
      </c>
      <c r="F209" s="21" t="s">
        <v>560</v>
      </c>
    </row>
    <row r="210" spans="1:6">
      <c r="A210" s="21" t="s">
        <v>491</v>
      </c>
      <c r="B210" s="21" t="s">
        <v>61</v>
      </c>
      <c r="C210" s="21" t="s">
        <v>116</v>
      </c>
      <c r="D210" s="21" t="s">
        <v>242</v>
      </c>
      <c r="E210" s="21" t="s">
        <v>156</v>
      </c>
      <c r="F210" s="21" t="s">
        <v>560</v>
      </c>
    </row>
    <row r="211" spans="1:6">
      <c r="A211" s="21" t="s">
        <v>492</v>
      </c>
      <c r="B211" s="21" t="s">
        <v>61</v>
      </c>
      <c r="C211" s="21" t="s">
        <v>116</v>
      </c>
      <c r="D211" s="21" t="s">
        <v>136</v>
      </c>
      <c r="E211" s="21" t="s">
        <v>156</v>
      </c>
      <c r="F211" s="21" t="s">
        <v>560</v>
      </c>
    </row>
    <row r="212" spans="1:6">
      <c r="A212" s="21" t="s">
        <v>442</v>
      </c>
      <c r="B212" s="21" t="s">
        <v>61</v>
      </c>
      <c r="C212" s="21" t="s">
        <v>116</v>
      </c>
      <c r="D212" s="21" t="s">
        <v>174</v>
      </c>
      <c r="E212" s="21" t="s">
        <v>156</v>
      </c>
      <c r="F212" s="21" t="s">
        <v>560</v>
      </c>
    </row>
    <row r="213" spans="1:6">
      <c r="A213" s="21" t="s">
        <v>390</v>
      </c>
      <c r="B213" s="21" t="s">
        <v>61</v>
      </c>
      <c r="C213" s="21" t="s">
        <v>116</v>
      </c>
      <c r="D213" s="21" t="s">
        <v>174</v>
      </c>
      <c r="E213" s="21" t="s">
        <v>156</v>
      </c>
      <c r="F213" s="21" t="s">
        <v>560</v>
      </c>
    </row>
    <row r="214" spans="1:6">
      <c r="A214" s="21" t="s">
        <v>338</v>
      </c>
      <c r="B214" s="21" t="s">
        <v>61</v>
      </c>
      <c r="C214" s="21" t="s">
        <v>116</v>
      </c>
      <c r="D214" s="21" t="s">
        <v>337</v>
      </c>
      <c r="E214" s="21" t="s">
        <v>156</v>
      </c>
      <c r="F214" s="21" t="s">
        <v>560</v>
      </c>
    </row>
    <row r="215" spans="1:6">
      <c r="A215" s="21" t="s">
        <v>493</v>
      </c>
      <c r="B215" s="21" t="s">
        <v>61</v>
      </c>
      <c r="C215" s="21" t="s">
        <v>116</v>
      </c>
      <c r="D215" s="21" t="s">
        <v>136</v>
      </c>
      <c r="E215" s="21" t="s">
        <v>156</v>
      </c>
      <c r="F215" s="21" t="s">
        <v>560</v>
      </c>
    </row>
    <row r="216" spans="1:6">
      <c r="A216" s="21" t="s">
        <v>391</v>
      </c>
      <c r="B216" s="21" t="s">
        <v>61</v>
      </c>
      <c r="C216" s="21" t="s">
        <v>116</v>
      </c>
      <c r="D216" s="21" t="s">
        <v>163</v>
      </c>
      <c r="E216" s="21" t="s">
        <v>156</v>
      </c>
      <c r="F216" s="21" t="s">
        <v>560</v>
      </c>
    </row>
    <row r="217" spans="1:6">
      <c r="A217" s="21" t="s">
        <v>392</v>
      </c>
      <c r="B217" s="21" t="s">
        <v>61</v>
      </c>
      <c r="C217" s="21" t="s">
        <v>116</v>
      </c>
      <c r="D217" s="21" t="s">
        <v>163</v>
      </c>
      <c r="E217" s="21" t="s">
        <v>156</v>
      </c>
      <c r="F217" s="21" t="s">
        <v>560</v>
      </c>
    </row>
    <row r="218" spans="1:6">
      <c r="A218" s="21" t="s">
        <v>494</v>
      </c>
      <c r="B218" s="21" t="s">
        <v>61</v>
      </c>
      <c r="C218" s="21" t="s">
        <v>116</v>
      </c>
      <c r="D218" s="21" t="s">
        <v>242</v>
      </c>
      <c r="E218" s="21" t="s">
        <v>156</v>
      </c>
      <c r="F218" s="21" t="s">
        <v>560</v>
      </c>
    </row>
    <row r="219" spans="1:6">
      <c r="A219" s="21" t="s">
        <v>495</v>
      </c>
      <c r="B219" s="21" t="s">
        <v>61</v>
      </c>
      <c r="C219" s="21" t="s">
        <v>116</v>
      </c>
      <c r="D219" s="21" t="s">
        <v>242</v>
      </c>
      <c r="E219" s="21" t="s">
        <v>156</v>
      </c>
      <c r="F219" s="21" t="s">
        <v>560</v>
      </c>
    </row>
    <row r="220" spans="1:6">
      <c r="A220" s="21" t="s">
        <v>547</v>
      </c>
      <c r="B220" s="21" t="s">
        <v>61</v>
      </c>
      <c r="C220" s="21" t="s">
        <v>51</v>
      </c>
      <c r="D220" s="21" t="s">
        <v>114</v>
      </c>
      <c r="E220" s="21" t="s">
        <v>156</v>
      </c>
      <c r="F220" s="21" t="s">
        <v>560</v>
      </c>
    </row>
    <row r="221" spans="1:6">
      <c r="A221" s="21" t="s">
        <v>496</v>
      </c>
      <c r="B221" s="21" t="s">
        <v>61</v>
      </c>
      <c r="C221" s="21" t="s">
        <v>116</v>
      </c>
      <c r="D221" s="21" t="s">
        <v>242</v>
      </c>
      <c r="E221" s="21" t="s">
        <v>156</v>
      </c>
      <c r="F221" s="21" t="s">
        <v>560</v>
      </c>
    </row>
    <row r="222" spans="1:6">
      <c r="A222" s="21" t="s">
        <v>554</v>
      </c>
      <c r="B222" s="21" t="s">
        <v>61</v>
      </c>
      <c r="C222" s="21" t="s">
        <v>51</v>
      </c>
      <c r="D222" s="21" t="s">
        <v>555</v>
      </c>
      <c r="E222" s="21" t="s">
        <v>156</v>
      </c>
      <c r="F222" s="21" t="s">
        <v>560</v>
      </c>
    </row>
    <row r="223" spans="1:6">
      <c r="A223" s="21" t="s">
        <v>534</v>
      </c>
      <c r="B223" s="21" t="s">
        <v>61</v>
      </c>
      <c r="C223" s="21" t="s">
        <v>51</v>
      </c>
      <c r="D223" s="21" t="s">
        <v>276</v>
      </c>
      <c r="E223" s="21" t="s">
        <v>156</v>
      </c>
      <c r="F223" s="21" t="s">
        <v>560</v>
      </c>
    </row>
    <row r="224" spans="1:6">
      <c r="A224" s="21" t="s">
        <v>535</v>
      </c>
      <c r="B224" s="21" t="s">
        <v>61</v>
      </c>
      <c r="C224" s="21" t="s">
        <v>51</v>
      </c>
      <c r="D224" s="21" t="s">
        <v>276</v>
      </c>
      <c r="E224" s="21" t="s">
        <v>156</v>
      </c>
      <c r="F224" s="21" t="s">
        <v>560</v>
      </c>
    </row>
    <row r="225" spans="1:6">
      <c r="A225" s="21" t="s">
        <v>536</v>
      </c>
      <c r="B225" s="21" t="s">
        <v>61</v>
      </c>
      <c r="C225" s="21" t="s">
        <v>51</v>
      </c>
      <c r="D225" s="21" t="s">
        <v>276</v>
      </c>
      <c r="E225" s="21" t="s">
        <v>156</v>
      </c>
      <c r="F225" s="21" t="s">
        <v>560</v>
      </c>
    </row>
    <row r="226" spans="1:6">
      <c r="A226" s="21" t="s">
        <v>537</v>
      </c>
      <c r="B226" s="21" t="s">
        <v>61</v>
      </c>
      <c r="C226" s="21" t="s">
        <v>51</v>
      </c>
      <c r="D226" s="21" t="s">
        <v>276</v>
      </c>
      <c r="E226" s="21" t="s">
        <v>156</v>
      </c>
      <c r="F226" s="21" t="s">
        <v>560</v>
      </c>
    </row>
    <row r="227" spans="1:6">
      <c r="A227" s="21" t="s">
        <v>443</v>
      </c>
      <c r="B227" s="21" t="s">
        <v>61</v>
      </c>
      <c r="C227" s="21" t="s">
        <v>116</v>
      </c>
      <c r="D227" s="21" t="s">
        <v>174</v>
      </c>
      <c r="E227" s="21" t="s">
        <v>156</v>
      </c>
      <c r="F227" s="21" t="s">
        <v>560</v>
      </c>
    </row>
    <row r="228" spans="1:6">
      <c r="A228" s="21" t="s">
        <v>444</v>
      </c>
      <c r="B228" s="21" t="s">
        <v>61</v>
      </c>
      <c r="C228" s="21" t="s">
        <v>116</v>
      </c>
      <c r="D228" s="21" t="s">
        <v>174</v>
      </c>
      <c r="E228" s="21" t="s">
        <v>156</v>
      </c>
      <c r="F228" s="21" t="s">
        <v>560</v>
      </c>
    </row>
    <row r="229" spans="1:6">
      <c r="A229" s="21" t="s">
        <v>445</v>
      </c>
      <c r="B229" s="21" t="s">
        <v>61</v>
      </c>
      <c r="C229" s="21" t="s">
        <v>116</v>
      </c>
      <c r="D229" s="21" t="s">
        <v>174</v>
      </c>
      <c r="E229" s="21" t="s">
        <v>156</v>
      </c>
      <c r="F229" s="21" t="s">
        <v>560</v>
      </c>
    </row>
    <row r="230" spans="1:6">
      <c r="A230" s="21" t="s">
        <v>446</v>
      </c>
      <c r="B230" s="21" t="s">
        <v>61</v>
      </c>
      <c r="C230" s="21" t="s">
        <v>116</v>
      </c>
      <c r="D230" s="21" t="s">
        <v>174</v>
      </c>
      <c r="E230" s="21" t="s">
        <v>156</v>
      </c>
      <c r="F230" s="21" t="s">
        <v>560</v>
      </c>
    </row>
    <row r="231" spans="1:6">
      <c r="A231" s="21" t="s">
        <v>393</v>
      </c>
      <c r="B231" s="21" t="s">
        <v>61</v>
      </c>
      <c r="C231" s="21" t="s">
        <v>116</v>
      </c>
      <c r="D231" s="21" t="s">
        <v>163</v>
      </c>
      <c r="E231" s="21" t="s">
        <v>156</v>
      </c>
      <c r="F231" s="21" t="s">
        <v>560</v>
      </c>
    </row>
    <row r="232" spans="1:6">
      <c r="A232" s="21" t="s">
        <v>394</v>
      </c>
      <c r="B232" s="21" t="s">
        <v>61</v>
      </c>
      <c r="C232" s="21" t="s">
        <v>116</v>
      </c>
      <c r="D232" s="21" t="s">
        <v>163</v>
      </c>
      <c r="E232" s="21" t="s">
        <v>156</v>
      </c>
      <c r="F232" s="21" t="s">
        <v>560</v>
      </c>
    </row>
    <row r="233" spans="1:6">
      <c r="A233" s="21" t="s">
        <v>447</v>
      </c>
      <c r="B233" s="21" t="s">
        <v>61</v>
      </c>
      <c r="C233" s="21" t="s">
        <v>116</v>
      </c>
      <c r="D233" s="21" t="s">
        <v>419</v>
      </c>
      <c r="E233" s="21" t="s">
        <v>156</v>
      </c>
      <c r="F233" s="21" t="s">
        <v>560</v>
      </c>
    </row>
    <row r="234" spans="1:6">
      <c r="A234" s="21" t="s">
        <v>531</v>
      </c>
      <c r="B234" s="21" t="s">
        <v>61</v>
      </c>
      <c r="C234" s="21" t="s">
        <v>51</v>
      </c>
      <c r="D234" s="21" t="s">
        <v>109</v>
      </c>
      <c r="E234" s="21" t="s">
        <v>156</v>
      </c>
      <c r="F234" s="21" t="s">
        <v>560</v>
      </c>
    </row>
    <row r="235" spans="1:6">
      <c r="A235" s="21" t="s">
        <v>548</v>
      </c>
      <c r="B235" s="21" t="s">
        <v>61</v>
      </c>
      <c r="C235" s="21" t="s">
        <v>51</v>
      </c>
      <c r="D235" s="21" t="s">
        <v>114</v>
      </c>
      <c r="E235" s="21" t="s">
        <v>156</v>
      </c>
      <c r="F235" s="21" t="s">
        <v>560</v>
      </c>
    </row>
    <row r="236" spans="1:6">
      <c r="A236" s="21" t="s">
        <v>549</v>
      </c>
      <c r="B236" s="21" t="s">
        <v>61</v>
      </c>
      <c r="C236" s="21" t="s">
        <v>51</v>
      </c>
      <c r="D236" s="21" t="s">
        <v>114</v>
      </c>
      <c r="E236" s="21" t="s">
        <v>156</v>
      </c>
      <c r="F236" s="21" t="s">
        <v>560</v>
      </c>
    </row>
    <row r="237" spans="1:6">
      <c r="A237" s="21" t="s">
        <v>395</v>
      </c>
      <c r="B237" s="21" t="s">
        <v>61</v>
      </c>
      <c r="C237" s="21" t="s">
        <v>116</v>
      </c>
      <c r="D237" s="21" t="s">
        <v>163</v>
      </c>
      <c r="E237" s="21" t="s">
        <v>156</v>
      </c>
      <c r="F237" s="21" t="s">
        <v>560</v>
      </c>
    </row>
    <row r="238" spans="1:6">
      <c r="A238" s="21" t="s">
        <v>333</v>
      </c>
      <c r="B238" s="21" t="s">
        <v>61</v>
      </c>
      <c r="C238" s="21" t="s">
        <v>51</v>
      </c>
      <c r="D238" s="21" t="s">
        <v>329</v>
      </c>
      <c r="E238" s="21" t="s">
        <v>156</v>
      </c>
      <c r="F238" s="21" t="s">
        <v>560</v>
      </c>
    </row>
    <row r="239" spans="1:6">
      <c r="A239" s="21" t="s">
        <v>551</v>
      </c>
      <c r="B239" s="21" t="s">
        <v>50</v>
      </c>
      <c r="C239" s="21" t="s">
        <v>51</v>
      </c>
      <c r="D239" s="21" t="s">
        <v>114</v>
      </c>
      <c r="E239" s="21" t="s">
        <v>156</v>
      </c>
      <c r="F239" s="21" t="s">
        <v>560</v>
      </c>
    </row>
    <row r="240" spans="1:6">
      <c r="A240" s="21" t="s">
        <v>396</v>
      </c>
      <c r="B240" s="21" t="s">
        <v>50</v>
      </c>
      <c r="C240" s="21" t="s">
        <v>116</v>
      </c>
      <c r="D240" s="21" t="s">
        <v>163</v>
      </c>
      <c r="E240" s="21" t="s">
        <v>156</v>
      </c>
      <c r="F240" s="21" t="s">
        <v>560</v>
      </c>
    </row>
    <row r="241" spans="1:6">
      <c r="A241" s="21" t="s">
        <v>497</v>
      </c>
      <c r="B241" s="21" t="s">
        <v>61</v>
      </c>
      <c r="C241" s="21" t="s">
        <v>116</v>
      </c>
      <c r="D241" s="21" t="s">
        <v>136</v>
      </c>
      <c r="E241" s="21" t="s">
        <v>156</v>
      </c>
      <c r="F241" s="21" t="s">
        <v>560</v>
      </c>
    </row>
    <row r="242" spans="1:6">
      <c r="A242" s="21" t="s">
        <v>532</v>
      </c>
      <c r="B242" s="21" t="s">
        <v>61</v>
      </c>
      <c r="C242" s="21" t="s">
        <v>51</v>
      </c>
      <c r="D242" s="21" t="s">
        <v>109</v>
      </c>
      <c r="E242" s="21" t="s">
        <v>156</v>
      </c>
      <c r="F242" s="21" t="s">
        <v>560</v>
      </c>
    </row>
    <row r="243" spans="1:6">
      <c r="A243" s="21" t="s">
        <v>498</v>
      </c>
      <c r="B243" s="21" t="s">
        <v>61</v>
      </c>
      <c r="C243" s="21" t="s">
        <v>116</v>
      </c>
      <c r="D243" s="21" t="s">
        <v>153</v>
      </c>
      <c r="E243" s="21" t="s">
        <v>156</v>
      </c>
      <c r="F243" s="21" t="s">
        <v>560</v>
      </c>
    </row>
    <row r="244" spans="1:6">
      <c r="A244" s="21" t="s">
        <v>397</v>
      </c>
      <c r="B244" s="21" t="s">
        <v>50</v>
      </c>
      <c r="C244" s="21" t="s">
        <v>116</v>
      </c>
      <c r="D244" s="21" t="s">
        <v>163</v>
      </c>
      <c r="E244" s="21" t="s">
        <v>156</v>
      </c>
      <c r="F244" s="21" t="s">
        <v>560</v>
      </c>
    </row>
    <row r="245" spans="1:6">
      <c r="A245" s="21" t="s">
        <v>398</v>
      </c>
      <c r="B245" s="21" t="s">
        <v>50</v>
      </c>
      <c r="C245" s="21" t="s">
        <v>116</v>
      </c>
      <c r="D245" s="21" t="s">
        <v>163</v>
      </c>
      <c r="E245" s="21" t="s">
        <v>156</v>
      </c>
      <c r="F245" s="21" t="s">
        <v>560</v>
      </c>
    </row>
    <row r="246" spans="1:6">
      <c r="A246" s="21" t="s">
        <v>399</v>
      </c>
      <c r="B246" s="21" t="s">
        <v>50</v>
      </c>
      <c r="C246" s="21" t="s">
        <v>116</v>
      </c>
      <c r="D246" s="21" t="s">
        <v>163</v>
      </c>
      <c r="E246" s="21" t="s">
        <v>156</v>
      </c>
      <c r="F246" s="21" t="s">
        <v>560</v>
      </c>
    </row>
    <row r="247" spans="1:6">
      <c r="A247" s="21" t="s">
        <v>339</v>
      </c>
      <c r="B247" s="21" t="s">
        <v>61</v>
      </c>
      <c r="C247" s="21" t="s">
        <v>116</v>
      </c>
      <c r="D247" s="21" t="s">
        <v>337</v>
      </c>
      <c r="E247" s="21" t="s">
        <v>156</v>
      </c>
      <c r="F247" s="21" t="s">
        <v>560</v>
      </c>
    </row>
    <row r="248" spans="1:6">
      <c r="A248" s="21" t="s">
        <v>400</v>
      </c>
      <c r="B248" s="21" t="s">
        <v>61</v>
      </c>
      <c r="C248" s="21" t="s">
        <v>116</v>
      </c>
      <c r="D248" s="21" t="s">
        <v>163</v>
      </c>
      <c r="E248" s="21" t="s">
        <v>156</v>
      </c>
      <c r="F248" s="21" t="s">
        <v>560</v>
      </c>
    </row>
    <row r="249" spans="1:6">
      <c r="A249" s="21" t="s">
        <v>499</v>
      </c>
      <c r="B249" s="21" t="s">
        <v>61</v>
      </c>
      <c r="C249" s="21" t="s">
        <v>116</v>
      </c>
      <c r="D249" s="21" t="s">
        <v>242</v>
      </c>
      <c r="E249" s="21" t="s">
        <v>156</v>
      </c>
      <c r="F249" s="21" t="s">
        <v>560</v>
      </c>
    </row>
    <row r="250" spans="1:6">
      <c r="A250" s="21" t="s">
        <v>500</v>
      </c>
      <c r="B250" s="21" t="s">
        <v>61</v>
      </c>
      <c r="C250" s="21" t="s">
        <v>116</v>
      </c>
      <c r="D250" s="21" t="s">
        <v>501</v>
      </c>
      <c r="E250" s="21" t="s">
        <v>156</v>
      </c>
      <c r="F250" s="21" t="s">
        <v>560</v>
      </c>
    </row>
    <row r="251" spans="1:6">
      <c r="A251" s="21" t="s">
        <v>552</v>
      </c>
      <c r="B251" s="21" t="s">
        <v>61</v>
      </c>
      <c r="C251" s="21" t="s">
        <v>51</v>
      </c>
      <c r="D251" s="21" t="s">
        <v>114</v>
      </c>
      <c r="E251" s="21" t="s">
        <v>156</v>
      </c>
      <c r="F251" s="21" t="s">
        <v>560</v>
      </c>
    </row>
    <row r="252" spans="1:6">
      <c r="A252" s="21" t="s">
        <v>334</v>
      </c>
      <c r="B252" s="21" t="s">
        <v>61</v>
      </c>
      <c r="C252" s="21" t="s">
        <v>51</v>
      </c>
      <c r="D252" s="21" t="s">
        <v>329</v>
      </c>
      <c r="E252" s="21" t="s">
        <v>156</v>
      </c>
      <c r="F252" s="21" t="s">
        <v>560</v>
      </c>
    </row>
    <row r="253" spans="1:6">
      <c r="A253" s="21" t="s">
        <v>401</v>
      </c>
      <c r="B253" s="21" t="s">
        <v>61</v>
      </c>
      <c r="C253" s="21" t="s">
        <v>116</v>
      </c>
      <c r="D253" s="21" t="s">
        <v>163</v>
      </c>
      <c r="E253" s="21" t="s">
        <v>156</v>
      </c>
      <c r="F253" s="21" t="s">
        <v>560</v>
      </c>
    </row>
    <row r="254" spans="1:6">
      <c r="A254" s="21" t="s">
        <v>448</v>
      </c>
      <c r="B254" s="21" t="s">
        <v>50</v>
      </c>
      <c r="C254" s="21" t="s">
        <v>116</v>
      </c>
      <c r="D254" s="21" t="s">
        <v>174</v>
      </c>
      <c r="E254" s="21" t="s">
        <v>156</v>
      </c>
      <c r="F254" s="21" t="s">
        <v>560</v>
      </c>
    </row>
    <row r="255" spans="1:6">
      <c r="A255" s="21" t="s">
        <v>518</v>
      </c>
      <c r="B255" s="21" t="s">
        <v>61</v>
      </c>
      <c r="C255" s="21" t="s">
        <v>51</v>
      </c>
      <c r="D255" s="21" t="s">
        <v>85</v>
      </c>
      <c r="E255" s="21" t="s">
        <v>156</v>
      </c>
      <c r="F255" s="21" t="s">
        <v>560</v>
      </c>
    </row>
    <row r="256" spans="1:6">
      <c r="A256" s="21" t="s">
        <v>449</v>
      </c>
      <c r="B256" s="21" t="s">
        <v>61</v>
      </c>
      <c r="C256" s="21" t="s">
        <v>116</v>
      </c>
      <c r="D256" s="21" t="s">
        <v>174</v>
      </c>
      <c r="E256" s="21" t="s">
        <v>156</v>
      </c>
      <c r="F256" s="21" t="s">
        <v>560</v>
      </c>
    </row>
    <row r="257" spans="1:6">
      <c r="A257" s="21" t="s">
        <v>450</v>
      </c>
      <c r="B257" s="21" t="s">
        <v>61</v>
      </c>
      <c r="C257" s="21" t="s">
        <v>116</v>
      </c>
      <c r="D257" s="21" t="s">
        <v>174</v>
      </c>
      <c r="E257" s="21" t="s">
        <v>156</v>
      </c>
      <c r="F257" s="21" t="s">
        <v>560</v>
      </c>
    </row>
    <row r="258" spans="1:6">
      <c r="A258" s="21" t="s">
        <v>451</v>
      </c>
      <c r="B258" s="21" t="s">
        <v>61</v>
      </c>
      <c r="C258" s="21" t="s">
        <v>116</v>
      </c>
      <c r="D258" s="21" t="s">
        <v>174</v>
      </c>
      <c r="E258" s="21" t="s">
        <v>156</v>
      </c>
      <c r="F258" s="21" t="s">
        <v>560</v>
      </c>
    </row>
    <row r="259" spans="1:6">
      <c r="A259" s="21" t="s">
        <v>452</v>
      </c>
      <c r="B259" s="21" t="s">
        <v>61</v>
      </c>
      <c r="C259" s="21" t="s">
        <v>116</v>
      </c>
      <c r="D259" s="21" t="s">
        <v>174</v>
      </c>
      <c r="E259" s="21" t="s">
        <v>156</v>
      </c>
      <c r="F259" s="21" t="s">
        <v>560</v>
      </c>
    </row>
    <row r="260" spans="1:6">
      <c r="A260" s="21" t="s">
        <v>453</v>
      </c>
      <c r="B260" s="21" t="s">
        <v>61</v>
      </c>
      <c r="C260" s="21" t="s">
        <v>116</v>
      </c>
      <c r="D260" s="21" t="s">
        <v>174</v>
      </c>
      <c r="E260" s="21" t="s">
        <v>156</v>
      </c>
      <c r="F260" s="21" t="s">
        <v>560</v>
      </c>
    </row>
    <row r="261" spans="1:6">
      <c r="A261" s="21" t="s">
        <v>512</v>
      </c>
      <c r="B261" s="21" t="s">
        <v>61</v>
      </c>
      <c r="C261" s="21" t="s">
        <v>51</v>
      </c>
      <c r="D261" s="21" t="s">
        <v>285</v>
      </c>
      <c r="E261" s="21" t="s">
        <v>156</v>
      </c>
      <c r="F261" s="21" t="s">
        <v>560</v>
      </c>
    </row>
    <row r="262" spans="1:6">
      <c r="A262" s="21" t="s">
        <v>513</v>
      </c>
      <c r="B262" s="21" t="s">
        <v>61</v>
      </c>
      <c r="C262" s="21" t="s">
        <v>51</v>
      </c>
      <c r="D262" s="21" t="s">
        <v>278</v>
      </c>
      <c r="E262" s="21" t="s">
        <v>156</v>
      </c>
      <c r="F262" s="21" t="s">
        <v>560</v>
      </c>
    </row>
    <row r="263" spans="1:6">
      <c r="A263" s="21" t="s">
        <v>402</v>
      </c>
      <c r="B263" s="21" t="s">
        <v>50</v>
      </c>
      <c r="C263" s="21" t="s">
        <v>116</v>
      </c>
      <c r="D263" s="21" t="s">
        <v>163</v>
      </c>
      <c r="E263" s="21" t="s">
        <v>156</v>
      </c>
      <c r="F263" s="21" t="s">
        <v>560</v>
      </c>
    </row>
    <row r="264" spans="1:6">
      <c r="A264" s="21" t="s">
        <v>403</v>
      </c>
      <c r="B264" s="21" t="s">
        <v>61</v>
      </c>
      <c r="C264" s="21" t="s">
        <v>116</v>
      </c>
      <c r="D264" s="21" t="s">
        <v>163</v>
      </c>
      <c r="E264" s="21" t="s">
        <v>156</v>
      </c>
      <c r="F264" s="21" t="s">
        <v>560</v>
      </c>
    </row>
    <row r="265" spans="1:6">
      <c r="A265" s="21" t="s">
        <v>404</v>
      </c>
      <c r="B265" s="21" t="s">
        <v>61</v>
      </c>
      <c r="C265" s="21" t="s">
        <v>116</v>
      </c>
      <c r="D265" s="21" t="s">
        <v>163</v>
      </c>
      <c r="E265" s="21" t="s">
        <v>156</v>
      </c>
      <c r="F265" s="21" t="s">
        <v>560</v>
      </c>
    </row>
    <row r="266" spans="1:6">
      <c r="A266" s="21" t="s">
        <v>405</v>
      </c>
      <c r="B266" s="21" t="s">
        <v>61</v>
      </c>
      <c r="C266" s="21" t="s">
        <v>116</v>
      </c>
      <c r="D266" s="21" t="s">
        <v>163</v>
      </c>
      <c r="E266" s="21" t="s">
        <v>156</v>
      </c>
      <c r="F266" s="21" t="s">
        <v>560</v>
      </c>
    </row>
    <row r="267" spans="1:6">
      <c r="A267" s="21" t="s">
        <v>504</v>
      </c>
      <c r="B267" s="21" t="s">
        <v>61</v>
      </c>
      <c r="C267" s="21" t="s">
        <v>116</v>
      </c>
      <c r="D267" s="21" t="s">
        <v>242</v>
      </c>
      <c r="E267" s="21" t="s">
        <v>156</v>
      </c>
      <c r="F267" s="21" t="s">
        <v>560</v>
      </c>
    </row>
    <row r="268" spans="1:6">
      <c r="A268" s="21" t="s">
        <v>505</v>
      </c>
      <c r="B268" s="21" t="s">
        <v>61</v>
      </c>
      <c r="C268" s="21" t="s">
        <v>116</v>
      </c>
      <c r="D268" s="21" t="s">
        <v>242</v>
      </c>
      <c r="E268" s="21" t="s">
        <v>156</v>
      </c>
      <c r="F268" s="21" t="s">
        <v>560</v>
      </c>
    </row>
    <row r="269" spans="1:6">
      <c r="A269" s="21" t="s">
        <v>506</v>
      </c>
      <c r="B269" s="21" t="s">
        <v>61</v>
      </c>
      <c r="C269" s="21" t="s">
        <v>116</v>
      </c>
      <c r="D269" s="21" t="s">
        <v>136</v>
      </c>
      <c r="E269" s="21" t="s">
        <v>156</v>
      </c>
      <c r="F269" s="21" t="s">
        <v>560</v>
      </c>
    </row>
    <row r="270" spans="1:6">
      <c r="A270" s="21" t="s">
        <v>507</v>
      </c>
      <c r="B270" s="21" t="s">
        <v>61</v>
      </c>
      <c r="C270" s="21" t="s">
        <v>116</v>
      </c>
      <c r="D270" s="21" t="s">
        <v>136</v>
      </c>
      <c r="E270" s="21" t="s">
        <v>156</v>
      </c>
      <c r="F270" s="21" t="s">
        <v>560</v>
      </c>
    </row>
    <row r="271" spans="1:6">
      <c r="A271" s="21" t="s">
        <v>260</v>
      </c>
      <c r="B271" s="21" t="s">
        <v>61</v>
      </c>
      <c r="C271" s="21" t="s">
        <v>116</v>
      </c>
      <c r="D271" s="21" t="s">
        <v>247</v>
      </c>
      <c r="E271" s="21" t="s">
        <v>156</v>
      </c>
      <c r="F271" s="21" t="s">
        <v>560</v>
      </c>
    </row>
    <row r="272" spans="1:6">
      <c r="A272" s="21" t="s">
        <v>152</v>
      </c>
      <c r="B272" s="21" t="s">
        <v>61</v>
      </c>
      <c r="C272" s="21" t="s">
        <v>116</v>
      </c>
      <c r="D272" s="21" t="s">
        <v>153</v>
      </c>
      <c r="E272" s="21" t="s">
        <v>156</v>
      </c>
      <c r="F272" s="21" t="s">
        <v>560</v>
      </c>
    </row>
    <row r="273" spans="1:6">
      <c r="A273" s="21" t="s">
        <v>508</v>
      </c>
      <c r="B273" s="21" t="s">
        <v>61</v>
      </c>
      <c r="C273" s="21" t="s">
        <v>116</v>
      </c>
      <c r="D273" s="21" t="s">
        <v>153</v>
      </c>
      <c r="E273" s="21" t="s">
        <v>156</v>
      </c>
      <c r="F273" s="21" t="s">
        <v>560</v>
      </c>
    </row>
    <row r="274" spans="1:6">
      <c r="A274" s="21" t="s">
        <v>509</v>
      </c>
      <c r="B274" s="21" t="s">
        <v>61</v>
      </c>
      <c r="C274" s="21" t="s">
        <v>116</v>
      </c>
      <c r="D274" s="21" t="s">
        <v>153</v>
      </c>
      <c r="E274" s="21" t="s">
        <v>156</v>
      </c>
      <c r="F274" s="21" t="s">
        <v>560</v>
      </c>
    </row>
    <row r="275" spans="1:6">
      <c r="A275" s="21" t="s">
        <v>510</v>
      </c>
      <c r="B275" s="21" t="s">
        <v>61</v>
      </c>
      <c r="C275" s="21" t="s">
        <v>116</v>
      </c>
      <c r="D275" s="21" t="s">
        <v>136</v>
      </c>
      <c r="E275" s="21" t="s">
        <v>156</v>
      </c>
      <c r="F275" s="21" t="s">
        <v>560</v>
      </c>
    </row>
    <row r="276" spans="1:6">
      <c r="A276" s="21" t="s">
        <v>511</v>
      </c>
      <c r="B276" s="21" t="s">
        <v>61</v>
      </c>
      <c r="C276" s="21" t="s">
        <v>116</v>
      </c>
      <c r="D276" s="21" t="s">
        <v>136</v>
      </c>
      <c r="E276" s="21" t="s">
        <v>156</v>
      </c>
      <c r="F276" s="21" t="s">
        <v>560</v>
      </c>
    </row>
    <row r="277" spans="1:6">
      <c r="A277" s="21" t="s">
        <v>527</v>
      </c>
      <c r="B277" s="21" t="s">
        <v>61</v>
      </c>
      <c r="C277" s="21" t="s">
        <v>51</v>
      </c>
      <c r="D277" s="21" t="s">
        <v>85</v>
      </c>
      <c r="E277" s="21" t="s">
        <v>156</v>
      </c>
      <c r="F277" s="21" t="s">
        <v>560</v>
      </c>
    </row>
    <row r="278" spans="1:6">
      <c r="A278" s="21" t="s">
        <v>406</v>
      </c>
      <c r="B278" s="21" t="s">
        <v>61</v>
      </c>
      <c r="C278" s="21" t="s">
        <v>116</v>
      </c>
      <c r="D278" s="21" t="s">
        <v>163</v>
      </c>
      <c r="E278" s="21" t="s">
        <v>156</v>
      </c>
      <c r="F278" s="21" t="s">
        <v>560</v>
      </c>
    </row>
    <row r="279" spans="1:6">
      <c r="A279" s="21" t="s">
        <v>407</v>
      </c>
      <c r="B279" s="21" t="s">
        <v>61</v>
      </c>
      <c r="C279" s="21" t="s">
        <v>116</v>
      </c>
      <c r="D279" s="21" t="s">
        <v>163</v>
      </c>
      <c r="E279" s="21" t="s">
        <v>156</v>
      </c>
      <c r="F279" s="21" t="s">
        <v>560</v>
      </c>
    </row>
    <row r="280" spans="1:6">
      <c r="A280" s="21" t="s">
        <v>533</v>
      </c>
      <c r="B280" s="21" t="s">
        <v>61</v>
      </c>
      <c r="C280" s="21" t="s">
        <v>51</v>
      </c>
      <c r="D280" s="21" t="s">
        <v>109</v>
      </c>
      <c r="E280" s="21" t="s">
        <v>156</v>
      </c>
      <c r="F280" s="21" t="s">
        <v>560</v>
      </c>
    </row>
    <row r="281" spans="1:6">
      <c r="A281" s="21" t="s">
        <v>454</v>
      </c>
      <c r="B281" s="21" t="s">
        <v>61</v>
      </c>
      <c r="C281" s="21" t="s">
        <v>116</v>
      </c>
      <c r="D281" s="21" t="s">
        <v>174</v>
      </c>
      <c r="E281" s="21" t="s">
        <v>156</v>
      </c>
      <c r="F281" s="21" t="s">
        <v>560</v>
      </c>
    </row>
    <row r="282" spans="1:6">
      <c r="A282" s="21" t="s">
        <v>408</v>
      </c>
      <c r="B282" s="21" t="s">
        <v>61</v>
      </c>
      <c r="C282" s="21" t="s">
        <v>116</v>
      </c>
      <c r="D282" s="21" t="s">
        <v>163</v>
      </c>
      <c r="E282" s="21" t="s">
        <v>156</v>
      </c>
      <c r="F282" s="21" t="s">
        <v>560</v>
      </c>
    </row>
    <row r="283" spans="1:6">
      <c r="A283" s="21" t="s">
        <v>343</v>
      </c>
      <c r="B283" s="21" t="s">
        <v>61</v>
      </c>
      <c r="C283" s="21" t="s">
        <v>116</v>
      </c>
      <c r="D283" s="21" t="s">
        <v>341</v>
      </c>
      <c r="E283" s="21" t="s">
        <v>156</v>
      </c>
      <c r="F283" s="21" t="s">
        <v>560</v>
      </c>
    </row>
    <row r="284" spans="1:6">
      <c r="A284" s="21" t="s">
        <v>556</v>
      </c>
      <c r="B284" s="21" t="s">
        <v>50</v>
      </c>
      <c r="C284" s="21" t="s">
        <v>51</v>
      </c>
      <c r="D284" s="21" t="s">
        <v>109</v>
      </c>
      <c r="E284" s="21" t="s">
        <v>156</v>
      </c>
      <c r="F284" s="21" t="s">
        <v>560</v>
      </c>
    </row>
    <row r="285" spans="1:6">
      <c r="A285" s="21" t="s">
        <v>162</v>
      </c>
      <c r="B285" s="21" t="s">
        <v>61</v>
      </c>
      <c r="C285" s="21" t="s">
        <v>116</v>
      </c>
      <c r="D285" s="21" t="s">
        <v>163</v>
      </c>
      <c r="E285" s="21" t="s">
        <v>156</v>
      </c>
      <c r="F285" s="21" t="s">
        <v>560</v>
      </c>
    </row>
    <row r="286" spans="1:6">
      <c r="A286" s="21" t="s">
        <v>291</v>
      </c>
      <c r="B286" s="21" t="s">
        <v>61</v>
      </c>
      <c r="C286" s="21" t="s">
        <v>51</v>
      </c>
      <c r="D286" s="21" t="s">
        <v>111</v>
      </c>
      <c r="E286" s="21" t="s">
        <v>156</v>
      </c>
      <c r="F286" s="21" t="s">
        <v>560</v>
      </c>
    </row>
    <row r="287" spans="1:6">
      <c r="A287" s="21" t="s">
        <v>207</v>
      </c>
      <c r="B287" s="21" t="s">
        <v>61</v>
      </c>
      <c r="C287" s="21" t="s">
        <v>116</v>
      </c>
      <c r="D287" s="21" t="s">
        <v>136</v>
      </c>
      <c r="E287" s="21" t="s">
        <v>156</v>
      </c>
      <c r="F287" s="21" t="s">
        <v>560</v>
      </c>
    </row>
    <row r="288" spans="1:6">
      <c r="A288" s="21" t="s">
        <v>164</v>
      </c>
      <c r="B288" s="21" t="s">
        <v>61</v>
      </c>
      <c r="C288" s="21" t="s">
        <v>116</v>
      </c>
      <c r="D288" s="21" t="s">
        <v>163</v>
      </c>
      <c r="E288" s="21" t="s">
        <v>156</v>
      </c>
      <c r="F288" s="21" t="s">
        <v>560</v>
      </c>
    </row>
    <row r="289" spans="1:6">
      <c r="A289" s="21" t="s">
        <v>165</v>
      </c>
      <c r="B289" s="21" t="s">
        <v>61</v>
      </c>
      <c r="C289" s="21" t="s">
        <v>116</v>
      </c>
      <c r="D289" s="21" t="s">
        <v>163</v>
      </c>
      <c r="E289" s="21" t="s">
        <v>156</v>
      </c>
      <c r="F289" s="21" t="s">
        <v>560</v>
      </c>
    </row>
    <row r="290" spans="1:6">
      <c r="A290" s="21" t="s">
        <v>166</v>
      </c>
      <c r="B290" s="21" t="s">
        <v>61</v>
      </c>
      <c r="C290" s="21" t="s">
        <v>116</v>
      </c>
      <c r="D290" s="21" t="s">
        <v>163</v>
      </c>
      <c r="E290" s="21" t="s">
        <v>156</v>
      </c>
      <c r="F290" s="21" t="s">
        <v>560</v>
      </c>
    </row>
    <row r="291" spans="1:6">
      <c r="A291" s="21" t="s">
        <v>208</v>
      </c>
      <c r="B291" s="21" t="s">
        <v>61</v>
      </c>
      <c r="C291" s="21" t="s">
        <v>116</v>
      </c>
      <c r="D291" s="21" t="s">
        <v>188</v>
      </c>
      <c r="E291" s="21" t="s">
        <v>156</v>
      </c>
      <c r="F291" s="21" t="s">
        <v>560</v>
      </c>
    </row>
    <row r="292" spans="1:6">
      <c r="A292" s="21" t="s">
        <v>241</v>
      </c>
      <c r="B292" s="21" t="s">
        <v>61</v>
      </c>
      <c r="C292" s="21" t="s">
        <v>116</v>
      </c>
      <c r="D292" s="21" t="s">
        <v>242</v>
      </c>
      <c r="E292" s="21" t="s">
        <v>156</v>
      </c>
      <c r="F292" s="21" t="s">
        <v>560</v>
      </c>
    </row>
    <row r="293" spans="1:6">
      <c r="A293" s="21" t="s">
        <v>209</v>
      </c>
      <c r="B293" s="21" t="s">
        <v>61</v>
      </c>
      <c r="C293" s="21" t="s">
        <v>116</v>
      </c>
      <c r="D293" s="21" t="s">
        <v>210</v>
      </c>
      <c r="E293" s="21" t="s">
        <v>156</v>
      </c>
      <c r="F293" s="21" t="s">
        <v>560</v>
      </c>
    </row>
    <row r="294" spans="1:6">
      <c r="A294" s="21" t="s">
        <v>246</v>
      </c>
      <c r="B294" s="21" t="s">
        <v>61</v>
      </c>
      <c r="C294" s="21" t="s">
        <v>116</v>
      </c>
      <c r="D294" s="21" t="s">
        <v>247</v>
      </c>
      <c r="E294" s="21" t="s">
        <v>156</v>
      </c>
      <c r="F294" s="21" t="s">
        <v>560</v>
      </c>
    </row>
    <row r="295" spans="1:6">
      <c r="A295" s="21" t="s">
        <v>211</v>
      </c>
      <c r="B295" s="21" t="s">
        <v>61</v>
      </c>
      <c r="C295" s="21" t="s">
        <v>116</v>
      </c>
      <c r="D295" s="21" t="s">
        <v>136</v>
      </c>
      <c r="E295" s="21" t="s">
        <v>156</v>
      </c>
      <c r="F295" s="21" t="s">
        <v>560</v>
      </c>
    </row>
    <row r="296" spans="1:6">
      <c r="A296" s="21" t="s">
        <v>212</v>
      </c>
      <c r="B296" s="21" t="s">
        <v>61</v>
      </c>
      <c r="C296" s="21" t="s">
        <v>116</v>
      </c>
      <c r="D296" s="21" t="s">
        <v>136</v>
      </c>
      <c r="E296" s="21" t="s">
        <v>156</v>
      </c>
      <c r="F296" s="21" t="s">
        <v>560</v>
      </c>
    </row>
    <row r="297" spans="1:6">
      <c r="A297" s="21" t="s">
        <v>213</v>
      </c>
      <c r="B297" s="21" t="s">
        <v>61</v>
      </c>
      <c r="C297" s="21" t="s">
        <v>116</v>
      </c>
      <c r="D297" s="21" t="s">
        <v>136</v>
      </c>
      <c r="E297" s="21" t="s">
        <v>156</v>
      </c>
      <c r="F297" s="21" t="s">
        <v>560</v>
      </c>
    </row>
    <row r="298" spans="1:6">
      <c r="A298" s="21" t="s">
        <v>167</v>
      </c>
      <c r="B298" s="21" t="s">
        <v>61</v>
      </c>
      <c r="C298" s="21" t="s">
        <v>116</v>
      </c>
      <c r="D298" s="21" t="s">
        <v>163</v>
      </c>
      <c r="E298" s="21" t="s">
        <v>156</v>
      </c>
      <c r="F298" s="21" t="s">
        <v>560</v>
      </c>
    </row>
    <row r="299" spans="1:6">
      <c r="A299" s="21" t="s">
        <v>214</v>
      </c>
      <c r="B299" s="21" t="s">
        <v>61</v>
      </c>
      <c r="C299" s="21" t="s">
        <v>116</v>
      </c>
      <c r="D299" s="21" t="s">
        <v>188</v>
      </c>
      <c r="E299" s="21" t="s">
        <v>156</v>
      </c>
      <c r="F299" s="21" t="s">
        <v>560</v>
      </c>
    </row>
    <row r="300" spans="1:6">
      <c r="A300" s="21" t="s">
        <v>568</v>
      </c>
      <c r="B300" s="21" t="s">
        <v>50</v>
      </c>
      <c r="C300" s="21" t="s">
        <v>116</v>
      </c>
      <c r="D300" s="21" t="s">
        <v>188</v>
      </c>
      <c r="E300" s="21" t="s">
        <v>156</v>
      </c>
      <c r="F300" s="21" t="s">
        <v>560</v>
      </c>
    </row>
    <row r="301" spans="1:6">
      <c r="A301" s="21" t="s">
        <v>292</v>
      </c>
      <c r="B301" s="21" t="s">
        <v>61</v>
      </c>
      <c r="C301" s="21" t="s">
        <v>51</v>
      </c>
      <c r="D301" s="21" t="s">
        <v>111</v>
      </c>
      <c r="E301" s="21" t="s">
        <v>156</v>
      </c>
      <c r="F301" s="21" t="s">
        <v>560</v>
      </c>
    </row>
    <row r="302" spans="1:6">
      <c r="A302" s="21" t="s">
        <v>569</v>
      </c>
      <c r="B302" s="21" t="s">
        <v>50</v>
      </c>
      <c r="C302" s="21" t="s">
        <v>51</v>
      </c>
      <c r="D302" s="21" t="s">
        <v>111</v>
      </c>
      <c r="E302" s="21" t="s">
        <v>156</v>
      </c>
      <c r="F302" s="21" t="s">
        <v>560</v>
      </c>
    </row>
    <row r="303" spans="1:6">
      <c r="A303" s="21" t="s">
        <v>293</v>
      </c>
      <c r="B303" s="21" t="s">
        <v>61</v>
      </c>
      <c r="C303" s="21" t="s">
        <v>51</v>
      </c>
      <c r="D303" s="21" t="s">
        <v>111</v>
      </c>
      <c r="E303" s="21" t="s">
        <v>156</v>
      </c>
      <c r="F303" s="21" t="s">
        <v>560</v>
      </c>
    </row>
    <row r="304" spans="1:6">
      <c r="A304" s="21" t="s">
        <v>570</v>
      </c>
      <c r="B304" s="21" t="s">
        <v>50</v>
      </c>
      <c r="C304" s="21" t="s">
        <v>51</v>
      </c>
      <c r="D304" s="21" t="s">
        <v>111</v>
      </c>
      <c r="E304" s="21" t="s">
        <v>156</v>
      </c>
      <c r="F304" s="21" t="s">
        <v>560</v>
      </c>
    </row>
    <row r="305" spans="1:6">
      <c r="A305" s="21" t="s">
        <v>571</v>
      </c>
      <c r="B305" s="21" t="s">
        <v>61</v>
      </c>
      <c r="C305" s="21" t="s">
        <v>51</v>
      </c>
      <c r="D305" s="21" t="s">
        <v>572</v>
      </c>
      <c r="E305" s="21" t="s">
        <v>156</v>
      </c>
      <c r="F305" s="21" t="s">
        <v>560</v>
      </c>
    </row>
    <row r="306" spans="1:6">
      <c r="A306" s="21" t="s">
        <v>215</v>
      </c>
      <c r="B306" s="21" t="s">
        <v>61</v>
      </c>
      <c r="C306" s="21" t="s">
        <v>116</v>
      </c>
      <c r="D306" s="21" t="s">
        <v>188</v>
      </c>
      <c r="E306" s="21" t="s">
        <v>156</v>
      </c>
      <c r="F306" s="21" t="s">
        <v>560</v>
      </c>
    </row>
    <row r="307" spans="1:6">
      <c r="A307" s="21" t="s">
        <v>294</v>
      </c>
      <c r="B307" s="21" t="s">
        <v>61</v>
      </c>
      <c r="C307" s="21" t="s">
        <v>51</v>
      </c>
      <c r="D307" s="21" t="s">
        <v>295</v>
      </c>
      <c r="E307" s="21" t="s">
        <v>156</v>
      </c>
      <c r="F307" s="21" t="s">
        <v>560</v>
      </c>
    </row>
    <row r="308" spans="1:6">
      <c r="A308" s="21" t="s">
        <v>573</v>
      </c>
      <c r="B308" s="21" t="s">
        <v>50</v>
      </c>
      <c r="C308" s="21" t="s">
        <v>51</v>
      </c>
      <c r="D308" s="21" t="s">
        <v>295</v>
      </c>
      <c r="E308" s="21" t="s">
        <v>156</v>
      </c>
      <c r="F308" s="21" t="s">
        <v>560</v>
      </c>
    </row>
    <row r="309" spans="1:6">
      <c r="A309" s="21" t="s">
        <v>296</v>
      </c>
      <c r="B309" s="21" t="s">
        <v>61</v>
      </c>
      <c r="C309" s="21" t="s">
        <v>51</v>
      </c>
      <c r="D309" s="21" t="s">
        <v>295</v>
      </c>
      <c r="E309" s="21" t="s">
        <v>156</v>
      </c>
      <c r="F309" s="21" t="s">
        <v>560</v>
      </c>
    </row>
    <row r="310" spans="1:6">
      <c r="A310" s="21" t="s">
        <v>574</v>
      </c>
      <c r="B310" s="21" t="s">
        <v>50</v>
      </c>
      <c r="C310" s="21" t="s">
        <v>51</v>
      </c>
      <c r="D310" s="21" t="s">
        <v>295</v>
      </c>
      <c r="E310" s="21" t="s">
        <v>156</v>
      </c>
      <c r="F310" s="21" t="s">
        <v>560</v>
      </c>
    </row>
    <row r="311" spans="1:6">
      <c r="A311" s="21" t="s">
        <v>173</v>
      </c>
      <c r="B311" s="21" t="s">
        <v>61</v>
      </c>
      <c r="C311" s="21" t="s">
        <v>116</v>
      </c>
      <c r="D311" s="21" t="s">
        <v>174</v>
      </c>
      <c r="E311" s="21" t="s">
        <v>156</v>
      </c>
      <c r="F311" s="21" t="s">
        <v>560</v>
      </c>
    </row>
    <row r="312" spans="1:6">
      <c r="A312" s="21" t="s">
        <v>175</v>
      </c>
      <c r="B312" s="21" t="s">
        <v>61</v>
      </c>
      <c r="C312" s="21" t="s">
        <v>116</v>
      </c>
      <c r="D312" s="21" t="s">
        <v>174</v>
      </c>
      <c r="E312" s="21" t="s">
        <v>156</v>
      </c>
      <c r="F312" s="21" t="s">
        <v>560</v>
      </c>
    </row>
    <row r="313" spans="1:6">
      <c r="A313" s="21" t="s">
        <v>176</v>
      </c>
      <c r="B313" s="21" t="s">
        <v>61</v>
      </c>
      <c r="C313" s="21" t="s">
        <v>116</v>
      </c>
      <c r="D313" s="21" t="s">
        <v>174</v>
      </c>
      <c r="E313" s="21" t="s">
        <v>156</v>
      </c>
      <c r="F313" s="21" t="s">
        <v>560</v>
      </c>
    </row>
    <row r="314" spans="1:6">
      <c r="A314" s="21" t="s">
        <v>575</v>
      </c>
      <c r="B314" s="21" t="s">
        <v>50</v>
      </c>
      <c r="C314" s="21" t="s">
        <v>116</v>
      </c>
      <c r="D314" s="21" t="s">
        <v>174</v>
      </c>
      <c r="E314" s="21" t="s">
        <v>156</v>
      </c>
      <c r="F314" s="21" t="s">
        <v>560</v>
      </c>
    </row>
    <row r="315" spans="1:6">
      <c r="A315" s="21" t="s">
        <v>270</v>
      </c>
      <c r="B315" s="21" t="s">
        <v>61</v>
      </c>
      <c r="C315" s="21" t="s">
        <v>51</v>
      </c>
      <c r="D315" s="21" t="s">
        <v>271</v>
      </c>
      <c r="E315" s="21" t="s">
        <v>156</v>
      </c>
      <c r="F315" s="21" t="s">
        <v>560</v>
      </c>
    </row>
    <row r="316" spans="1:6">
      <c r="A316" s="21" t="s">
        <v>251</v>
      </c>
      <c r="B316" s="21" t="s">
        <v>61</v>
      </c>
      <c r="C316" s="21" t="s">
        <v>116</v>
      </c>
      <c r="D316" s="21" t="s">
        <v>247</v>
      </c>
      <c r="E316" s="21" t="s">
        <v>156</v>
      </c>
      <c r="F316" s="21" t="s">
        <v>560</v>
      </c>
    </row>
    <row r="317" spans="1:6">
      <c r="A317" s="21" t="s">
        <v>216</v>
      </c>
      <c r="B317" s="21" t="s">
        <v>61</v>
      </c>
      <c r="C317" s="21" t="s">
        <v>116</v>
      </c>
      <c r="D317" s="21" t="s">
        <v>188</v>
      </c>
      <c r="E317" s="21" t="s">
        <v>156</v>
      </c>
      <c r="F317" s="21" t="s">
        <v>560</v>
      </c>
    </row>
    <row r="318" spans="1:6">
      <c r="A318" s="21" t="s">
        <v>177</v>
      </c>
      <c r="B318" s="21" t="s">
        <v>61</v>
      </c>
      <c r="C318" s="21" t="s">
        <v>116</v>
      </c>
      <c r="D318" s="21" t="s">
        <v>174</v>
      </c>
      <c r="E318" s="21" t="s">
        <v>156</v>
      </c>
      <c r="F318" s="21" t="s">
        <v>560</v>
      </c>
    </row>
    <row r="319" spans="1:6">
      <c r="A319" s="21" t="s">
        <v>178</v>
      </c>
      <c r="B319" s="21" t="s">
        <v>61</v>
      </c>
      <c r="C319" s="21" t="s">
        <v>116</v>
      </c>
      <c r="D319" s="21" t="s">
        <v>174</v>
      </c>
      <c r="E319" s="21" t="s">
        <v>156</v>
      </c>
      <c r="F319" s="21" t="s">
        <v>560</v>
      </c>
    </row>
    <row r="320" spans="1:6">
      <c r="A320" s="21" t="s">
        <v>179</v>
      </c>
      <c r="B320" s="21" t="s">
        <v>61</v>
      </c>
      <c r="C320" s="21" t="s">
        <v>116</v>
      </c>
      <c r="D320" s="21" t="s">
        <v>174</v>
      </c>
      <c r="E320" s="21" t="s">
        <v>156</v>
      </c>
      <c r="F320" s="21" t="s">
        <v>560</v>
      </c>
    </row>
    <row r="321" spans="1:6">
      <c r="A321" s="21" t="s">
        <v>180</v>
      </c>
      <c r="B321" s="21" t="s">
        <v>61</v>
      </c>
      <c r="C321" s="21" t="s">
        <v>116</v>
      </c>
      <c r="D321" s="21" t="s">
        <v>174</v>
      </c>
      <c r="E321" s="21" t="s">
        <v>156</v>
      </c>
      <c r="F321" s="21" t="s">
        <v>560</v>
      </c>
    </row>
    <row r="322" spans="1:6">
      <c r="A322" s="21" t="s">
        <v>181</v>
      </c>
      <c r="B322" s="21" t="s">
        <v>61</v>
      </c>
      <c r="C322" s="21" t="s">
        <v>116</v>
      </c>
      <c r="D322" s="21" t="s">
        <v>174</v>
      </c>
      <c r="E322" s="21" t="s">
        <v>156</v>
      </c>
      <c r="F322" s="21" t="s">
        <v>560</v>
      </c>
    </row>
    <row r="323" spans="1:6">
      <c r="A323" s="21" t="s">
        <v>182</v>
      </c>
      <c r="B323" s="21" t="s">
        <v>61</v>
      </c>
      <c r="C323" s="21" t="s">
        <v>116</v>
      </c>
      <c r="D323" s="21" t="s">
        <v>174</v>
      </c>
      <c r="E323" s="21" t="s">
        <v>156</v>
      </c>
      <c r="F323" s="21" t="s">
        <v>560</v>
      </c>
    </row>
    <row r="324" spans="1:6">
      <c r="A324" s="21" t="s">
        <v>217</v>
      </c>
      <c r="B324" s="21" t="s">
        <v>61</v>
      </c>
      <c r="C324" s="21" t="s">
        <v>116</v>
      </c>
      <c r="D324" s="21" t="s">
        <v>188</v>
      </c>
      <c r="E324" s="21" t="s">
        <v>156</v>
      </c>
      <c r="F324" s="21" t="s">
        <v>560</v>
      </c>
    </row>
    <row r="325" spans="1:6">
      <c r="A325" s="21" t="s">
        <v>218</v>
      </c>
      <c r="B325" s="21" t="s">
        <v>61</v>
      </c>
      <c r="C325" s="21" t="s">
        <v>116</v>
      </c>
      <c r="D325" s="21" t="s">
        <v>219</v>
      </c>
      <c r="E325" s="21" t="s">
        <v>156</v>
      </c>
      <c r="F325" s="21" t="s">
        <v>560</v>
      </c>
    </row>
    <row r="326" spans="1:6">
      <c r="A326" s="21" t="s">
        <v>279</v>
      </c>
      <c r="B326" s="21" t="s">
        <v>61</v>
      </c>
      <c r="C326" s="21" t="s">
        <v>51</v>
      </c>
      <c r="D326" s="21" t="s">
        <v>280</v>
      </c>
      <c r="E326" s="21" t="s">
        <v>156</v>
      </c>
      <c r="F326" s="21" t="s">
        <v>560</v>
      </c>
    </row>
    <row r="327" spans="1:6">
      <c r="A327" s="21" t="s">
        <v>220</v>
      </c>
      <c r="B327" s="21" t="s">
        <v>61</v>
      </c>
      <c r="C327" s="21" t="s">
        <v>116</v>
      </c>
      <c r="D327" s="21" t="s">
        <v>136</v>
      </c>
      <c r="E327" s="21" t="s">
        <v>156</v>
      </c>
      <c r="F327" s="21" t="s">
        <v>560</v>
      </c>
    </row>
    <row r="328" spans="1:6">
      <c r="A328" s="21" t="s">
        <v>308</v>
      </c>
      <c r="B328" s="21" t="s">
        <v>61</v>
      </c>
      <c r="C328" s="21" t="s">
        <v>51</v>
      </c>
      <c r="D328" s="21" t="s">
        <v>114</v>
      </c>
      <c r="E328" s="21" t="s">
        <v>156</v>
      </c>
      <c r="F328" s="21" t="s">
        <v>560</v>
      </c>
    </row>
    <row r="329" spans="1:6">
      <c r="A329" s="21" t="s">
        <v>221</v>
      </c>
      <c r="B329" s="21" t="s">
        <v>61</v>
      </c>
      <c r="C329" s="21" t="s">
        <v>116</v>
      </c>
      <c r="D329" s="21" t="s">
        <v>188</v>
      </c>
      <c r="E329" s="21" t="s">
        <v>156</v>
      </c>
      <c r="F329" s="21" t="s">
        <v>560</v>
      </c>
    </row>
    <row r="330" spans="1:6">
      <c r="A330" s="21" t="s">
        <v>576</v>
      </c>
      <c r="B330" s="21" t="s">
        <v>50</v>
      </c>
      <c r="C330" s="21" t="s">
        <v>116</v>
      </c>
      <c r="D330" s="21" t="s">
        <v>188</v>
      </c>
      <c r="E330" s="21" t="s">
        <v>156</v>
      </c>
      <c r="F330" s="21" t="s">
        <v>560</v>
      </c>
    </row>
    <row r="331" spans="1:6">
      <c r="A331" s="21" t="s">
        <v>222</v>
      </c>
      <c r="B331" s="21" t="s">
        <v>61</v>
      </c>
      <c r="C331" s="21" t="s">
        <v>116</v>
      </c>
      <c r="D331" s="21" t="s">
        <v>188</v>
      </c>
      <c r="E331" s="21" t="s">
        <v>156</v>
      </c>
      <c r="F331" s="21" t="s">
        <v>560</v>
      </c>
    </row>
    <row r="332" spans="1:6">
      <c r="A332" s="21" t="s">
        <v>577</v>
      </c>
      <c r="B332" s="21" t="s">
        <v>50</v>
      </c>
      <c r="C332" s="21" t="s">
        <v>116</v>
      </c>
      <c r="D332" s="21" t="s">
        <v>188</v>
      </c>
      <c r="E332" s="21" t="s">
        <v>156</v>
      </c>
      <c r="F332" s="21" t="s">
        <v>560</v>
      </c>
    </row>
    <row r="333" spans="1:6">
      <c r="A333" s="21" t="s">
        <v>252</v>
      </c>
      <c r="B333" s="21" t="s">
        <v>61</v>
      </c>
      <c r="C333" s="21" t="s">
        <v>116</v>
      </c>
      <c r="D333" s="21" t="s">
        <v>247</v>
      </c>
      <c r="E333" s="21" t="s">
        <v>156</v>
      </c>
      <c r="F333" s="21" t="s">
        <v>560</v>
      </c>
    </row>
    <row r="334" spans="1:6">
      <c r="A334" s="21" t="s">
        <v>297</v>
      </c>
      <c r="B334" s="21" t="s">
        <v>61</v>
      </c>
      <c r="C334" s="21" t="s">
        <v>51</v>
      </c>
      <c r="D334" s="21" t="s">
        <v>109</v>
      </c>
      <c r="E334" s="21" t="s">
        <v>156</v>
      </c>
      <c r="F334" s="21" t="s">
        <v>560</v>
      </c>
    </row>
    <row r="335" spans="1:6">
      <c r="A335" s="21" t="s">
        <v>298</v>
      </c>
      <c r="B335" s="21" t="s">
        <v>61</v>
      </c>
      <c r="C335" s="21" t="s">
        <v>51</v>
      </c>
      <c r="D335" s="21" t="s">
        <v>109</v>
      </c>
      <c r="E335" s="21" t="s">
        <v>156</v>
      </c>
      <c r="F335" s="21" t="s">
        <v>560</v>
      </c>
    </row>
    <row r="336" spans="1:6">
      <c r="A336" s="21" t="s">
        <v>299</v>
      </c>
      <c r="B336" s="21" t="s">
        <v>61</v>
      </c>
      <c r="C336" s="21" t="s">
        <v>51</v>
      </c>
      <c r="D336" s="21" t="s">
        <v>295</v>
      </c>
      <c r="E336" s="21" t="s">
        <v>156</v>
      </c>
      <c r="F336" s="21" t="s">
        <v>560</v>
      </c>
    </row>
    <row r="337" spans="1:6">
      <c r="A337" s="21" t="s">
        <v>243</v>
      </c>
      <c r="B337" s="21" t="s">
        <v>61</v>
      </c>
      <c r="C337" s="21" t="s">
        <v>116</v>
      </c>
      <c r="D337" s="21" t="s">
        <v>141</v>
      </c>
      <c r="E337" s="21" t="s">
        <v>156</v>
      </c>
      <c r="F337" s="21" t="s">
        <v>560</v>
      </c>
    </row>
    <row r="338" spans="1:6">
      <c r="A338" s="21" t="s">
        <v>183</v>
      </c>
      <c r="B338" s="21" t="s">
        <v>61</v>
      </c>
      <c r="C338" s="21" t="s">
        <v>116</v>
      </c>
      <c r="D338" s="21" t="s">
        <v>174</v>
      </c>
      <c r="E338" s="21" t="s">
        <v>156</v>
      </c>
      <c r="F338" s="21" t="s">
        <v>560</v>
      </c>
    </row>
    <row r="339" spans="1:6">
      <c r="A339" s="21" t="s">
        <v>160</v>
      </c>
      <c r="B339" s="21" t="s">
        <v>61</v>
      </c>
      <c r="C339" s="21" t="s">
        <v>51</v>
      </c>
      <c r="D339" s="21" t="s">
        <v>161</v>
      </c>
      <c r="E339" s="21" t="s">
        <v>156</v>
      </c>
      <c r="F339" s="21" t="s">
        <v>560</v>
      </c>
    </row>
    <row r="340" spans="1:6">
      <c r="A340" s="21" t="s">
        <v>223</v>
      </c>
      <c r="B340" s="21" t="s">
        <v>61</v>
      </c>
      <c r="C340" s="21" t="s">
        <v>116</v>
      </c>
      <c r="D340" s="21" t="s">
        <v>188</v>
      </c>
      <c r="E340" s="21" t="s">
        <v>156</v>
      </c>
      <c r="F340" s="21" t="s">
        <v>560</v>
      </c>
    </row>
    <row r="341" spans="1:6">
      <c r="A341" s="21" t="s">
        <v>224</v>
      </c>
      <c r="B341" s="21" t="s">
        <v>61</v>
      </c>
      <c r="C341" s="21" t="s">
        <v>116</v>
      </c>
      <c r="D341" s="21" t="s">
        <v>188</v>
      </c>
      <c r="E341" s="21" t="s">
        <v>156</v>
      </c>
      <c r="F341" s="21" t="s">
        <v>560</v>
      </c>
    </row>
    <row r="342" spans="1:6">
      <c r="A342" s="21" t="s">
        <v>225</v>
      </c>
      <c r="B342" s="21" t="s">
        <v>61</v>
      </c>
      <c r="C342" s="21" t="s">
        <v>116</v>
      </c>
      <c r="D342" s="21" t="s">
        <v>188</v>
      </c>
      <c r="E342" s="21" t="s">
        <v>156</v>
      </c>
      <c r="F342" s="21" t="s">
        <v>560</v>
      </c>
    </row>
    <row r="343" spans="1:6">
      <c r="A343" s="21" t="s">
        <v>226</v>
      </c>
      <c r="B343" s="21" t="s">
        <v>61</v>
      </c>
      <c r="C343" s="21" t="s">
        <v>116</v>
      </c>
      <c r="D343" s="21" t="s">
        <v>188</v>
      </c>
      <c r="E343" s="21" t="s">
        <v>156</v>
      </c>
      <c r="F343" s="21" t="s">
        <v>560</v>
      </c>
    </row>
    <row r="344" spans="1:6">
      <c r="A344" s="21" t="s">
        <v>227</v>
      </c>
      <c r="B344" s="21" t="s">
        <v>61</v>
      </c>
      <c r="C344" s="21" t="s">
        <v>116</v>
      </c>
      <c r="D344" s="21" t="s">
        <v>188</v>
      </c>
      <c r="E344" s="21" t="s">
        <v>156</v>
      </c>
      <c r="F344" s="21" t="s">
        <v>560</v>
      </c>
    </row>
    <row r="345" spans="1:6">
      <c r="A345" s="21" t="s">
        <v>244</v>
      </c>
      <c r="B345" s="21" t="s">
        <v>61</v>
      </c>
      <c r="C345" s="21" t="s">
        <v>116</v>
      </c>
      <c r="D345" s="21" t="s">
        <v>242</v>
      </c>
      <c r="E345" s="21" t="s">
        <v>156</v>
      </c>
      <c r="F345" s="21" t="s">
        <v>560</v>
      </c>
    </row>
    <row r="346" spans="1:6">
      <c r="A346" s="21" t="s">
        <v>253</v>
      </c>
      <c r="B346" s="21" t="s">
        <v>61</v>
      </c>
      <c r="C346" s="21" t="s">
        <v>116</v>
      </c>
      <c r="D346" s="21" t="s">
        <v>247</v>
      </c>
      <c r="E346" s="21" t="s">
        <v>156</v>
      </c>
      <c r="F346" s="21" t="s">
        <v>560</v>
      </c>
    </row>
    <row r="347" spans="1:6">
      <c r="A347" s="21" t="s">
        <v>254</v>
      </c>
      <c r="B347" s="21" t="s">
        <v>61</v>
      </c>
      <c r="C347" s="21" t="s">
        <v>116</v>
      </c>
      <c r="D347" s="21" t="s">
        <v>247</v>
      </c>
      <c r="E347" s="21" t="s">
        <v>156</v>
      </c>
      <c r="F347" s="21" t="s">
        <v>560</v>
      </c>
    </row>
    <row r="348" spans="1:6">
      <c r="A348" s="21" t="s">
        <v>255</v>
      </c>
      <c r="B348" s="21" t="s">
        <v>61</v>
      </c>
      <c r="C348" s="21" t="s">
        <v>116</v>
      </c>
      <c r="D348" s="21" t="s">
        <v>247</v>
      </c>
      <c r="E348" s="21" t="s">
        <v>156</v>
      </c>
      <c r="F348" s="21" t="s">
        <v>560</v>
      </c>
    </row>
    <row r="349" spans="1:6">
      <c r="A349" s="21" t="s">
        <v>245</v>
      </c>
      <c r="B349" s="21" t="s">
        <v>50</v>
      </c>
      <c r="C349" s="21" t="s">
        <v>116</v>
      </c>
      <c r="D349" s="21" t="s">
        <v>242</v>
      </c>
      <c r="E349" s="21" t="s">
        <v>156</v>
      </c>
      <c r="F349" s="21" t="s">
        <v>560</v>
      </c>
    </row>
    <row r="350" spans="1:6">
      <c r="A350" s="21" t="s">
        <v>228</v>
      </c>
      <c r="B350" s="21" t="s">
        <v>61</v>
      </c>
      <c r="C350" s="21" t="s">
        <v>116</v>
      </c>
      <c r="D350" s="21" t="s">
        <v>188</v>
      </c>
      <c r="E350" s="21" t="s">
        <v>156</v>
      </c>
      <c r="F350" s="21" t="s">
        <v>560</v>
      </c>
    </row>
    <row r="351" spans="1:6">
      <c r="A351" s="21" t="s">
        <v>578</v>
      </c>
      <c r="B351" s="21" t="s">
        <v>50</v>
      </c>
      <c r="C351" s="21" t="s">
        <v>116</v>
      </c>
      <c r="D351" s="21" t="s">
        <v>188</v>
      </c>
      <c r="E351" s="21" t="s">
        <v>156</v>
      </c>
      <c r="F351" s="21" t="s">
        <v>560</v>
      </c>
    </row>
    <row r="352" spans="1:6">
      <c r="A352" s="21" t="s">
        <v>229</v>
      </c>
      <c r="B352" s="21" t="s">
        <v>61</v>
      </c>
      <c r="C352" s="21" t="s">
        <v>116</v>
      </c>
      <c r="D352" s="21" t="s">
        <v>136</v>
      </c>
      <c r="E352" s="21" t="s">
        <v>156</v>
      </c>
      <c r="F352" s="21" t="s">
        <v>560</v>
      </c>
    </row>
    <row r="353" spans="1:6">
      <c r="A353" s="21" t="s">
        <v>579</v>
      </c>
      <c r="B353" s="21" t="s">
        <v>50</v>
      </c>
      <c r="C353" s="21" t="s">
        <v>116</v>
      </c>
      <c r="D353" s="21" t="s">
        <v>136</v>
      </c>
      <c r="E353" s="21" t="s">
        <v>156</v>
      </c>
      <c r="F353" s="21" t="s">
        <v>560</v>
      </c>
    </row>
    <row r="354" spans="1:6">
      <c r="A354" s="21" t="s">
        <v>168</v>
      </c>
      <c r="B354" s="21" t="s">
        <v>61</v>
      </c>
      <c r="C354" s="21" t="s">
        <v>116</v>
      </c>
      <c r="D354" s="21" t="s">
        <v>163</v>
      </c>
      <c r="E354" s="21" t="s">
        <v>156</v>
      </c>
      <c r="F354" s="21" t="s">
        <v>560</v>
      </c>
    </row>
    <row r="355" spans="1:6">
      <c r="A355" s="21" t="s">
        <v>289</v>
      </c>
      <c r="B355" s="21" t="s">
        <v>61</v>
      </c>
      <c r="C355" s="21" t="s">
        <v>51</v>
      </c>
      <c r="D355" s="21" t="s">
        <v>85</v>
      </c>
      <c r="E355" s="21" t="s">
        <v>156</v>
      </c>
      <c r="F355" s="21" t="s">
        <v>560</v>
      </c>
    </row>
    <row r="356" spans="1:6">
      <c r="A356" s="21" t="s">
        <v>300</v>
      </c>
      <c r="B356" s="21" t="s">
        <v>61</v>
      </c>
      <c r="C356" s="21" t="s">
        <v>51</v>
      </c>
      <c r="D356" s="21" t="s">
        <v>295</v>
      </c>
      <c r="E356" s="21" t="s">
        <v>156</v>
      </c>
      <c r="F356" s="21" t="s">
        <v>560</v>
      </c>
    </row>
    <row r="357" spans="1:6">
      <c r="A357" s="21" t="s">
        <v>272</v>
      </c>
      <c r="B357" s="21" t="s">
        <v>61</v>
      </c>
      <c r="C357" s="21" t="s">
        <v>51</v>
      </c>
      <c r="D357" s="21" t="s">
        <v>273</v>
      </c>
      <c r="E357" s="21" t="s">
        <v>156</v>
      </c>
      <c r="F357" s="21" t="s">
        <v>560</v>
      </c>
    </row>
    <row r="358" spans="1:6">
      <c r="A358" s="21" t="s">
        <v>274</v>
      </c>
      <c r="B358" s="21" t="s">
        <v>61</v>
      </c>
      <c r="C358" s="21" t="s">
        <v>51</v>
      </c>
      <c r="D358" s="21" t="s">
        <v>273</v>
      </c>
      <c r="E358" s="21" t="s">
        <v>156</v>
      </c>
      <c r="F358" s="21" t="s">
        <v>560</v>
      </c>
    </row>
    <row r="359" spans="1:6">
      <c r="A359" s="21" t="s">
        <v>303</v>
      </c>
      <c r="B359" s="21" t="s">
        <v>61</v>
      </c>
      <c r="C359" s="21" t="s">
        <v>51</v>
      </c>
      <c r="D359" s="21" t="s">
        <v>111</v>
      </c>
      <c r="E359" s="21" t="s">
        <v>156</v>
      </c>
      <c r="F359" s="21" t="s">
        <v>560</v>
      </c>
    </row>
    <row r="360" spans="1:6">
      <c r="A360" s="21" t="s">
        <v>304</v>
      </c>
      <c r="B360" s="21" t="s">
        <v>61</v>
      </c>
      <c r="C360" s="21" t="s">
        <v>51</v>
      </c>
      <c r="D360" s="21" t="s">
        <v>111</v>
      </c>
      <c r="E360" s="21" t="s">
        <v>156</v>
      </c>
      <c r="F360" s="21" t="s">
        <v>560</v>
      </c>
    </row>
    <row r="361" spans="1:6">
      <c r="A361" s="21" t="s">
        <v>580</v>
      </c>
      <c r="B361" s="21" t="s">
        <v>61</v>
      </c>
      <c r="C361" s="21" t="s">
        <v>51</v>
      </c>
      <c r="D361" s="21" t="s">
        <v>114</v>
      </c>
      <c r="E361" s="21" t="s">
        <v>156</v>
      </c>
      <c r="F361" s="21" t="s">
        <v>560</v>
      </c>
    </row>
    <row r="362" spans="1:6">
      <c r="A362" s="21" t="s">
        <v>256</v>
      </c>
      <c r="B362" s="21" t="s">
        <v>61</v>
      </c>
      <c r="C362" s="21" t="s">
        <v>116</v>
      </c>
      <c r="D362" s="21" t="s">
        <v>247</v>
      </c>
      <c r="E362" s="21" t="s">
        <v>156</v>
      </c>
      <c r="F362" s="21" t="s">
        <v>560</v>
      </c>
    </row>
    <row r="363" spans="1:6">
      <c r="A363" s="21" t="s">
        <v>305</v>
      </c>
      <c r="B363" s="21" t="s">
        <v>61</v>
      </c>
      <c r="C363" s="21" t="s">
        <v>51</v>
      </c>
      <c r="D363" s="21" t="s">
        <v>111</v>
      </c>
      <c r="E363" s="21" t="s">
        <v>156</v>
      </c>
      <c r="F363" s="21" t="s">
        <v>560</v>
      </c>
    </row>
    <row r="364" spans="1:6">
      <c r="A364" s="21" t="s">
        <v>169</v>
      </c>
      <c r="B364" s="21" t="s">
        <v>61</v>
      </c>
      <c r="C364" s="21" t="s">
        <v>116</v>
      </c>
      <c r="D364" s="21" t="s">
        <v>163</v>
      </c>
      <c r="E364" s="21" t="s">
        <v>156</v>
      </c>
      <c r="F364" s="21" t="s">
        <v>560</v>
      </c>
    </row>
    <row r="365" spans="1:6">
      <c r="A365" s="21" t="s">
        <v>170</v>
      </c>
      <c r="B365" s="21" t="s">
        <v>61</v>
      </c>
      <c r="C365" s="21" t="s">
        <v>116</v>
      </c>
      <c r="D365" s="21" t="s">
        <v>163</v>
      </c>
      <c r="E365" s="21" t="s">
        <v>156</v>
      </c>
      <c r="F365" s="21" t="s">
        <v>560</v>
      </c>
    </row>
    <row r="366" spans="1:6">
      <c r="A366" s="21" t="s">
        <v>230</v>
      </c>
      <c r="B366" s="21" t="s">
        <v>61</v>
      </c>
      <c r="C366" s="21" t="s">
        <v>116</v>
      </c>
      <c r="D366" s="21" t="s">
        <v>188</v>
      </c>
      <c r="E366" s="21" t="s">
        <v>156</v>
      </c>
      <c r="F366" s="21" t="s">
        <v>560</v>
      </c>
    </row>
    <row r="367" spans="1:6">
      <c r="A367" s="21" t="s">
        <v>184</v>
      </c>
      <c r="B367" s="21" t="s">
        <v>61</v>
      </c>
      <c r="C367" s="21" t="s">
        <v>116</v>
      </c>
      <c r="D367" s="21" t="s">
        <v>174</v>
      </c>
      <c r="E367" s="21" t="s">
        <v>156</v>
      </c>
      <c r="F367" s="21" t="s">
        <v>560</v>
      </c>
    </row>
    <row r="368" spans="1:6">
      <c r="A368" s="21" t="s">
        <v>309</v>
      </c>
      <c r="B368" s="21" t="s">
        <v>61</v>
      </c>
      <c r="C368" s="21" t="s">
        <v>51</v>
      </c>
      <c r="D368" s="21" t="s">
        <v>114</v>
      </c>
      <c r="E368" s="21" t="s">
        <v>156</v>
      </c>
      <c r="F368" s="21" t="s">
        <v>560</v>
      </c>
    </row>
    <row r="369" spans="1:6">
      <c r="A369" s="21" t="s">
        <v>310</v>
      </c>
      <c r="B369" s="21" t="s">
        <v>50</v>
      </c>
      <c r="C369" s="21" t="s">
        <v>51</v>
      </c>
      <c r="D369" s="21" t="s">
        <v>114</v>
      </c>
      <c r="E369" s="21" t="s">
        <v>156</v>
      </c>
      <c r="F369" s="21" t="s">
        <v>560</v>
      </c>
    </row>
    <row r="370" spans="1:6">
      <c r="A370" s="21" t="s">
        <v>311</v>
      </c>
      <c r="B370" s="21" t="s">
        <v>50</v>
      </c>
      <c r="C370" s="21" t="s">
        <v>51</v>
      </c>
      <c r="D370" s="21" t="s">
        <v>114</v>
      </c>
      <c r="E370" s="21" t="s">
        <v>156</v>
      </c>
      <c r="F370" s="21" t="s">
        <v>560</v>
      </c>
    </row>
    <row r="371" spans="1:6">
      <c r="A371" s="21" t="s">
        <v>185</v>
      </c>
      <c r="B371" s="21" t="s">
        <v>61</v>
      </c>
      <c r="C371" s="21" t="s">
        <v>116</v>
      </c>
      <c r="D371" s="21" t="s">
        <v>174</v>
      </c>
      <c r="E371" s="21" t="s">
        <v>156</v>
      </c>
      <c r="F371" s="21" t="s">
        <v>560</v>
      </c>
    </row>
    <row r="372" spans="1:6">
      <c r="A372" s="21" t="s">
        <v>312</v>
      </c>
      <c r="B372" s="21" t="s">
        <v>61</v>
      </c>
      <c r="C372" s="21" t="s">
        <v>51</v>
      </c>
      <c r="D372" s="21" t="s">
        <v>114</v>
      </c>
      <c r="E372" s="21" t="s">
        <v>156</v>
      </c>
      <c r="F372" s="21" t="s">
        <v>560</v>
      </c>
    </row>
    <row r="373" spans="1:6">
      <c r="A373" s="21" t="s">
        <v>313</v>
      </c>
      <c r="B373" s="21" t="s">
        <v>61</v>
      </c>
      <c r="C373" s="21" t="s">
        <v>51</v>
      </c>
      <c r="D373" s="21" t="s">
        <v>114</v>
      </c>
      <c r="E373" s="21" t="s">
        <v>156</v>
      </c>
      <c r="F373" s="21" t="s">
        <v>560</v>
      </c>
    </row>
    <row r="374" spans="1:6">
      <c r="A374" s="21" t="s">
        <v>581</v>
      </c>
      <c r="B374" s="21" t="s">
        <v>50</v>
      </c>
      <c r="C374" s="21" t="s">
        <v>51</v>
      </c>
      <c r="D374" s="21" t="s">
        <v>114</v>
      </c>
      <c r="E374" s="21" t="s">
        <v>156</v>
      </c>
      <c r="F374" s="21" t="s">
        <v>560</v>
      </c>
    </row>
    <row r="375" spans="1:6">
      <c r="A375" s="21" t="s">
        <v>314</v>
      </c>
      <c r="B375" s="21" t="s">
        <v>61</v>
      </c>
      <c r="C375" s="21" t="s">
        <v>51</v>
      </c>
      <c r="D375" s="21" t="s">
        <v>114</v>
      </c>
      <c r="E375" s="21" t="s">
        <v>156</v>
      </c>
      <c r="F375" s="21" t="s">
        <v>560</v>
      </c>
    </row>
    <row r="376" spans="1:6">
      <c r="A376" s="21" t="s">
        <v>301</v>
      </c>
      <c r="B376" s="21" t="s">
        <v>61</v>
      </c>
      <c r="C376" s="21" t="s">
        <v>51</v>
      </c>
      <c r="D376" s="21" t="s">
        <v>111</v>
      </c>
      <c r="E376" s="21" t="s">
        <v>156</v>
      </c>
      <c r="F376" s="21" t="s">
        <v>560</v>
      </c>
    </row>
    <row r="377" spans="1:6">
      <c r="A377" s="21" t="s">
        <v>302</v>
      </c>
      <c r="B377" s="21" t="s">
        <v>61</v>
      </c>
      <c r="C377" s="21" t="s">
        <v>51</v>
      </c>
      <c r="D377" s="21" t="s">
        <v>111</v>
      </c>
      <c r="E377" s="21" t="s">
        <v>156</v>
      </c>
      <c r="F377" s="21" t="s">
        <v>560</v>
      </c>
    </row>
    <row r="378" spans="1:6">
      <c r="A378" s="21" t="s">
        <v>231</v>
      </c>
      <c r="B378" s="21" t="s">
        <v>61</v>
      </c>
      <c r="C378" s="21" t="s">
        <v>116</v>
      </c>
      <c r="D378" s="21" t="s">
        <v>188</v>
      </c>
      <c r="E378" s="21" t="s">
        <v>156</v>
      </c>
      <c r="F378" s="21" t="s">
        <v>560</v>
      </c>
    </row>
    <row r="379" spans="1:6">
      <c r="A379" s="21" t="s">
        <v>186</v>
      </c>
      <c r="B379" s="21" t="s">
        <v>61</v>
      </c>
      <c r="C379" s="21" t="s">
        <v>116</v>
      </c>
      <c r="D379" s="21" t="s">
        <v>174</v>
      </c>
      <c r="E379" s="21" t="s">
        <v>156</v>
      </c>
      <c r="F379" s="21" t="s">
        <v>560</v>
      </c>
    </row>
    <row r="380" spans="1:6">
      <c r="A380" s="21" t="s">
        <v>281</v>
      </c>
      <c r="B380" s="21" t="s">
        <v>61</v>
      </c>
      <c r="C380" s="21" t="s">
        <v>51</v>
      </c>
      <c r="D380" s="21" t="s">
        <v>280</v>
      </c>
      <c r="E380" s="21" t="s">
        <v>156</v>
      </c>
      <c r="F380" s="21" t="s">
        <v>560</v>
      </c>
    </row>
    <row r="381" spans="1:6">
      <c r="A381" s="21" t="s">
        <v>154</v>
      </c>
      <c r="B381" s="21" t="s">
        <v>61</v>
      </c>
      <c r="C381" s="21" t="s">
        <v>51</v>
      </c>
      <c r="D381" s="21" t="s">
        <v>155</v>
      </c>
      <c r="E381" s="21" t="s">
        <v>156</v>
      </c>
      <c r="F381" s="21" t="s">
        <v>560</v>
      </c>
    </row>
    <row r="382" spans="1:6">
      <c r="A382" s="21" t="s">
        <v>284</v>
      </c>
      <c r="B382" s="21" t="s">
        <v>61</v>
      </c>
      <c r="C382" s="21" t="s">
        <v>51</v>
      </c>
      <c r="D382" s="21" t="s">
        <v>285</v>
      </c>
      <c r="E382" s="21" t="s">
        <v>156</v>
      </c>
      <c r="F382" s="21" t="s">
        <v>560</v>
      </c>
    </row>
    <row r="383" spans="1:6">
      <c r="A383" s="21" t="s">
        <v>286</v>
      </c>
      <c r="B383" s="21" t="s">
        <v>61</v>
      </c>
      <c r="C383" s="21" t="s">
        <v>51</v>
      </c>
      <c r="D383" s="21" t="s">
        <v>285</v>
      </c>
      <c r="E383" s="21" t="s">
        <v>156</v>
      </c>
      <c r="F383" s="21" t="s">
        <v>560</v>
      </c>
    </row>
    <row r="384" spans="1:6">
      <c r="A384" s="21" t="s">
        <v>232</v>
      </c>
      <c r="B384" s="21" t="s">
        <v>61</v>
      </c>
      <c r="C384" s="21" t="s">
        <v>116</v>
      </c>
      <c r="D384" s="21" t="s">
        <v>188</v>
      </c>
      <c r="E384" s="21" t="s">
        <v>156</v>
      </c>
      <c r="F384" s="21" t="s">
        <v>560</v>
      </c>
    </row>
    <row r="385" spans="1:6">
      <c r="A385" s="21" t="s">
        <v>233</v>
      </c>
      <c r="B385" s="21" t="s">
        <v>61</v>
      </c>
      <c r="C385" s="21" t="s">
        <v>116</v>
      </c>
      <c r="D385" s="21" t="s">
        <v>188</v>
      </c>
      <c r="E385" s="21" t="s">
        <v>156</v>
      </c>
      <c r="F385" s="21" t="s">
        <v>560</v>
      </c>
    </row>
    <row r="386" spans="1:6">
      <c r="A386" s="21" t="s">
        <v>306</v>
      </c>
      <c r="B386" s="21" t="s">
        <v>61</v>
      </c>
      <c r="C386" s="21" t="s">
        <v>51</v>
      </c>
      <c r="D386" s="21" t="s">
        <v>276</v>
      </c>
      <c r="E386" s="21" t="s">
        <v>156</v>
      </c>
      <c r="F386" s="21" t="s">
        <v>560</v>
      </c>
    </row>
    <row r="387" spans="1:6">
      <c r="A387" s="21" t="s">
        <v>307</v>
      </c>
      <c r="B387" s="21" t="s">
        <v>61</v>
      </c>
      <c r="C387" s="21" t="s">
        <v>51</v>
      </c>
      <c r="D387" s="21" t="s">
        <v>276</v>
      </c>
      <c r="E387" s="21" t="s">
        <v>156</v>
      </c>
      <c r="F387" s="21" t="s">
        <v>560</v>
      </c>
    </row>
    <row r="388" spans="1:6">
      <c r="A388" s="21" t="s">
        <v>234</v>
      </c>
      <c r="B388" s="21" t="s">
        <v>61</v>
      </c>
      <c r="C388" s="21" t="s">
        <v>116</v>
      </c>
      <c r="D388" s="21" t="s">
        <v>188</v>
      </c>
      <c r="E388" s="21" t="s">
        <v>156</v>
      </c>
      <c r="F388" s="21" t="s">
        <v>560</v>
      </c>
    </row>
    <row r="389" spans="1:6">
      <c r="A389" s="21" t="s">
        <v>235</v>
      </c>
      <c r="B389" s="21" t="s">
        <v>61</v>
      </c>
      <c r="C389" s="21" t="s">
        <v>116</v>
      </c>
      <c r="D389" s="21" t="s">
        <v>572</v>
      </c>
      <c r="E389" s="21" t="s">
        <v>156</v>
      </c>
      <c r="F389" s="21" t="s">
        <v>560</v>
      </c>
    </row>
    <row r="390" spans="1:6">
      <c r="A390" s="21" t="s">
        <v>582</v>
      </c>
      <c r="B390" s="21" t="s">
        <v>61</v>
      </c>
      <c r="C390" s="21" t="s">
        <v>116</v>
      </c>
      <c r="D390" s="21" t="s">
        <v>572</v>
      </c>
      <c r="E390" s="21" t="s">
        <v>156</v>
      </c>
      <c r="F390" s="21" t="s">
        <v>560</v>
      </c>
    </row>
    <row r="391" spans="1:6">
      <c r="A391" s="21" t="s">
        <v>583</v>
      </c>
      <c r="B391" s="21" t="s">
        <v>61</v>
      </c>
      <c r="C391" s="21" t="s">
        <v>116</v>
      </c>
      <c r="D391" s="21" t="s">
        <v>572</v>
      </c>
      <c r="E391" s="21" t="s">
        <v>156</v>
      </c>
      <c r="F391" s="21" t="s">
        <v>560</v>
      </c>
    </row>
    <row r="392" spans="1:6">
      <c r="A392" s="21" t="s">
        <v>584</v>
      </c>
      <c r="B392" s="21" t="s">
        <v>61</v>
      </c>
      <c r="C392" s="21" t="s">
        <v>116</v>
      </c>
      <c r="D392" s="21" t="s">
        <v>188</v>
      </c>
      <c r="E392" s="21" t="s">
        <v>156</v>
      </c>
      <c r="F392" s="21" t="s">
        <v>560</v>
      </c>
    </row>
    <row r="393" spans="1:6">
      <c r="A393" s="21" t="s">
        <v>315</v>
      </c>
      <c r="B393" s="21" t="s">
        <v>61</v>
      </c>
      <c r="C393" s="21" t="s">
        <v>51</v>
      </c>
      <c r="D393" s="21" t="s">
        <v>114</v>
      </c>
      <c r="E393" s="21" t="s">
        <v>156</v>
      </c>
      <c r="F393" s="21" t="s">
        <v>560</v>
      </c>
    </row>
    <row r="394" spans="1:6">
      <c r="A394" s="21" t="s">
        <v>551</v>
      </c>
      <c r="B394" s="21" t="s">
        <v>61</v>
      </c>
      <c r="C394" s="21" t="s">
        <v>51</v>
      </c>
      <c r="D394" s="21" t="s">
        <v>114</v>
      </c>
      <c r="E394" s="21" t="s">
        <v>156</v>
      </c>
      <c r="F394" s="21" t="s">
        <v>560</v>
      </c>
    </row>
    <row r="395" spans="1:6">
      <c r="A395" s="21" t="s">
        <v>316</v>
      </c>
      <c r="B395" s="21" t="s">
        <v>61</v>
      </c>
      <c r="C395" s="21" t="s">
        <v>51</v>
      </c>
      <c r="D395" s="21" t="s">
        <v>114</v>
      </c>
      <c r="E395" s="21" t="s">
        <v>156</v>
      </c>
      <c r="F395" s="21" t="s">
        <v>560</v>
      </c>
    </row>
    <row r="396" spans="1:6">
      <c r="A396" s="21" t="s">
        <v>317</v>
      </c>
      <c r="B396" s="21" t="s">
        <v>61</v>
      </c>
      <c r="C396" s="21" t="s">
        <v>51</v>
      </c>
      <c r="D396" s="21" t="s">
        <v>114</v>
      </c>
      <c r="E396" s="21" t="s">
        <v>156</v>
      </c>
      <c r="F396" s="21" t="s">
        <v>560</v>
      </c>
    </row>
    <row r="397" spans="1:6">
      <c r="A397" s="21" t="s">
        <v>318</v>
      </c>
      <c r="B397" s="21" t="s">
        <v>61</v>
      </c>
      <c r="C397" s="21" t="s">
        <v>51</v>
      </c>
      <c r="D397" s="21" t="s">
        <v>114</v>
      </c>
      <c r="E397" s="21" t="s">
        <v>156</v>
      </c>
      <c r="F397" s="21" t="s">
        <v>560</v>
      </c>
    </row>
    <row r="398" spans="1:6">
      <c r="A398" s="21" t="s">
        <v>290</v>
      </c>
      <c r="B398" s="21" t="s">
        <v>61</v>
      </c>
      <c r="C398" s="21" t="s">
        <v>51</v>
      </c>
      <c r="D398" s="21" t="s">
        <v>85</v>
      </c>
      <c r="E398" s="21" t="s">
        <v>156</v>
      </c>
      <c r="F398" s="21" t="s">
        <v>560</v>
      </c>
    </row>
    <row r="399" spans="1:6">
      <c r="A399" s="21" t="s">
        <v>157</v>
      </c>
      <c r="B399" s="21" t="s">
        <v>61</v>
      </c>
      <c r="C399" s="21" t="s">
        <v>51</v>
      </c>
      <c r="D399" s="21" t="s">
        <v>158</v>
      </c>
      <c r="E399" s="21" t="s">
        <v>156</v>
      </c>
      <c r="F399" s="21" t="s">
        <v>560</v>
      </c>
    </row>
    <row r="400" spans="1:6">
      <c r="A400" s="21" t="s">
        <v>159</v>
      </c>
      <c r="B400" s="21" t="s">
        <v>61</v>
      </c>
      <c r="C400" s="21" t="s">
        <v>51</v>
      </c>
      <c r="D400" s="21" t="s">
        <v>158</v>
      </c>
      <c r="E400" s="21" t="s">
        <v>156</v>
      </c>
      <c r="F400" s="21" t="s">
        <v>560</v>
      </c>
    </row>
    <row r="401" spans="1:6">
      <c r="A401" s="21" t="s">
        <v>236</v>
      </c>
      <c r="B401" s="21" t="s">
        <v>61</v>
      </c>
      <c r="C401" s="21" t="s">
        <v>116</v>
      </c>
      <c r="D401" s="21" t="s">
        <v>188</v>
      </c>
      <c r="E401" s="21" t="s">
        <v>156</v>
      </c>
      <c r="F401" s="21" t="s">
        <v>560</v>
      </c>
    </row>
    <row r="402" spans="1:6">
      <c r="A402" s="21" t="s">
        <v>585</v>
      </c>
      <c r="B402" s="21" t="s">
        <v>61</v>
      </c>
      <c r="C402" s="21" t="s">
        <v>116</v>
      </c>
      <c r="D402" s="21" t="s">
        <v>188</v>
      </c>
      <c r="E402" s="21" t="s">
        <v>156</v>
      </c>
      <c r="F402" s="21" t="s">
        <v>560</v>
      </c>
    </row>
    <row r="403" spans="1:6">
      <c r="A403" s="21" t="s">
        <v>187</v>
      </c>
      <c r="B403" s="21" t="s">
        <v>61</v>
      </c>
      <c r="C403" s="21" t="s">
        <v>116</v>
      </c>
      <c r="D403" s="21" t="s">
        <v>188</v>
      </c>
      <c r="E403" s="21" t="s">
        <v>156</v>
      </c>
      <c r="F403" s="21" t="s">
        <v>560</v>
      </c>
    </row>
    <row r="404" spans="1:6">
      <c r="A404" s="21" t="s">
        <v>189</v>
      </c>
      <c r="B404" s="21" t="s">
        <v>61</v>
      </c>
      <c r="C404" s="21" t="s">
        <v>116</v>
      </c>
      <c r="D404" s="21" t="s">
        <v>188</v>
      </c>
      <c r="E404" s="21" t="s">
        <v>156</v>
      </c>
      <c r="F404" s="21" t="s">
        <v>560</v>
      </c>
    </row>
    <row r="405" spans="1:6">
      <c r="A405" s="21" t="s">
        <v>190</v>
      </c>
      <c r="B405" s="21" t="s">
        <v>61</v>
      </c>
      <c r="C405" s="21" t="s">
        <v>116</v>
      </c>
      <c r="D405" s="21" t="s">
        <v>191</v>
      </c>
      <c r="E405" s="21" t="s">
        <v>156</v>
      </c>
      <c r="F405" s="21" t="s">
        <v>560</v>
      </c>
    </row>
    <row r="406" spans="1:6">
      <c r="A406" s="21" t="s">
        <v>586</v>
      </c>
      <c r="B406" s="21" t="s">
        <v>50</v>
      </c>
      <c r="C406" s="21" t="s">
        <v>116</v>
      </c>
      <c r="D406" s="21" t="s">
        <v>191</v>
      </c>
      <c r="E406" s="21" t="s">
        <v>156</v>
      </c>
      <c r="F406" s="21" t="s">
        <v>560</v>
      </c>
    </row>
    <row r="407" spans="1:6">
      <c r="A407" s="21" t="s">
        <v>192</v>
      </c>
      <c r="B407" s="21" t="s">
        <v>61</v>
      </c>
      <c r="C407" s="21" t="s">
        <v>116</v>
      </c>
      <c r="D407" s="21" t="s">
        <v>188</v>
      </c>
      <c r="E407" s="21" t="s">
        <v>156</v>
      </c>
      <c r="F407" s="21" t="s">
        <v>560</v>
      </c>
    </row>
    <row r="408" spans="1:6">
      <c r="A408" s="21" t="s">
        <v>193</v>
      </c>
      <c r="B408" s="21" t="s">
        <v>61</v>
      </c>
      <c r="C408" s="21" t="s">
        <v>116</v>
      </c>
      <c r="D408" s="21" t="s">
        <v>188</v>
      </c>
      <c r="E408" s="21" t="s">
        <v>156</v>
      </c>
      <c r="F408" s="21" t="s">
        <v>560</v>
      </c>
    </row>
    <row r="409" spans="1:6">
      <c r="A409" s="21" t="s">
        <v>194</v>
      </c>
      <c r="B409" s="21" t="s">
        <v>61</v>
      </c>
      <c r="C409" s="21" t="s">
        <v>116</v>
      </c>
      <c r="D409" s="21" t="s">
        <v>188</v>
      </c>
      <c r="E409" s="21" t="s">
        <v>156</v>
      </c>
      <c r="F409" s="21" t="s">
        <v>560</v>
      </c>
    </row>
    <row r="410" spans="1:6">
      <c r="A410" s="21" t="s">
        <v>195</v>
      </c>
      <c r="B410" s="21" t="s">
        <v>61</v>
      </c>
      <c r="C410" s="21" t="s">
        <v>116</v>
      </c>
      <c r="D410" s="21" t="s">
        <v>188</v>
      </c>
      <c r="E410" s="21" t="s">
        <v>156</v>
      </c>
      <c r="F410" s="21" t="s">
        <v>560</v>
      </c>
    </row>
    <row r="411" spans="1:6">
      <c r="A411" s="21" t="s">
        <v>196</v>
      </c>
      <c r="B411" s="21" t="s">
        <v>61</v>
      </c>
      <c r="C411" s="21" t="s">
        <v>116</v>
      </c>
      <c r="D411" s="21" t="s">
        <v>188</v>
      </c>
      <c r="E411" s="21" t="s">
        <v>156</v>
      </c>
      <c r="F411" s="21" t="s">
        <v>560</v>
      </c>
    </row>
    <row r="412" spans="1:6">
      <c r="A412" s="21" t="s">
        <v>197</v>
      </c>
      <c r="B412" s="21" t="s">
        <v>61</v>
      </c>
      <c r="C412" s="21" t="s">
        <v>116</v>
      </c>
      <c r="D412" s="21" t="s">
        <v>188</v>
      </c>
      <c r="E412" s="21" t="s">
        <v>156</v>
      </c>
      <c r="F412" s="21" t="s">
        <v>560</v>
      </c>
    </row>
    <row r="413" spans="1:6">
      <c r="A413" s="21" t="s">
        <v>198</v>
      </c>
      <c r="B413" s="21" t="s">
        <v>61</v>
      </c>
      <c r="C413" s="21" t="s">
        <v>116</v>
      </c>
      <c r="D413" s="21" t="s">
        <v>188</v>
      </c>
      <c r="E413" s="21" t="s">
        <v>156</v>
      </c>
      <c r="F413" s="21" t="s">
        <v>560</v>
      </c>
    </row>
    <row r="414" spans="1:6">
      <c r="A414" s="21" t="s">
        <v>237</v>
      </c>
      <c r="B414" s="21" t="s">
        <v>61</v>
      </c>
      <c r="C414" s="21" t="s">
        <v>116</v>
      </c>
      <c r="D414" s="21" t="s">
        <v>188</v>
      </c>
      <c r="E414" s="21" t="s">
        <v>156</v>
      </c>
      <c r="F414" s="21" t="s">
        <v>560</v>
      </c>
    </row>
    <row r="415" spans="1:6">
      <c r="A415" s="21" t="s">
        <v>199</v>
      </c>
      <c r="B415" s="21" t="s">
        <v>61</v>
      </c>
      <c r="C415" s="21" t="s">
        <v>116</v>
      </c>
      <c r="D415" s="21" t="s">
        <v>188</v>
      </c>
      <c r="E415" s="21" t="s">
        <v>156</v>
      </c>
      <c r="F415" s="21" t="s">
        <v>560</v>
      </c>
    </row>
    <row r="416" spans="1:6">
      <c r="A416" s="21" t="s">
        <v>200</v>
      </c>
      <c r="B416" s="21" t="s">
        <v>61</v>
      </c>
      <c r="C416" s="21" t="s">
        <v>116</v>
      </c>
      <c r="D416" s="21" t="s">
        <v>188</v>
      </c>
      <c r="E416" s="21" t="s">
        <v>156</v>
      </c>
      <c r="F416" s="21" t="s">
        <v>560</v>
      </c>
    </row>
    <row r="417" spans="1:6">
      <c r="A417" s="21" t="s">
        <v>201</v>
      </c>
      <c r="B417" s="21" t="s">
        <v>61</v>
      </c>
      <c r="C417" s="21" t="s">
        <v>116</v>
      </c>
      <c r="D417" s="21" t="s">
        <v>188</v>
      </c>
      <c r="E417" s="21" t="s">
        <v>156</v>
      </c>
      <c r="F417" s="21" t="s">
        <v>560</v>
      </c>
    </row>
    <row r="418" spans="1:6">
      <c r="A418" s="21" t="s">
        <v>202</v>
      </c>
      <c r="B418" s="21" t="s">
        <v>61</v>
      </c>
      <c r="C418" s="21" t="s">
        <v>116</v>
      </c>
      <c r="D418" s="21" t="s">
        <v>188</v>
      </c>
      <c r="E418" s="21" t="s">
        <v>156</v>
      </c>
      <c r="F418" s="21" t="s">
        <v>560</v>
      </c>
    </row>
    <row r="419" spans="1:6">
      <c r="A419" s="21" t="s">
        <v>203</v>
      </c>
      <c r="B419" s="21" t="s">
        <v>61</v>
      </c>
      <c r="C419" s="21" t="s">
        <v>116</v>
      </c>
      <c r="D419" s="21" t="s">
        <v>188</v>
      </c>
      <c r="E419" s="21" t="s">
        <v>156</v>
      </c>
      <c r="F419" s="21" t="s">
        <v>560</v>
      </c>
    </row>
    <row r="420" spans="1:6">
      <c r="A420" s="21" t="s">
        <v>204</v>
      </c>
      <c r="B420" s="21" t="s">
        <v>61</v>
      </c>
      <c r="C420" s="21" t="s">
        <v>116</v>
      </c>
      <c r="D420" s="21" t="s">
        <v>188</v>
      </c>
      <c r="E420" s="21" t="s">
        <v>156</v>
      </c>
      <c r="F420" s="21" t="s">
        <v>560</v>
      </c>
    </row>
    <row r="421" spans="1:6">
      <c r="A421" s="21" t="s">
        <v>205</v>
      </c>
      <c r="B421" s="21" t="s">
        <v>61</v>
      </c>
      <c r="C421" s="21" t="s">
        <v>116</v>
      </c>
      <c r="D421" s="21" t="s">
        <v>188</v>
      </c>
      <c r="E421" s="21" t="s">
        <v>156</v>
      </c>
      <c r="F421" s="21" t="s">
        <v>560</v>
      </c>
    </row>
    <row r="422" spans="1:6">
      <c r="A422" s="21" t="s">
        <v>206</v>
      </c>
      <c r="B422" s="21" t="s">
        <v>61</v>
      </c>
      <c r="C422" s="21" t="s">
        <v>116</v>
      </c>
      <c r="D422" s="21" t="s">
        <v>188</v>
      </c>
      <c r="E422" s="21" t="s">
        <v>156</v>
      </c>
      <c r="F422" s="21" t="s">
        <v>560</v>
      </c>
    </row>
    <row r="423" spans="1:6">
      <c r="A423" s="21" t="s">
        <v>257</v>
      </c>
      <c r="B423" s="21" t="s">
        <v>61</v>
      </c>
      <c r="C423" s="21" t="s">
        <v>116</v>
      </c>
      <c r="D423" s="21" t="s">
        <v>247</v>
      </c>
      <c r="E423" s="21" t="s">
        <v>156</v>
      </c>
      <c r="F423" s="21" t="s">
        <v>560</v>
      </c>
    </row>
    <row r="424" spans="1:6">
      <c r="A424" s="21" t="s">
        <v>258</v>
      </c>
      <c r="B424" s="21" t="s">
        <v>61</v>
      </c>
      <c r="C424" s="21" t="s">
        <v>116</v>
      </c>
      <c r="D424" s="21" t="s">
        <v>247</v>
      </c>
      <c r="E424" s="21" t="s">
        <v>156</v>
      </c>
      <c r="F424" s="21" t="s">
        <v>560</v>
      </c>
    </row>
    <row r="425" spans="1:6">
      <c r="A425" s="21" t="s">
        <v>259</v>
      </c>
      <c r="B425" s="21" t="s">
        <v>61</v>
      </c>
      <c r="C425" s="21" t="s">
        <v>116</v>
      </c>
      <c r="D425" s="21" t="s">
        <v>247</v>
      </c>
      <c r="E425" s="21" t="s">
        <v>156</v>
      </c>
      <c r="F425" s="21" t="s">
        <v>560</v>
      </c>
    </row>
    <row r="426" spans="1:6">
      <c r="A426" s="21" t="s">
        <v>260</v>
      </c>
      <c r="B426" s="21" t="s">
        <v>61</v>
      </c>
      <c r="C426" s="21" t="s">
        <v>116</v>
      </c>
      <c r="D426" s="21" t="s">
        <v>247</v>
      </c>
      <c r="E426" s="21" t="s">
        <v>156</v>
      </c>
      <c r="F426" s="21" t="s">
        <v>560</v>
      </c>
    </row>
    <row r="427" spans="1:6">
      <c r="A427" s="21" t="s">
        <v>587</v>
      </c>
      <c r="B427" s="21" t="s">
        <v>50</v>
      </c>
      <c r="C427" s="21" t="s">
        <v>116</v>
      </c>
      <c r="D427" s="21" t="s">
        <v>247</v>
      </c>
      <c r="E427" s="21" t="s">
        <v>156</v>
      </c>
      <c r="F427" s="21" t="s">
        <v>560</v>
      </c>
    </row>
    <row r="428" spans="1:6">
      <c r="A428" s="21" t="s">
        <v>261</v>
      </c>
      <c r="B428" s="21" t="s">
        <v>61</v>
      </c>
      <c r="C428" s="21" t="s">
        <v>116</v>
      </c>
      <c r="D428" s="21" t="s">
        <v>247</v>
      </c>
      <c r="E428" s="21" t="s">
        <v>156</v>
      </c>
      <c r="F428" s="21" t="s">
        <v>560</v>
      </c>
    </row>
    <row r="429" spans="1:6">
      <c r="A429" s="21" t="s">
        <v>262</v>
      </c>
      <c r="B429" s="21" t="s">
        <v>61</v>
      </c>
      <c r="C429" s="21" t="s">
        <v>116</v>
      </c>
      <c r="D429" s="21" t="s">
        <v>247</v>
      </c>
      <c r="E429" s="21" t="s">
        <v>156</v>
      </c>
      <c r="F429" s="21" t="s">
        <v>560</v>
      </c>
    </row>
    <row r="430" spans="1:6">
      <c r="A430" s="21" t="s">
        <v>263</v>
      </c>
      <c r="B430" s="21" t="s">
        <v>61</v>
      </c>
      <c r="C430" s="21" t="s">
        <v>116</v>
      </c>
      <c r="D430" s="21" t="s">
        <v>247</v>
      </c>
      <c r="E430" s="21" t="s">
        <v>156</v>
      </c>
      <c r="F430" s="21" t="s">
        <v>560</v>
      </c>
    </row>
    <row r="431" spans="1:6">
      <c r="A431" s="21" t="s">
        <v>238</v>
      </c>
      <c r="B431" s="21" t="s">
        <v>61</v>
      </c>
      <c r="C431" s="21" t="s">
        <v>116</v>
      </c>
      <c r="D431" s="21" t="s">
        <v>136</v>
      </c>
      <c r="E431" s="21" t="s">
        <v>156</v>
      </c>
      <c r="F431" s="21" t="s">
        <v>560</v>
      </c>
    </row>
    <row r="432" spans="1:6">
      <c r="A432" s="21" t="s">
        <v>275</v>
      </c>
      <c r="B432" s="21" t="s">
        <v>61</v>
      </c>
      <c r="C432" s="21" t="s">
        <v>51</v>
      </c>
      <c r="D432" s="21" t="s">
        <v>276</v>
      </c>
      <c r="E432" s="21" t="s">
        <v>156</v>
      </c>
      <c r="F432" s="21" t="s">
        <v>560</v>
      </c>
    </row>
    <row r="433" spans="1:6">
      <c r="A433" s="21" t="s">
        <v>239</v>
      </c>
      <c r="B433" s="21" t="s">
        <v>61</v>
      </c>
      <c r="C433" s="21" t="s">
        <v>116</v>
      </c>
      <c r="D433" s="21" t="s">
        <v>136</v>
      </c>
      <c r="E433" s="21" t="s">
        <v>156</v>
      </c>
      <c r="F433" s="21" t="s">
        <v>560</v>
      </c>
    </row>
    <row r="434" spans="1:6">
      <c r="A434" s="21" t="s">
        <v>588</v>
      </c>
      <c r="B434" s="21" t="s">
        <v>50</v>
      </c>
      <c r="C434" s="21" t="s">
        <v>116</v>
      </c>
      <c r="D434" s="21" t="s">
        <v>136</v>
      </c>
      <c r="E434" s="21" t="s">
        <v>156</v>
      </c>
      <c r="F434" s="21" t="s">
        <v>560</v>
      </c>
    </row>
    <row r="435" spans="1:6">
      <c r="A435" s="21" t="s">
        <v>264</v>
      </c>
      <c r="B435" s="21" t="s">
        <v>61</v>
      </c>
      <c r="C435" s="21" t="s">
        <v>116</v>
      </c>
      <c r="D435" s="21" t="s">
        <v>247</v>
      </c>
      <c r="E435" s="21" t="s">
        <v>156</v>
      </c>
      <c r="F435" s="21" t="s">
        <v>560</v>
      </c>
    </row>
    <row r="436" spans="1:6">
      <c r="A436" s="21" t="s">
        <v>265</v>
      </c>
      <c r="B436" s="21" t="s">
        <v>61</v>
      </c>
      <c r="C436" s="21" t="s">
        <v>116</v>
      </c>
      <c r="D436" s="21" t="s">
        <v>247</v>
      </c>
      <c r="E436" s="21" t="s">
        <v>156</v>
      </c>
      <c r="F436" s="21" t="s">
        <v>560</v>
      </c>
    </row>
    <row r="437" spans="1:6">
      <c r="A437" s="21" t="s">
        <v>282</v>
      </c>
      <c r="B437" s="21" t="s">
        <v>61</v>
      </c>
      <c r="C437" s="21" t="s">
        <v>51</v>
      </c>
      <c r="D437" s="21" t="s">
        <v>283</v>
      </c>
      <c r="E437" s="21" t="s">
        <v>156</v>
      </c>
      <c r="F437" s="21" t="s">
        <v>560</v>
      </c>
    </row>
    <row r="438" spans="1:6">
      <c r="A438" s="21" t="s">
        <v>277</v>
      </c>
      <c r="B438" s="21" t="s">
        <v>50</v>
      </c>
      <c r="C438" s="21" t="s">
        <v>51</v>
      </c>
      <c r="D438" s="21" t="s">
        <v>278</v>
      </c>
      <c r="E438" s="21" t="s">
        <v>156</v>
      </c>
      <c r="F438" s="21" t="s">
        <v>560</v>
      </c>
    </row>
    <row r="439" spans="1:6">
      <c r="A439" s="21" t="s">
        <v>266</v>
      </c>
      <c r="B439" s="21" t="s">
        <v>50</v>
      </c>
      <c r="C439" s="21" t="s">
        <v>116</v>
      </c>
      <c r="D439" s="21" t="s">
        <v>247</v>
      </c>
      <c r="E439" s="21" t="s">
        <v>156</v>
      </c>
      <c r="F439" s="21" t="s">
        <v>560</v>
      </c>
    </row>
    <row r="440" spans="1:6">
      <c r="A440" s="21" t="s">
        <v>267</v>
      </c>
      <c r="B440" s="21" t="s">
        <v>61</v>
      </c>
      <c r="C440" s="21" t="s">
        <v>116</v>
      </c>
      <c r="D440" s="21" t="s">
        <v>247</v>
      </c>
      <c r="E440" s="21" t="s">
        <v>156</v>
      </c>
      <c r="F440" s="21" t="s">
        <v>560</v>
      </c>
    </row>
    <row r="441" spans="1:6">
      <c r="A441" s="21" t="s">
        <v>268</v>
      </c>
      <c r="B441" s="21" t="s">
        <v>61</v>
      </c>
      <c r="C441" s="21" t="s">
        <v>116</v>
      </c>
      <c r="D441" s="21" t="s">
        <v>247</v>
      </c>
      <c r="E441" s="21" t="s">
        <v>156</v>
      </c>
      <c r="F441" s="21" t="s">
        <v>560</v>
      </c>
    </row>
    <row r="442" spans="1:6">
      <c r="A442" s="21" t="s">
        <v>269</v>
      </c>
      <c r="B442" s="21" t="s">
        <v>61</v>
      </c>
      <c r="C442" s="21" t="s">
        <v>116</v>
      </c>
      <c r="D442" s="21" t="s">
        <v>247</v>
      </c>
      <c r="E442" s="21" t="s">
        <v>156</v>
      </c>
      <c r="F442" s="21" t="s">
        <v>560</v>
      </c>
    </row>
    <row r="443" spans="1:6">
      <c r="A443" s="21" t="s">
        <v>319</v>
      </c>
      <c r="B443" s="21" t="s">
        <v>50</v>
      </c>
      <c r="C443" s="21" t="s">
        <v>51</v>
      </c>
      <c r="D443" s="21" t="s">
        <v>52</v>
      </c>
      <c r="E443" s="21" t="s">
        <v>156</v>
      </c>
      <c r="F443" s="21" t="s">
        <v>560</v>
      </c>
    </row>
    <row r="444" spans="1:6">
      <c r="A444" s="21" t="s">
        <v>287</v>
      </c>
      <c r="B444" s="21" t="s">
        <v>61</v>
      </c>
      <c r="C444" s="21" t="s">
        <v>51</v>
      </c>
      <c r="D444" s="21" t="s">
        <v>288</v>
      </c>
      <c r="E444" s="21" t="s">
        <v>156</v>
      </c>
      <c r="F444" s="21" t="s">
        <v>560</v>
      </c>
    </row>
    <row r="445" spans="1:6">
      <c r="A445" s="21" t="s">
        <v>240</v>
      </c>
      <c r="B445" s="21" t="s">
        <v>61</v>
      </c>
      <c r="C445" s="21" t="s">
        <v>116</v>
      </c>
      <c r="D445" s="21" t="s">
        <v>136</v>
      </c>
      <c r="E445" s="21" t="s">
        <v>156</v>
      </c>
      <c r="F445" s="21" t="s">
        <v>560</v>
      </c>
    </row>
    <row r="446" spans="1:6">
      <c r="A446" s="21" t="s">
        <v>320</v>
      </c>
      <c r="B446" s="21" t="s">
        <v>61</v>
      </c>
      <c r="C446" s="21" t="s">
        <v>51</v>
      </c>
      <c r="D446" s="21" t="s">
        <v>114</v>
      </c>
      <c r="E446" s="21" t="s">
        <v>156</v>
      </c>
      <c r="F446" s="21" t="s">
        <v>560</v>
      </c>
    </row>
    <row r="447" spans="1:6">
      <c r="A447" s="21" t="s">
        <v>321</v>
      </c>
      <c r="B447" s="21" t="s">
        <v>61</v>
      </c>
      <c r="C447" s="21" t="s">
        <v>51</v>
      </c>
      <c r="D447" s="21" t="s">
        <v>114</v>
      </c>
      <c r="E447" s="21" t="s">
        <v>156</v>
      </c>
      <c r="F447" s="21" t="s">
        <v>560</v>
      </c>
    </row>
    <row r="448" spans="1:6">
      <c r="A448" s="21" t="s">
        <v>322</v>
      </c>
      <c r="B448" s="21" t="s">
        <v>61</v>
      </c>
      <c r="C448" s="21" t="s">
        <v>51</v>
      </c>
      <c r="D448" s="21" t="s">
        <v>114</v>
      </c>
      <c r="E448" s="21" t="s">
        <v>156</v>
      </c>
      <c r="F448" s="21" t="s">
        <v>560</v>
      </c>
    </row>
    <row r="449" spans="1:6">
      <c r="A449" s="21" t="s">
        <v>323</v>
      </c>
      <c r="B449" s="21" t="s">
        <v>61</v>
      </c>
      <c r="C449" s="21" t="s">
        <v>51</v>
      </c>
      <c r="D449" s="21" t="s">
        <v>114</v>
      </c>
      <c r="E449" s="21" t="s">
        <v>156</v>
      </c>
      <c r="F449" s="21" t="s">
        <v>560</v>
      </c>
    </row>
    <row r="450" spans="1:6">
      <c r="A450" s="21" t="s">
        <v>324</v>
      </c>
      <c r="B450" s="21" t="s">
        <v>61</v>
      </c>
      <c r="C450" s="21" t="s">
        <v>51</v>
      </c>
      <c r="D450" s="21" t="s">
        <v>114</v>
      </c>
      <c r="E450" s="21" t="s">
        <v>156</v>
      </c>
      <c r="F450" s="21" t="s">
        <v>560</v>
      </c>
    </row>
    <row r="451" spans="1:6">
      <c r="A451" s="21" t="s">
        <v>171</v>
      </c>
      <c r="B451" s="21" t="s">
        <v>61</v>
      </c>
      <c r="C451" s="21" t="s">
        <v>116</v>
      </c>
      <c r="D451" s="21" t="s">
        <v>163</v>
      </c>
      <c r="E451" s="21" t="s">
        <v>156</v>
      </c>
      <c r="F451" s="21" t="s">
        <v>560</v>
      </c>
    </row>
    <row r="452" spans="1:6">
      <c r="A452" s="21" t="s">
        <v>172</v>
      </c>
      <c r="B452" s="21" t="s">
        <v>50</v>
      </c>
      <c r="C452" s="21" t="s">
        <v>116</v>
      </c>
      <c r="D452" s="21" t="s">
        <v>163</v>
      </c>
      <c r="E452" s="21" t="s">
        <v>156</v>
      </c>
      <c r="F452" s="21" t="s">
        <v>560</v>
      </c>
    </row>
    <row r="453" spans="1:6">
      <c r="A453" s="21" t="s">
        <v>132</v>
      </c>
      <c r="B453" s="21" t="s">
        <v>61</v>
      </c>
      <c r="C453" s="21" t="s">
        <v>116</v>
      </c>
      <c r="D453" s="21" t="s">
        <v>129</v>
      </c>
      <c r="E453" s="21" t="s">
        <v>53</v>
      </c>
      <c r="F453" s="21" t="s">
        <v>133</v>
      </c>
    </row>
    <row r="454" spans="1:6">
      <c r="A454" s="21" t="s">
        <v>134</v>
      </c>
      <c r="B454" s="21" t="s">
        <v>61</v>
      </c>
      <c r="C454" s="21" t="s">
        <v>116</v>
      </c>
      <c r="D454" s="21" t="s">
        <v>129</v>
      </c>
      <c r="E454" s="21" t="s">
        <v>53</v>
      </c>
      <c r="F454" s="21" t="s">
        <v>133</v>
      </c>
    </row>
    <row r="455" spans="1:6">
      <c r="A455" s="21" t="s">
        <v>137</v>
      </c>
      <c r="B455" s="21" t="s">
        <v>61</v>
      </c>
      <c r="C455" s="21" t="s">
        <v>116</v>
      </c>
      <c r="D455" s="21" t="s">
        <v>136</v>
      </c>
      <c r="E455" s="21" t="s">
        <v>53</v>
      </c>
      <c r="F455" s="21" t="s">
        <v>133</v>
      </c>
    </row>
    <row r="456" spans="1:6">
      <c r="A456" s="21" t="s">
        <v>138</v>
      </c>
      <c r="B456" s="21" t="s">
        <v>61</v>
      </c>
      <c r="C456" s="21" t="s">
        <v>116</v>
      </c>
      <c r="D456" s="21" t="s">
        <v>136</v>
      </c>
      <c r="E456" s="21" t="s">
        <v>53</v>
      </c>
      <c r="F456" s="21" t="s">
        <v>133</v>
      </c>
    </row>
    <row r="457" spans="1:6">
      <c r="A457" s="21" t="s">
        <v>139</v>
      </c>
      <c r="B457" s="21" t="s">
        <v>61</v>
      </c>
      <c r="C457" s="21" t="s">
        <v>116</v>
      </c>
      <c r="D457" s="21" t="s">
        <v>136</v>
      </c>
      <c r="E457" s="21" t="s">
        <v>53</v>
      </c>
      <c r="F457" s="21" t="s">
        <v>133</v>
      </c>
    </row>
    <row r="458" spans="1:6">
      <c r="A458" s="21" t="s">
        <v>140</v>
      </c>
      <c r="B458" s="21" t="s">
        <v>61</v>
      </c>
      <c r="C458" s="21" t="s">
        <v>116</v>
      </c>
      <c r="D458" s="21" t="s">
        <v>141</v>
      </c>
      <c r="E458" s="21" t="s">
        <v>53</v>
      </c>
      <c r="F458" s="21" t="s">
        <v>133</v>
      </c>
    </row>
    <row r="459" spans="1:6">
      <c r="A459" s="21" t="s">
        <v>142</v>
      </c>
      <c r="B459" s="21" t="s">
        <v>61</v>
      </c>
      <c r="C459" s="21" t="s">
        <v>116</v>
      </c>
      <c r="D459" s="21" t="s">
        <v>141</v>
      </c>
      <c r="E459" s="21" t="s">
        <v>53</v>
      </c>
      <c r="F459" s="21" t="s">
        <v>133</v>
      </c>
    </row>
    <row r="460" spans="1:6">
      <c r="A460" s="21" t="s">
        <v>143</v>
      </c>
      <c r="B460" s="21" t="s">
        <v>61</v>
      </c>
      <c r="C460" s="21" t="s">
        <v>116</v>
      </c>
      <c r="D460" s="21" t="s">
        <v>141</v>
      </c>
      <c r="E460" s="21" t="s">
        <v>53</v>
      </c>
      <c r="F460" s="21" t="s">
        <v>133</v>
      </c>
    </row>
    <row r="461" spans="1:6">
      <c r="A461" s="21" t="s">
        <v>144</v>
      </c>
      <c r="B461" s="21" t="s">
        <v>61</v>
      </c>
      <c r="C461" s="21" t="s">
        <v>116</v>
      </c>
      <c r="D461" s="21" t="s">
        <v>141</v>
      </c>
      <c r="E461" s="21" t="s">
        <v>53</v>
      </c>
      <c r="F461" s="21" t="s">
        <v>133</v>
      </c>
    </row>
    <row r="462" spans="1:6">
      <c r="A462" s="21" t="s">
        <v>145</v>
      </c>
      <c r="B462" s="21" t="s">
        <v>61</v>
      </c>
      <c r="C462" s="21" t="s">
        <v>116</v>
      </c>
      <c r="D462" s="21" t="s">
        <v>141</v>
      </c>
      <c r="E462" s="21" t="s">
        <v>53</v>
      </c>
      <c r="F462" s="21" t="s">
        <v>133</v>
      </c>
    </row>
    <row r="463" spans="1:6">
      <c r="A463" s="21" t="s">
        <v>146</v>
      </c>
      <c r="B463" s="21" t="s">
        <v>61</v>
      </c>
      <c r="C463" s="21" t="s">
        <v>116</v>
      </c>
      <c r="D463" s="21" t="s">
        <v>141</v>
      </c>
      <c r="E463" s="21" t="s">
        <v>53</v>
      </c>
      <c r="F463" s="21" t="s">
        <v>133</v>
      </c>
    </row>
    <row r="464" spans="1:6">
      <c r="A464" s="21" t="s">
        <v>147</v>
      </c>
      <c r="B464" s="21" t="s">
        <v>61</v>
      </c>
      <c r="C464" s="21" t="s">
        <v>116</v>
      </c>
      <c r="D464" s="21" t="s">
        <v>141</v>
      </c>
      <c r="E464" s="21" t="s">
        <v>53</v>
      </c>
      <c r="F464" s="21" t="s">
        <v>133</v>
      </c>
    </row>
    <row r="465" spans="1:6">
      <c r="A465" s="21" t="s">
        <v>148</v>
      </c>
      <c r="B465" s="21" t="s">
        <v>61</v>
      </c>
      <c r="C465" s="21" t="s">
        <v>116</v>
      </c>
      <c r="D465" s="21" t="s">
        <v>141</v>
      </c>
      <c r="E465" s="21" t="s">
        <v>53</v>
      </c>
      <c r="F465" s="21" t="s">
        <v>133</v>
      </c>
    </row>
    <row r="466" spans="1:6">
      <c r="A466" s="21" t="s">
        <v>149</v>
      </c>
      <c r="B466" s="21" t="s">
        <v>61</v>
      </c>
      <c r="C466" s="21" t="s">
        <v>116</v>
      </c>
      <c r="D466" s="21" t="s">
        <v>141</v>
      </c>
      <c r="E466" s="21" t="s">
        <v>53</v>
      </c>
      <c r="F466" s="21" t="s">
        <v>133</v>
      </c>
    </row>
    <row r="467" spans="1:6">
      <c r="A467" s="21" t="s">
        <v>150</v>
      </c>
      <c r="B467" s="21" t="s">
        <v>61</v>
      </c>
      <c r="C467" s="21" t="s">
        <v>116</v>
      </c>
      <c r="D467" s="21" t="s">
        <v>141</v>
      </c>
      <c r="E467" s="21" t="s">
        <v>53</v>
      </c>
      <c r="F467" s="21" t="s">
        <v>133</v>
      </c>
    </row>
    <row r="468" spans="1:6">
      <c r="A468" s="21" t="s">
        <v>589</v>
      </c>
      <c r="B468" s="21" t="s">
        <v>50</v>
      </c>
      <c r="C468" s="21" t="s">
        <v>116</v>
      </c>
      <c r="D468" s="21" t="s">
        <v>153</v>
      </c>
      <c r="E468" s="21" t="s">
        <v>53</v>
      </c>
      <c r="F468" s="21" t="s">
        <v>133</v>
      </c>
    </row>
    <row r="469" spans="1:6">
      <c r="A469" s="21" t="s">
        <v>590</v>
      </c>
      <c r="B469" s="21" t="s">
        <v>50</v>
      </c>
      <c r="C469" s="21" t="s">
        <v>116</v>
      </c>
      <c r="D469" s="21" t="s">
        <v>153</v>
      </c>
      <c r="E469" s="21" t="s">
        <v>53</v>
      </c>
      <c r="F469" s="21" t="s">
        <v>133</v>
      </c>
    </row>
    <row r="470" spans="1:6">
      <c r="A470" s="21" t="s">
        <v>591</v>
      </c>
      <c r="B470" s="21" t="s">
        <v>50</v>
      </c>
      <c r="C470" s="21" t="s">
        <v>116</v>
      </c>
      <c r="D470" s="21" t="s">
        <v>153</v>
      </c>
      <c r="E470" s="21" t="s">
        <v>53</v>
      </c>
      <c r="F470" s="21" t="s">
        <v>133</v>
      </c>
    </row>
    <row r="471" spans="1:6">
      <c r="A471" s="21" t="s">
        <v>592</v>
      </c>
      <c r="B471" s="21" t="s">
        <v>50</v>
      </c>
      <c r="C471" s="21" t="s">
        <v>116</v>
      </c>
      <c r="D471" s="21" t="s">
        <v>153</v>
      </c>
      <c r="E471" s="21" t="s">
        <v>53</v>
      </c>
      <c r="F471" s="21" t="s">
        <v>133</v>
      </c>
    </row>
    <row r="472" spans="1:6">
      <c r="A472" s="21" t="s">
        <v>593</v>
      </c>
      <c r="B472" s="21" t="s">
        <v>50</v>
      </c>
      <c r="C472" s="21" t="s">
        <v>116</v>
      </c>
      <c r="D472" s="21" t="s">
        <v>153</v>
      </c>
      <c r="E472" s="21" t="s">
        <v>53</v>
      </c>
      <c r="F472" s="21" t="s">
        <v>133</v>
      </c>
    </row>
    <row r="473" spans="1:6">
      <c r="A473" s="21" t="s">
        <v>594</v>
      </c>
      <c r="B473" s="21" t="s">
        <v>50</v>
      </c>
      <c r="C473" s="21" t="s">
        <v>116</v>
      </c>
      <c r="D473" s="21" t="s">
        <v>153</v>
      </c>
      <c r="E473" s="21" t="s">
        <v>53</v>
      </c>
      <c r="F473" s="21" t="s">
        <v>133</v>
      </c>
    </row>
    <row r="474" spans="1:6">
      <c r="A474" s="21" t="s">
        <v>595</v>
      </c>
      <c r="B474" s="21" t="s">
        <v>50</v>
      </c>
      <c r="C474" s="21" t="s">
        <v>116</v>
      </c>
      <c r="D474" s="21" t="s">
        <v>153</v>
      </c>
      <c r="E474" s="21" t="s">
        <v>53</v>
      </c>
      <c r="F474" s="21" t="s">
        <v>133</v>
      </c>
    </row>
    <row r="475" spans="1:6">
      <c r="A475" s="21" t="s">
        <v>596</v>
      </c>
      <c r="B475" s="21" t="s">
        <v>50</v>
      </c>
      <c r="C475" s="21" t="s">
        <v>116</v>
      </c>
      <c r="D475" s="21" t="s">
        <v>153</v>
      </c>
      <c r="E475" s="21" t="s">
        <v>53</v>
      </c>
      <c r="F475" s="21" t="s">
        <v>133</v>
      </c>
    </row>
    <row r="476" spans="1:6">
      <c r="A476" s="21" t="s">
        <v>597</v>
      </c>
      <c r="B476" s="21" t="s">
        <v>50</v>
      </c>
      <c r="C476" s="21" t="s">
        <v>116</v>
      </c>
      <c r="D476" s="21" t="s">
        <v>153</v>
      </c>
      <c r="E476" s="21" t="s">
        <v>53</v>
      </c>
      <c r="F476" s="21" t="s">
        <v>133</v>
      </c>
    </row>
    <row r="477" spans="1:6">
      <c r="A477" s="21" t="s">
        <v>598</v>
      </c>
      <c r="B477" s="21" t="s">
        <v>50</v>
      </c>
      <c r="C477" s="21" t="s">
        <v>116</v>
      </c>
      <c r="D477" s="21" t="s">
        <v>153</v>
      </c>
      <c r="E477" s="21" t="s">
        <v>53</v>
      </c>
      <c r="F477" s="21" t="s">
        <v>133</v>
      </c>
    </row>
    <row r="478" spans="1:6">
      <c r="A478" s="21" t="s">
        <v>599</v>
      </c>
      <c r="B478" s="21" t="s">
        <v>50</v>
      </c>
      <c r="C478" s="21" t="s">
        <v>116</v>
      </c>
      <c r="D478" s="21" t="s">
        <v>153</v>
      </c>
      <c r="E478" s="21" t="s">
        <v>53</v>
      </c>
      <c r="F478" s="21" t="s">
        <v>133</v>
      </c>
    </row>
    <row r="479" spans="1:6">
      <c r="A479" s="21" t="s">
        <v>600</v>
      </c>
      <c r="B479" s="21" t="s">
        <v>50</v>
      </c>
      <c r="C479" s="21" t="s">
        <v>116</v>
      </c>
      <c r="D479" s="21" t="s">
        <v>153</v>
      </c>
      <c r="E479" s="21" t="s">
        <v>53</v>
      </c>
      <c r="F479" s="21" t="s">
        <v>133</v>
      </c>
    </row>
    <row r="480" spans="1:6">
      <c r="A480" s="21" t="s">
        <v>601</v>
      </c>
      <c r="B480" s="21" t="s">
        <v>50</v>
      </c>
      <c r="C480" s="21" t="s">
        <v>116</v>
      </c>
      <c r="D480" s="21" t="s">
        <v>153</v>
      </c>
      <c r="E480" s="21" t="s">
        <v>53</v>
      </c>
      <c r="F480" s="21" t="s">
        <v>133</v>
      </c>
    </row>
    <row r="481" spans="1:6">
      <c r="A481" s="21" t="s">
        <v>602</v>
      </c>
      <c r="B481" s="21" t="s">
        <v>50</v>
      </c>
      <c r="C481" s="21" t="s">
        <v>116</v>
      </c>
      <c r="D481" s="21" t="s">
        <v>153</v>
      </c>
      <c r="E481" s="21" t="s">
        <v>53</v>
      </c>
      <c r="F481" s="21" t="s">
        <v>133</v>
      </c>
    </row>
    <row r="482" spans="1:6">
      <c r="A482" s="21" t="s">
        <v>603</v>
      </c>
      <c r="B482" s="21" t="s">
        <v>50</v>
      </c>
      <c r="C482" s="21" t="s">
        <v>116</v>
      </c>
      <c r="D482" s="21" t="s">
        <v>153</v>
      </c>
      <c r="E482" s="21" t="s">
        <v>53</v>
      </c>
      <c r="F482" s="21" t="s">
        <v>133</v>
      </c>
    </row>
    <row r="483" spans="1:6">
      <c r="A483" s="21" t="s">
        <v>604</v>
      </c>
      <c r="B483" s="21" t="s">
        <v>50</v>
      </c>
      <c r="C483" s="21" t="s">
        <v>116</v>
      </c>
      <c r="D483" s="21" t="s">
        <v>153</v>
      </c>
      <c r="E483" s="21" t="s">
        <v>53</v>
      </c>
      <c r="F483" s="21" t="s">
        <v>133</v>
      </c>
    </row>
    <row r="484" spans="1:6">
      <c r="A484" s="21" t="s">
        <v>605</v>
      </c>
      <c r="B484" s="21" t="s">
        <v>50</v>
      </c>
      <c r="C484" s="21" t="s">
        <v>116</v>
      </c>
      <c r="D484" s="21" t="s">
        <v>153</v>
      </c>
      <c r="E484" s="21" t="s">
        <v>53</v>
      </c>
      <c r="F484" s="21" t="s">
        <v>133</v>
      </c>
    </row>
    <row r="485" spans="1:6">
      <c r="A485" s="21" t="s">
        <v>606</v>
      </c>
      <c r="B485" s="21" t="s">
        <v>50</v>
      </c>
      <c r="C485" s="21" t="s">
        <v>116</v>
      </c>
      <c r="D485" s="21" t="s">
        <v>153</v>
      </c>
      <c r="E485" s="21" t="s">
        <v>53</v>
      </c>
      <c r="F485" s="21" t="s">
        <v>133</v>
      </c>
    </row>
    <row r="486" spans="1:6">
      <c r="A486" s="21" t="s">
        <v>607</v>
      </c>
      <c r="B486" s="21" t="s">
        <v>50</v>
      </c>
      <c r="C486" s="21" t="s">
        <v>116</v>
      </c>
      <c r="D486" s="21" t="s">
        <v>153</v>
      </c>
      <c r="E486" s="21" t="s">
        <v>53</v>
      </c>
      <c r="F486" s="21" t="s">
        <v>133</v>
      </c>
    </row>
    <row r="487" spans="1:6">
      <c r="A487" s="21" t="s">
        <v>608</v>
      </c>
      <c r="B487" s="21" t="s">
        <v>50</v>
      </c>
      <c r="C487" s="21" t="s">
        <v>116</v>
      </c>
      <c r="D487" s="21" t="s">
        <v>153</v>
      </c>
      <c r="E487" s="21" t="s">
        <v>53</v>
      </c>
      <c r="F487" s="21" t="s">
        <v>133</v>
      </c>
    </row>
    <row r="488" spans="1:6">
      <c r="A488" s="21" t="s">
        <v>609</v>
      </c>
      <c r="B488" s="21" t="s">
        <v>50</v>
      </c>
      <c r="C488" s="21" t="s">
        <v>116</v>
      </c>
      <c r="D488" s="21" t="s">
        <v>153</v>
      </c>
      <c r="E488" s="21" t="s">
        <v>53</v>
      </c>
      <c r="F488" s="21" t="s">
        <v>133</v>
      </c>
    </row>
  </sheetData>
  <sheetProtection algorithmName="SHA-512" hashValue="izOiiTkaXQieoJJh6X0Qy//G7ut8Z8cz8uhkTnhCK2UY4SakENfL1QpUOlRB1XBV0KLOLxQvpCUohha5gU+XTg==" saltValue="73cC+23QINC1jR+nijnUjw==" spinCount="100000" sheet="1" objects="1" scenarios="1"/>
  <autoFilter ref="A1:F488">
    <sortState ref="A2:F488">
      <sortCondition ref="F1:F48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N44"/>
  <sheetViews>
    <sheetView showGridLines="0" showRowColHeaders="0" topLeftCell="C20" zoomScaleNormal="100" workbookViewId="0">
      <selection activeCell="K35" sqref="K35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49" t="s">
        <v>610</v>
      </c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2" t="s">
        <v>1</v>
      </c>
      <c r="C4" s="53"/>
      <c r="D4" s="4"/>
      <c r="E4" s="52" t="s">
        <v>2</v>
      </c>
      <c r="F4" s="53"/>
      <c r="G4" s="4"/>
      <c r="H4" s="52" t="s">
        <v>3</v>
      </c>
      <c r="I4" s="53"/>
      <c r="K4" s="52" t="s">
        <v>4</v>
      </c>
      <c r="L4" s="53"/>
    </row>
    <row r="5" spans="2:12">
      <c r="B5" s="5" t="s">
        <v>5</v>
      </c>
      <c r="C5" s="6">
        <f>COUNTIFS(INVENTÁRIO_04_2025!C:C,"Linux",INVENTÁRIO_04_2025!E:E,"Virtual")</f>
        <v>104</v>
      </c>
      <c r="D5" s="7"/>
      <c r="E5" s="5" t="s">
        <v>6</v>
      </c>
      <c r="F5" s="6">
        <f>COUNTIFS(INVENTÁRIO_04_2025!C:C,"Linux",INVENTÁRIO_04_2025!E:E,"Fisico")</f>
        <v>50</v>
      </c>
      <c r="G5" s="7"/>
      <c r="H5" s="5" t="s">
        <v>5</v>
      </c>
      <c r="I5" s="6">
        <f>COUNTIFS(INVENTÁRIO_04_2025!C:C,"Windows",INVENTÁRIO_04_2025!E:E,"Virtual")</f>
        <v>284</v>
      </c>
      <c r="K5" s="5" t="s">
        <v>6</v>
      </c>
      <c r="L5" s="6">
        <f>COUNTIFS(INVENTÁRIO_04_2025!C:C,"Windows",INVENTÁRIO_04_2025!E:E,"Fisico")</f>
        <v>49</v>
      </c>
    </row>
    <row r="6" spans="2:12">
      <c r="B6" s="5" t="s">
        <v>7</v>
      </c>
      <c r="C6" s="6">
        <f>COUNTIFS(INVENTÁRIO_04_2025!B:B,"poweredOff",INVENTÁRIO_04_2025!C:C,"Linux",INVENTÁRIO_04_2025!E:E,"Virtual")</f>
        <v>7</v>
      </c>
      <c r="D6" s="7"/>
      <c r="E6" s="5" t="s">
        <v>7</v>
      </c>
      <c r="F6" s="6">
        <f>COUNTIFS(INVENTÁRIO_04_2025!B:B,"poweredOff",INVENTÁRIO_04_2025!C:C,"Linux",INVENTÁRIO_04_2025!E:E,"Fisico")</f>
        <v>4</v>
      </c>
      <c r="G6" s="7"/>
      <c r="H6" s="5" t="s">
        <v>7</v>
      </c>
      <c r="I6" s="6">
        <f>COUNTIFS(INVENTÁRIO_04_2025!B:B,"poweredOff",INVENTÁRIO_04_2025!C:C,"Windows",INVENTÁRIO_04_2025!E:E,"Virtual")</f>
        <v>17</v>
      </c>
      <c r="K6" s="5" t="s">
        <v>7</v>
      </c>
      <c r="L6" s="6">
        <f>COUNTIFS(INVENTÁRIO_04_2025!B:B,"poweredOff",INVENTÁRIO_04_2025!C:C,"Windows",INVENTÁRIO_04_2025!E:E,"Fisico")</f>
        <v>28</v>
      </c>
    </row>
    <row r="7" spans="2:12">
      <c r="B7" s="5" t="s">
        <v>8</v>
      </c>
      <c r="C7" s="6">
        <f>COUNTIFS(INVENTÁRIO_04_2025!B:B,"poweredOn",INVENTÁRIO_04_2025!C:C,"Linux",INVENTÁRIO_04_2025!E:E,"Virtual")</f>
        <v>97</v>
      </c>
      <c r="D7" s="7"/>
      <c r="E7" s="5" t="s">
        <v>8</v>
      </c>
      <c r="F7" s="6">
        <f>COUNTIFS(INVENTÁRIO_04_2025!B:B,"poweredOn",INVENTÁRIO_04_2025!C:C,"Linux",INVENTÁRIO_04_2025!E:E,"Fisico")</f>
        <v>46</v>
      </c>
      <c r="G7" s="7"/>
      <c r="H7" s="5" t="s">
        <v>8</v>
      </c>
      <c r="I7" s="6">
        <f>COUNTIFS(INVENTÁRIO_04_2025!B:B,"poweredOn",INVENTÁRIO_04_2025!C:C,"Windows",INVENTÁRIO_04_2025!E:E,"Virtual")</f>
        <v>267</v>
      </c>
      <c r="K7" s="5" t="s">
        <v>8</v>
      </c>
      <c r="L7" s="6">
        <f>COUNTIFS(INVENTÁRIO_04_2025!B:B,"poweredOn",INVENTÁRIO_04_2025!C:C,"Windows",INVENTÁRIO_04_2025!E:E,"Fisico")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COUNTIFS(INVENTÁRIO_04_2025!C:C,"Linux",INVENTÁRIO_04_2025!D:D,"*RedHat 9*",INVENTÁRIO_04_2025!E:E,"Virtual")</f>
        <v>15</v>
      </c>
      <c r="D9" s="7"/>
      <c r="E9" s="5" t="s">
        <v>9</v>
      </c>
      <c r="F9" s="6">
        <f>COUNTIFS(INVENTÁRIO_04_2025!C:C,"Linux",INVENTÁRIO_04_2025!D:D,"*RedHat 9*",INVENTÁRIO_04_2025!E:E,"Fisico")</f>
        <v>0</v>
      </c>
      <c r="G9" s="7"/>
      <c r="H9" s="5" t="s">
        <v>10</v>
      </c>
      <c r="I9" s="6">
        <f>COUNTIFS(INVENTÁRIO_04_2025!C:C,"Windows",INVENTÁRIO_04_2025!D:D,"*2022*",INVENTÁRIO_04_2025!E:E,"Virtual")</f>
        <v>25</v>
      </c>
      <c r="K9" s="5" t="s">
        <v>10</v>
      </c>
      <c r="L9" s="6">
        <f>COUNTIFS(INVENTÁRIO_04_2025!C:C,"Windows",INVENTÁRIO_04_2025!D:D,"*2022*",INVENTÁRIO_04_2025!E:E,"Fisico")</f>
        <v>22</v>
      </c>
    </row>
    <row r="10" spans="2:12">
      <c r="B10" s="5" t="s">
        <v>11</v>
      </c>
      <c r="C10" s="6">
        <f>COUNTIFS(INVENTÁRIO_04_2025!C:C,"Linux",INVENTÁRIO_04_2025!D:D,"*RedHat 8*",INVENTÁRIO_04_2025!E:E,"Virtual")</f>
        <v>8</v>
      </c>
      <c r="D10" s="7"/>
      <c r="E10" s="5" t="s">
        <v>11</v>
      </c>
      <c r="F10" s="6">
        <f>COUNTIFS(INVENTÁRIO_04_2025!C:C,"Linux",INVENTÁRIO_04_2025!D:D,"*RedHat 8*",INVENTÁRIO_04_2025!E:E,"Fisico")</f>
        <v>2</v>
      </c>
      <c r="G10" s="7"/>
      <c r="H10" s="5" t="s">
        <v>12</v>
      </c>
      <c r="I10" s="6">
        <f>COUNTIFS(INVENTÁRIO_04_2025!C:C,"Windows",INVENTÁRIO_04_2025!D:D,"*2019*",INVENTÁRIO_04_2025!E:E,"Virtual")</f>
        <v>52</v>
      </c>
      <c r="K10" s="5" t="s">
        <v>12</v>
      </c>
      <c r="L10" s="6">
        <f>COUNTIFS(INVENTÁRIO_04_2025!C:C,"Windows",INVENTÁRIO_04_2025!D:D,"*2019*",INVENTÁRIO_04_2025!E:E,"Fisico")</f>
        <v>14</v>
      </c>
    </row>
    <row r="11" spans="2:12">
      <c r="B11" s="5" t="s">
        <v>13</v>
      </c>
      <c r="C11" s="6">
        <f>COUNTIFS(INVENTÁRIO_04_2025!C:C,"Linux",INVENTÁRIO_04_2025!D:D,"*RedHat 7*",INVENTÁRIO_04_2025!E:E,"Virtual")</f>
        <v>10</v>
      </c>
      <c r="D11" s="7"/>
      <c r="E11" s="5" t="s">
        <v>13</v>
      </c>
      <c r="F11" s="6">
        <f>COUNTIFS(INVENTÁRIO_04_2025!C:C,"Linux",INVENTÁRIO_04_2025!D:D,"*RedHat 7*",INVENTÁRIO_04_2025!E:E,"Fisico")</f>
        <v>1</v>
      </c>
      <c r="G11" s="7"/>
      <c r="H11" s="5" t="s">
        <v>14</v>
      </c>
      <c r="I11" s="6">
        <f>COUNTIFS(INVENTÁRIO_04_2025!C:C,"Windows",INVENTÁRIO_04_2025!D:D,"*2016*",INVENTÁRIO_04_2025!E:E,"Virtual")</f>
        <v>76</v>
      </c>
      <c r="K11" s="5" t="s">
        <v>14</v>
      </c>
      <c r="L11" s="6">
        <f>COUNTIFS(INVENTÁRIO_04_2025!C:C,"Windows",INVENTÁRIO_04_2025!D:D,"*2016*",INVENTÁRIO_04_2025!E:E,"Fisico")</f>
        <v>0</v>
      </c>
    </row>
    <row r="12" spans="2:12">
      <c r="B12" s="5" t="s">
        <v>15</v>
      </c>
      <c r="C12" s="6">
        <f>COUNTIFS(INVENTÁRIO_04_2025!C:C,"Linux",INVENTÁRIO_04_2025!D:D,"*RedHat 6*",INVENTÁRIO_04_2025!E:E,"Virtual")</f>
        <v>10</v>
      </c>
      <c r="D12" s="7"/>
      <c r="E12" s="5" t="s">
        <v>15</v>
      </c>
      <c r="F12" s="6">
        <f>COUNTIFS(INVENTÁRIO_04_2025!C:C,"Linux",INVENTÁRIO_04_2025!D:D,"*RedHat 6*",INVENTÁRIO_04_2025!E:E,"Fisico")</f>
        <v>23</v>
      </c>
      <c r="G12" s="7"/>
      <c r="H12" s="5" t="s">
        <v>16</v>
      </c>
      <c r="I12" s="6">
        <f>COUNTIFS(INVENTÁRIO_04_2025!C:C,"Windows",INVENTÁRIO_04_2025!D:D,"*2012*",INVENTÁRIO_04_2025!E:E,"Virtual")</f>
        <v>51</v>
      </c>
      <c r="K12" s="5" t="s">
        <v>16</v>
      </c>
      <c r="L12" s="6">
        <f>COUNTIFS(INVENTÁRIO_04_2025!C:C,"Windows",INVENTÁRIO_04_2025!D:D,"*2012*",INVENTÁRIO_04_2025!E:E,"Fisico")</f>
        <v>7</v>
      </c>
    </row>
    <row r="13" spans="2:12">
      <c r="B13" s="5" t="s">
        <v>17</v>
      </c>
      <c r="C13" s="6">
        <f>COUNTIFS(INVENTÁRIO_04_2025!C:C,"Linux",INVENTÁRIO_04_2025!D:D,"*RedHat 5*",INVENTÁRIO_04_2025!E:E,"Virtual")</f>
        <v>0</v>
      </c>
      <c r="D13" s="7"/>
      <c r="E13" s="5" t="s">
        <v>17</v>
      </c>
      <c r="F13" s="6">
        <f>COUNTIFS(INVENTÁRIO_04_2025!C:C,"Linux",INVENTÁRIO_04_2025!D:D,"*RedHat 5*",INVENTÁRIO_04_2025!E:E,"Fisico")</f>
        <v>1</v>
      </c>
      <c r="G13" s="7"/>
      <c r="H13" s="5" t="s">
        <v>18</v>
      </c>
      <c r="I13" s="6">
        <f>COUNTIFS(INVENTÁRIO_04_2025!C:C,"Windows",INVENTÁRIO_04_2025!D:D,"*2008*",INVENTÁRIO_04_2025!E:E,"Virtual")</f>
        <v>72</v>
      </c>
      <c r="K13" s="5" t="s">
        <v>18</v>
      </c>
      <c r="L13" s="6">
        <f>COUNTIFS(INVENTÁRIO_04_2025!C:C,"Windows",INVENTÁRIO_04_2025!D:D,"*2008*",INVENTÁRIO_04_2025!E:E,"Fisico")</f>
        <v>6</v>
      </c>
    </row>
    <row r="14" spans="2:12">
      <c r="B14" s="5" t="s">
        <v>19</v>
      </c>
      <c r="C14" s="6">
        <f>COUNTIFS(INVENTÁRIO_04_2025!C:C,"Linux",INVENTÁRIO_04_2025!D:D,"*Ubuntu*",INVENTÁRIO_04_2025!E:E,"Virtual")</f>
        <v>30</v>
      </c>
      <c r="D14" s="7"/>
      <c r="E14" s="5" t="s">
        <v>19</v>
      </c>
      <c r="F14" s="6">
        <f>COUNTIFS(INVENTÁRIO_04_2025!C:C,"Linux",INVENTÁRIO_04_2025!D:D,"*Ubuntu*",INVENTÁRIO_04_2025!E:E,"Fisico")</f>
        <v>1</v>
      </c>
      <c r="G14" s="7"/>
      <c r="H14" s="5" t="s">
        <v>20</v>
      </c>
      <c r="I14" s="6">
        <f>COUNTIFS(INVENTÁRIO_04_2025!C:C,"Windows",INVENTÁRIO_04_2025!D:D,"*10*",INVENTÁRIO_04_2025!E:E,"Virtual")</f>
        <v>3</v>
      </c>
      <c r="K14" s="5" t="s">
        <v>20</v>
      </c>
      <c r="L14" s="6">
        <f>COUNTIFS(INVENTÁRIO_04_2025!C:C,"Windows",INVENTÁRIO_04_2025!D:D,"*10*",INVENTÁRIO_04_2025!E:E,"Fisico")</f>
        <v>0</v>
      </c>
    </row>
    <row r="15" spans="2:12">
      <c r="B15" s="5" t="s">
        <v>21</v>
      </c>
      <c r="C15" s="6">
        <f>COUNTIFS(INVENTÁRIO_04_2025!C:C,"Linux",INVENTÁRIO_04_2025!D:D,"*Centos*",INVENTÁRIO_04_2025!E:E,"Virtual")</f>
        <v>6</v>
      </c>
      <c r="D15" s="7"/>
      <c r="E15" s="5" t="s">
        <v>21</v>
      </c>
      <c r="F15" s="6">
        <f>COUNTIFS(INVENTÁRIO_04_2025!C:C,"Linux",INVENTÁRIO_04_2025!D:D,"*Centos*",INVENTÁRIO_04_2025!E:E,"Fisico")</f>
        <v>0</v>
      </c>
      <c r="G15" s="7"/>
      <c r="H15" s="5" t="s">
        <v>22</v>
      </c>
      <c r="I15" s="6">
        <f>COUNTIFS(INVENTÁRIO_04_2025!C:C,"Windows",INVENTÁRIO_04_2025!D:D,"*Windows 8*",INVENTÁRIO_04_2025!E:E,"Virtual")</f>
        <v>1</v>
      </c>
      <c r="K15" s="5" t="s">
        <v>22</v>
      </c>
      <c r="L15" s="6">
        <f>COUNTIFS(INVENTÁRIO_04_2025!C:C,"Windows",INVENTÁRIO_04_2025!D:D,"*Windows 8*",INVENTÁRIO_04_2025!E:E,"Fisico")</f>
        <v>0</v>
      </c>
    </row>
    <row r="16" spans="2:12">
      <c r="B16" s="5" t="s">
        <v>23</v>
      </c>
      <c r="C16" s="6">
        <f>COUNTIFS(INVENTÁRIO_04_2025!C:C,"Linux",INVENTÁRIO_04_2025!D:D,"*Debian*",INVENTÁRIO_04_2025!E:E,"Virtual")</f>
        <v>6</v>
      </c>
      <c r="D16" s="7"/>
      <c r="E16" s="5" t="s">
        <v>23</v>
      </c>
      <c r="F16" s="6">
        <f>COUNTIFS(INVENTÁRIO_04_2025!C:C,"Linux",INVENTÁRIO_04_2025!D:D,"*Debian*",INVENTÁRIO_04_2025!E:E,"Fisico")</f>
        <v>0</v>
      </c>
      <c r="G16" s="7"/>
      <c r="H16" s="12" t="s">
        <v>24</v>
      </c>
      <c r="I16" s="13">
        <f>COUNTIFS(INVENTÁRIO_04_2025!C:C,"Windows",INVENTÁRIO_04_2025!D:D,"*7*",INVENTÁRIO_04_2025!E:E,"Virtual")</f>
        <v>4</v>
      </c>
      <c r="K16" s="12" t="s">
        <v>24</v>
      </c>
      <c r="L16" s="13">
        <f>COUNTIFS(INVENTÁRIO_04_2025!C:C,"Windows",INVENTÁRIO_04_2025!D:D,"*7*",INVENTÁRIO_04_2025!E:E,"Fisico")</f>
        <v>0</v>
      </c>
    </row>
    <row r="17" spans="2:12">
      <c r="B17" s="5" t="s">
        <v>25</v>
      </c>
      <c r="C17" s="6">
        <f>COUNTIFS(INVENTÁRIO_04_2025!C:C,"Linux",INVENTÁRIO_04_2025!D:D,"*Suse*",INVENTÁRIO_04_2025!E:E,"Virtual")</f>
        <v>8</v>
      </c>
      <c r="D17" s="7"/>
      <c r="E17" s="5" t="s">
        <v>25</v>
      </c>
      <c r="F17" s="6">
        <f>COUNTIFS(INVENTÁRIO_04_2025!C:C,"Linux",INVENTÁRIO_04_2025!D:D,"*Suse*",INVENTÁRIO_04_2025!E:E,"Fisico")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93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11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2" t="s">
        <v>28</v>
      </c>
      <c r="C22" s="53"/>
      <c r="E22" s="54" t="s">
        <v>611</v>
      </c>
      <c r="F22" s="55"/>
      <c r="H22" s="54" t="s">
        <v>30</v>
      </c>
      <c r="I22" s="55"/>
      <c r="K22" s="52" t="s">
        <v>612</v>
      </c>
      <c r="L22" s="53"/>
    </row>
    <row r="23" spans="2:12">
      <c r="B23" s="8" t="s">
        <v>10</v>
      </c>
      <c r="C23" s="9">
        <f>I9+L9</f>
        <v>47</v>
      </c>
      <c r="E23" s="30" t="s">
        <v>613</v>
      </c>
      <c r="F23" s="31"/>
      <c r="H23" s="30" t="s">
        <v>566</v>
      </c>
      <c r="I23" s="31"/>
      <c r="K23" s="8" t="s">
        <v>32</v>
      </c>
      <c r="L23" s="9">
        <f>L25+L24</f>
        <v>487</v>
      </c>
    </row>
    <row r="24" spans="2:12">
      <c r="B24" s="8" t="s">
        <v>12</v>
      </c>
      <c r="C24" s="9">
        <f>I10+L10</f>
        <v>66</v>
      </c>
      <c r="E24" s="32" t="s">
        <v>614</v>
      </c>
      <c r="F24" s="33"/>
      <c r="H24" s="32" t="s">
        <v>517</v>
      </c>
      <c r="I24" s="33"/>
      <c r="K24" s="8" t="s">
        <v>33</v>
      </c>
      <c r="L24" s="9">
        <f>C5+F5</f>
        <v>154</v>
      </c>
    </row>
    <row r="25" spans="2:12">
      <c r="B25" s="8" t="s">
        <v>14</v>
      </c>
      <c r="C25" s="9">
        <f>I11</f>
        <v>76</v>
      </c>
      <c r="E25" s="32" t="s">
        <v>615</v>
      </c>
      <c r="F25" s="33"/>
      <c r="H25" s="32" t="s">
        <v>568</v>
      </c>
      <c r="I25" s="33"/>
      <c r="K25" s="8" t="s">
        <v>34</v>
      </c>
      <c r="L25" s="9">
        <f>L5+I5</f>
        <v>333</v>
      </c>
    </row>
    <row r="26" spans="2:12">
      <c r="B26" s="8" t="s">
        <v>18</v>
      </c>
      <c r="C26" s="9">
        <f>I13+L13</f>
        <v>78</v>
      </c>
      <c r="E26" s="32" t="s">
        <v>616</v>
      </c>
      <c r="F26" s="33"/>
      <c r="H26" s="32" t="s">
        <v>569</v>
      </c>
      <c r="I26" s="33"/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58</v>
      </c>
      <c r="E27" s="32" t="s">
        <v>617</v>
      </c>
      <c r="F27" s="33"/>
      <c r="H27" s="32" t="s">
        <v>570</v>
      </c>
      <c r="I27" s="33"/>
      <c r="K27" s="8" t="s">
        <v>5</v>
      </c>
      <c r="L27" s="9">
        <f>C5+I5</f>
        <v>388</v>
      </c>
    </row>
    <row r="28" spans="2:12">
      <c r="B28" s="8" t="s">
        <v>35</v>
      </c>
      <c r="C28" s="9">
        <f>C9+C10+C11+C12+C13+F9+F10+F11+F12+F13</f>
        <v>70</v>
      </c>
      <c r="E28" s="32" t="s">
        <v>618</v>
      </c>
      <c r="F28" s="33"/>
      <c r="H28" s="32" t="s">
        <v>573</v>
      </c>
      <c r="I28" s="33"/>
      <c r="K28" s="8" t="s">
        <v>37</v>
      </c>
      <c r="L28" s="9">
        <f>C7+F7+I7+L7</f>
        <v>431</v>
      </c>
    </row>
    <row r="29" spans="2:12">
      <c r="B29" s="8" t="s">
        <v>36</v>
      </c>
      <c r="C29" s="9">
        <f>C14+F14</f>
        <v>31</v>
      </c>
      <c r="E29" s="32" t="s">
        <v>619</v>
      </c>
      <c r="F29" s="33"/>
      <c r="H29" s="32" t="s">
        <v>574</v>
      </c>
      <c r="I29" s="33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6</v>
      </c>
      <c r="E30" s="32" t="s">
        <v>620</v>
      </c>
      <c r="F30" s="33"/>
      <c r="H30" s="32" t="s">
        <v>575</v>
      </c>
      <c r="I30" s="33"/>
      <c r="K30" s="8" t="s">
        <v>621</v>
      </c>
      <c r="L30" s="9">
        <v>22</v>
      </c>
    </row>
    <row r="31" spans="2:12">
      <c r="B31" s="8" t="s">
        <v>40</v>
      </c>
      <c r="C31" s="9">
        <f>C17+F17</f>
        <v>8</v>
      </c>
      <c r="E31" s="32" t="s">
        <v>622</v>
      </c>
      <c r="F31" s="33"/>
      <c r="H31" s="32" t="s">
        <v>576</v>
      </c>
      <c r="I31" s="33"/>
      <c r="K31" s="8" t="s">
        <v>623</v>
      </c>
      <c r="L31" s="9">
        <v>22</v>
      </c>
    </row>
    <row r="32" spans="2:12">
      <c r="B32" s="8" t="s">
        <v>41</v>
      </c>
      <c r="C32" s="9">
        <f>C16+F16</f>
        <v>6</v>
      </c>
      <c r="E32" s="32" t="s">
        <v>624</v>
      </c>
      <c r="F32" s="33"/>
      <c r="H32" s="32" t="s">
        <v>577</v>
      </c>
      <c r="I32" s="33"/>
    </row>
    <row r="33" spans="2:14">
      <c r="B33" s="14" t="s">
        <v>625</v>
      </c>
      <c r="C33" s="11">
        <f>C19+F19+I14+I15+I16</f>
        <v>41</v>
      </c>
      <c r="E33" s="32" t="s">
        <v>626</v>
      </c>
      <c r="F33" s="33"/>
      <c r="H33" s="32" t="s">
        <v>578</v>
      </c>
      <c r="I33" s="33"/>
    </row>
    <row r="34" spans="2:14">
      <c r="E34" s="32" t="s">
        <v>627</v>
      </c>
      <c r="F34" s="33"/>
      <c r="H34" s="32" t="s">
        <v>579</v>
      </c>
      <c r="I34" s="33"/>
    </row>
    <row r="35" spans="2:14">
      <c r="E35" s="32" t="s">
        <v>628</v>
      </c>
      <c r="F35" s="33"/>
      <c r="H35" s="32" t="s">
        <v>310</v>
      </c>
      <c r="I35" s="33"/>
    </row>
    <row r="36" spans="2:14">
      <c r="E36" s="32" t="s">
        <v>629</v>
      </c>
      <c r="F36" s="33"/>
      <c r="H36" s="32" t="s">
        <v>311</v>
      </c>
      <c r="I36" s="33"/>
    </row>
    <row r="37" spans="2:14">
      <c r="E37" s="32" t="s">
        <v>630</v>
      </c>
      <c r="F37" s="33"/>
      <c r="H37" s="32" t="s">
        <v>581</v>
      </c>
      <c r="I37" s="33"/>
      <c r="M37" s="7"/>
      <c r="N37" s="7"/>
    </row>
    <row r="38" spans="2:14">
      <c r="E38" s="32" t="s">
        <v>631</v>
      </c>
      <c r="F38" s="33"/>
      <c r="H38" s="32" t="s">
        <v>585</v>
      </c>
      <c r="I38" s="33"/>
      <c r="M38" s="7"/>
      <c r="N38" s="7"/>
    </row>
    <row r="39" spans="2:14">
      <c r="E39" s="32" t="s">
        <v>248</v>
      </c>
      <c r="F39" s="33"/>
      <c r="H39" s="32" t="s">
        <v>586</v>
      </c>
      <c r="I39" s="33"/>
    </row>
    <row r="40" spans="2:14">
      <c r="E40" s="32" t="s">
        <v>632</v>
      </c>
      <c r="F40" s="33"/>
      <c r="H40" s="32" t="s">
        <v>587</v>
      </c>
      <c r="I40" s="33"/>
    </row>
    <row r="41" spans="2:14">
      <c r="E41" s="32" t="s">
        <v>633</v>
      </c>
      <c r="F41" s="33"/>
      <c r="H41" s="32" t="s">
        <v>588</v>
      </c>
      <c r="I41" s="33"/>
    </row>
    <row r="42" spans="2:14">
      <c r="E42" s="32" t="s">
        <v>634</v>
      </c>
      <c r="F42" s="33"/>
      <c r="H42" s="32" t="s">
        <v>277</v>
      </c>
      <c r="I42" s="33"/>
    </row>
    <row r="43" spans="2:14">
      <c r="E43" s="32" t="s">
        <v>635</v>
      </c>
      <c r="F43" s="33"/>
      <c r="H43" s="32" t="s">
        <v>319</v>
      </c>
      <c r="I43" s="33"/>
    </row>
    <row r="44" spans="2:14">
      <c r="E44" s="34" t="s">
        <v>636</v>
      </c>
      <c r="F44" s="35"/>
      <c r="H44" s="34" t="s">
        <v>551</v>
      </c>
      <c r="I44" s="35"/>
    </row>
  </sheetData>
  <sheetProtection algorithmName="SHA-512" hashValue="WsuxJ7jypoOZ48IbEWk44TolMC0mdoFE1C8RnOt6zEE5VTy7y0c8nm8b9FY5wiANYGvB2ikVUDagjj4b041GvQ==" saltValue="EPfQ3NPWBUbJcCGxhzFfAw==" spinCount="100000" sheet="1" objects="1" scenarios="1"/>
  <mergeCells count="9">
    <mergeCell ref="B2:L2"/>
    <mergeCell ref="H22:I22"/>
    <mergeCell ref="E22:F2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488"/>
  <sheetViews>
    <sheetView zoomScaleNormal="100" workbookViewId="0">
      <pane ySplit="1" topLeftCell="A2" activePane="bottomLeft" state="frozen"/>
      <selection pane="bottomLeft" activeCell="G2" sqref="G2"/>
    </sheetView>
  </sheetViews>
  <sheetFormatPr defaultColWidth="9" defaultRowHeight="11.25" customHeight="1"/>
  <cols>
    <col min="1" max="1" width="22.3984375" customWidth="1"/>
    <col min="2" max="2" width="17" customWidth="1"/>
    <col min="3" max="3" width="8.09765625" bestFit="1" customWidth="1"/>
    <col min="4" max="4" width="24" customWidth="1"/>
    <col min="5" max="5" width="11.09765625" bestFit="1" customWidth="1"/>
    <col min="6" max="6" width="22.69921875" bestFit="1" customWidth="1"/>
    <col min="7" max="7" width="44.296875" bestFit="1" customWidth="1"/>
  </cols>
  <sheetData>
    <row r="1" spans="1:7" ht="11.25" customHeight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637</v>
      </c>
    </row>
    <row r="2" spans="1:7" ht="13.8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VLOOKUP(A:A,INVENTÁRIO_05_2025!A:A,1,0)</f>
        <v>SLOT-01</v>
      </c>
    </row>
    <row r="3" spans="1:7" ht="13.8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VLOOKUP(A:A,INVENTÁRIO_05_2025!A:A,1,0)</f>
        <v>SPRDAPTRGRU01</v>
      </c>
    </row>
    <row r="4" spans="1:7" ht="13.8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58</v>
      </c>
      <c r="G4" t="str">
        <f>VLOOKUP(A:A,INVENTÁRIO_05_2025!A:A,1,0)</f>
        <v>SPRDAPBWGRU01</v>
      </c>
    </row>
    <row r="5" spans="1:7" ht="13.8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VLOOKUP(A:A,INVENTÁRIO_05_2025!A:A,1,0)</f>
        <v>SPRDAPBWGRU02</v>
      </c>
    </row>
    <row r="6" spans="1:7" ht="13.8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VLOOKUP(A:A,INVENTÁRIO_05_2025!A:A,1,0)</f>
        <v>SPRDVMGRU01</v>
      </c>
    </row>
    <row r="7" spans="1:7" ht="13.8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VLOOKUP(A:A,INVENTÁRIO_05_2025!A:A,1,0)</f>
        <v>SPRDVMGRU02</v>
      </c>
    </row>
    <row r="8" spans="1:7" ht="13.8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VLOOKUP(A:A,INVENTÁRIO_05_2025!A:A,1,0)</f>
        <v>SPRDVMGRU05</v>
      </c>
    </row>
    <row r="9" spans="1:7" ht="13.8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VLOOKUP(A:A,INVENTÁRIO_05_2025!A:A,1,0)</f>
        <v>SPRDVMGRU03</v>
      </c>
    </row>
    <row r="10" spans="1:7" ht="13.8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VLOOKUP(A:A,INVENTÁRIO_05_2025!A:A,1,0)</f>
        <v>SPRDVMGRU04</v>
      </c>
    </row>
    <row r="11" spans="1:7" ht="13.8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VLOOKUP(A:A,INVENTÁRIO_05_2025!A:A,1,0)</f>
        <v>SPRDVMGRU06</v>
      </c>
    </row>
    <row r="12" spans="1:7" ht="13.8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VLOOKUP(A:A,INVENTÁRIO_05_2025!A:A,1,0)</f>
        <v>SPRDVMSAPGRU01</v>
      </c>
    </row>
    <row r="13" spans="1:7" ht="13.8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VLOOKUP(A:A,INVENTÁRIO_05_2025!A:A,1,0)</f>
        <v>SPRDVMSAPGRU02</v>
      </c>
    </row>
    <row r="14" spans="1:7" ht="13.8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VLOOKUP(A:A,INVENTÁRIO_05_2025!A:A,1,0)</f>
        <v>SPRDVMSAPGRU03</v>
      </c>
    </row>
    <row r="15" spans="1:7" ht="13.8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VLOOKUP(A:A,INVENTÁRIO_05_2025!A:A,1,0)</f>
        <v>SPRDVMSAPGRU04</v>
      </c>
    </row>
    <row r="16" spans="1:7" ht="13.8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VLOOKUP(A:A,INVENTÁRIO_05_2025!A:A,1,0)</f>
        <v>SPRDESXIGRU01</v>
      </c>
    </row>
    <row r="17" spans="1:7" ht="13.8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VLOOKUP(A:A,INVENTÁRIO_05_2025!A:A,1,0)</f>
        <v>SPRDESXIGRU02</v>
      </c>
    </row>
    <row r="18" spans="1:7" ht="13.8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VLOOKUP(A:A,INVENTÁRIO_05_2025!A:A,1,0)</f>
        <v>SPRDESXIGRU03</v>
      </c>
    </row>
    <row r="19" spans="1:7" ht="13.8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VLOOKUP(A:A,INVENTÁRIO_05_2025!A:A,1,0)</f>
        <v>SPRDESXIGRU04</v>
      </c>
    </row>
    <row r="20" spans="1:7" ht="13.8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VLOOKUP(A:A,INVENTÁRIO_05_2025!A:A,1,0)</f>
        <v>SPRDESXIGRU05</v>
      </c>
    </row>
    <row r="21" spans="1:7" ht="13.8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VLOOKUP(A:A,INVENTÁRIO_05_2025!A:A,1,0)</f>
        <v>SPRDESXIGRU06</v>
      </c>
    </row>
    <row r="22" spans="1:7" ht="13.8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VLOOKUP(A:A,INVENTÁRIO_05_2025!A:A,1,0)</f>
        <v>SPRDESXIGRU07</v>
      </c>
    </row>
    <row r="23" spans="1:7" ht="13.8">
      <c r="A23" t="s">
        <v>82</v>
      </c>
      <c r="B23" t="s">
        <v>61</v>
      </c>
      <c r="C23" t="s">
        <v>51</v>
      </c>
      <c r="D23" t="s">
        <v>83</v>
      </c>
      <c r="E23" t="s">
        <v>53</v>
      </c>
      <c r="F23" t="s">
        <v>63</v>
      </c>
      <c r="G23" t="str">
        <f>VLOOKUP(A:A,INVENTÁRIO_05_2025!A:A,1,0)</f>
        <v>SPRDBDORAGRU03</v>
      </c>
    </row>
    <row r="24" spans="1:7" ht="13.8">
      <c r="A24" t="s">
        <v>84</v>
      </c>
      <c r="B24" t="s">
        <v>61</v>
      </c>
      <c r="C24" t="s">
        <v>51</v>
      </c>
      <c r="D24" t="s">
        <v>85</v>
      </c>
      <c r="E24" t="s">
        <v>53</v>
      </c>
      <c r="F24" t="s">
        <v>63</v>
      </c>
      <c r="G24" t="str">
        <f>VLOOKUP(A:A,INVENTÁRIO_05_2025!A:A,1,0)</f>
        <v>SHOMBDORAGRU01</v>
      </c>
    </row>
    <row r="25" spans="1:7" ht="13.8">
      <c r="A25" t="s">
        <v>86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VLOOKUP(A:A,INVENTÁRIO_05_2025!A:A,1,0)</f>
        <v>SPRDAPCMSGRU02</v>
      </c>
    </row>
    <row r="26" spans="1:7" ht="13.8">
      <c r="A26" t="s">
        <v>87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VLOOKUP(A:A,INVENTÁRIO_05_2025!A:A,1,0)</f>
        <v>SPRDBDORAGRU04</v>
      </c>
    </row>
    <row r="27" spans="1:7" ht="13.8">
      <c r="A27" t="s">
        <v>88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VLOOKUP(A:A,INVENTÁRIO_05_2025!A:A,1,0)</f>
        <v>SPRDAPCMSGRU07</v>
      </c>
    </row>
    <row r="28" spans="1:7" ht="13.8">
      <c r="A28" t="s">
        <v>89</v>
      </c>
      <c r="B28" t="s">
        <v>61</v>
      </c>
      <c r="C28" t="s">
        <v>51</v>
      </c>
      <c r="D28" t="s">
        <v>85</v>
      </c>
      <c r="E28" t="s">
        <v>53</v>
      </c>
      <c r="F28" t="s">
        <v>67</v>
      </c>
      <c r="G28" t="str">
        <f>VLOOKUP(A:A,INVENTÁRIO_05_2025!A:A,1,0)</f>
        <v>SHOMAPCMSGRU02</v>
      </c>
    </row>
    <row r="29" spans="1:7" ht="13.8">
      <c r="A29" t="s">
        <v>90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VLOOKUP(A:A,INVENTÁRIO_05_2025!A:A,1,0)</f>
        <v>SHOMBDORAGRU02</v>
      </c>
    </row>
    <row r="30" spans="1:7" ht="13.8">
      <c r="A30" t="s">
        <v>91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VLOOKUP(A:A,INVENTÁRIO_05_2025!A:A,1,0)</f>
        <v>SPRDAPCMSGRU04</v>
      </c>
    </row>
    <row r="31" spans="1:7" ht="13.8">
      <c r="A31" t="s">
        <v>92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VLOOKUP(A:A,INVENTÁRIO_05_2025!A:A,1,0)</f>
        <v>SPRDAPCMSGRU05</v>
      </c>
    </row>
    <row r="32" spans="1:7" ht="13.8">
      <c r="A32" t="s">
        <v>93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VLOOKUP(A:A,INVENTÁRIO_05_2025!A:A,1,0)</f>
        <v>SPRDBDORAGRU05</v>
      </c>
    </row>
    <row r="33" spans="1:7" ht="13.8">
      <c r="A33" t="s">
        <v>94</v>
      </c>
      <c r="B33" t="s">
        <v>61</v>
      </c>
      <c r="C33" t="s">
        <v>51</v>
      </c>
      <c r="D33" t="s">
        <v>85</v>
      </c>
      <c r="E33" t="s">
        <v>53</v>
      </c>
      <c r="F33" t="s">
        <v>56</v>
      </c>
      <c r="G33" t="str">
        <f>VLOOKUP(A:A,INVENTÁRIO_05_2025!A:A,1,0)</f>
        <v>SPRDAPBIGRU01</v>
      </c>
    </row>
    <row r="34" spans="1:7" ht="13.8">
      <c r="A34" t="s">
        <v>95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VLOOKUP(A:A,INVENTÁRIO_05_2025!A:A,1,0)</f>
        <v>SPRDAPECGRU01</v>
      </c>
    </row>
    <row r="35" spans="1:7" ht="13.8">
      <c r="A35" t="s">
        <v>96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VLOOKUP(A:A,INVENTÁRIO_05_2025!A:A,1,0)</f>
        <v>SPRDAPECGRU02</v>
      </c>
    </row>
    <row r="36" spans="1:7" ht="13.8">
      <c r="A36" t="s">
        <v>97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VLOOKUP(A:A,INVENTÁRIO_05_2025!A:A,1,0)</f>
        <v>SPRDAPECGRU03</v>
      </c>
    </row>
    <row r="37" spans="1:7" ht="13.8">
      <c r="A37" t="s">
        <v>98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VLOOKUP(A:A,INVENTÁRIO_05_2025!A:A,1,0)</f>
        <v>SPRDAPPIGRU01</v>
      </c>
    </row>
    <row r="38" spans="1:7" ht="13.8">
      <c r="A38" t="s">
        <v>99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VLOOKUP(A:A,INVENTÁRIO_05_2025!A:A,1,0)</f>
        <v>SPRDAPSMGRU01</v>
      </c>
    </row>
    <row r="39" spans="1:7" ht="13.8">
      <c r="A39" t="s">
        <v>100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VLOOKUP(A:A,INVENTÁRIO_05_2025!A:A,1,0)</f>
        <v>SPRDBDORAGRU09</v>
      </c>
    </row>
    <row r="40" spans="1:7" ht="13.8">
      <c r="A40" t="s">
        <v>101</v>
      </c>
      <c r="B40" t="s">
        <v>61</v>
      </c>
      <c r="C40" t="s">
        <v>51</v>
      </c>
      <c r="D40" t="s">
        <v>85</v>
      </c>
      <c r="E40" t="s">
        <v>53</v>
      </c>
      <c r="F40" t="s">
        <v>58</v>
      </c>
      <c r="G40" t="str">
        <f>VLOOKUP(A:A,INVENTÁRIO_05_2025!A:A,1,0)</f>
        <v>SPRDAPBIGRU02</v>
      </c>
    </row>
    <row r="41" spans="1:7" ht="13.8">
      <c r="A41" t="s">
        <v>102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VLOOKUP(A:A,INVENTÁRIO_05_2025!A:A,1,0)</f>
        <v>SPRDAPECGRU04</v>
      </c>
    </row>
    <row r="42" spans="1:7" ht="13.8">
      <c r="A42" t="s">
        <v>103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VLOOKUP(A:A,INVENTÁRIO_05_2025!A:A,1,0)</f>
        <v>SPRDAPECGRU05</v>
      </c>
    </row>
    <row r="43" spans="1:7" ht="13.8">
      <c r="A43" t="s">
        <v>104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VLOOKUP(A:A,INVENTÁRIO_05_2025!A:A,1,0)</f>
        <v>SPRDAPECGRU06</v>
      </c>
    </row>
    <row r="44" spans="1:7" ht="13.8">
      <c r="A44" t="s">
        <v>105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VLOOKUP(A:A,INVENTÁRIO_05_2025!A:A,1,0)</f>
        <v>SPRDAPPIGRU02</v>
      </c>
    </row>
    <row r="45" spans="1:7" ht="13.8">
      <c r="A45" t="s">
        <v>106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VLOOKUP(A:A,INVENTÁRIO_05_2025!A:A,1,0)</f>
        <v>SPRDAPSMGRU02</v>
      </c>
    </row>
    <row r="46" spans="1:7" ht="13.8">
      <c r="A46" t="s">
        <v>107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VLOOKUP(A:A,INVENTÁRIO_05_2025!A:A,1,0)</f>
        <v>SPRDBDORAGRU11</v>
      </c>
    </row>
    <row r="47" spans="1:7" ht="13.8">
      <c r="A47" t="s">
        <v>108</v>
      </c>
      <c r="B47" t="s">
        <v>61</v>
      </c>
      <c r="C47" t="s">
        <v>51</v>
      </c>
      <c r="D47" t="s">
        <v>109</v>
      </c>
      <c r="E47" t="s">
        <v>53</v>
      </c>
      <c r="F47" t="s">
        <v>58</v>
      </c>
      <c r="G47" t="str">
        <f>VLOOKUP(A:A,INVENTÁRIO_05_2025!A:A,1,0)</f>
        <v>SPRDBDORAGRU12</v>
      </c>
    </row>
    <row r="48" spans="1:7" ht="13.8">
      <c r="A48" t="s">
        <v>110</v>
      </c>
      <c r="B48" t="s">
        <v>61</v>
      </c>
      <c r="C48" t="s">
        <v>51</v>
      </c>
      <c r="D48" t="s">
        <v>111</v>
      </c>
      <c r="E48" t="s">
        <v>53</v>
      </c>
      <c r="F48" t="s">
        <v>67</v>
      </c>
      <c r="G48" t="str">
        <f>VLOOKUP(A:A,INVENTÁRIO_05_2025!A:A,1,0)</f>
        <v>SPRDAPCMSGRU06</v>
      </c>
    </row>
    <row r="49" spans="1:7" ht="13.8">
      <c r="A49" t="s">
        <v>112</v>
      </c>
      <c r="B49" t="s">
        <v>61</v>
      </c>
      <c r="C49" t="s">
        <v>51</v>
      </c>
      <c r="D49" t="s">
        <v>111</v>
      </c>
      <c r="E49" t="s">
        <v>53</v>
      </c>
      <c r="F49" t="s">
        <v>58</v>
      </c>
      <c r="G49" t="str">
        <f>VLOOKUP(A:A,INVENTÁRIO_05_2025!A:A,1,0)</f>
        <v>SPRDAPCMSGRU08</v>
      </c>
    </row>
    <row r="50" spans="1:7" ht="13.8">
      <c r="A50" t="s">
        <v>113</v>
      </c>
      <c r="B50" t="s">
        <v>61</v>
      </c>
      <c r="C50" t="s">
        <v>51</v>
      </c>
      <c r="D50" t="s">
        <v>114</v>
      </c>
      <c r="E50" t="s">
        <v>53</v>
      </c>
      <c r="F50" t="s">
        <v>56</v>
      </c>
      <c r="G50" t="str">
        <f>VLOOKUP(A:A,INVENTÁRIO_05_2025!A:A,1,0)</f>
        <v>SPRDAPSSHGRU01</v>
      </c>
    </row>
    <row r="51" spans="1:7" ht="13.8">
      <c r="A51" t="s">
        <v>115</v>
      </c>
      <c r="B51" t="s">
        <v>50</v>
      </c>
      <c r="C51" t="s">
        <v>116</v>
      </c>
      <c r="D51" t="s">
        <v>117</v>
      </c>
      <c r="E51" t="s">
        <v>53</v>
      </c>
      <c r="F51" t="s">
        <v>56</v>
      </c>
      <c r="G51" t="str">
        <f>VLOOKUP(A:A,INVENTÁRIO_05_2025!A:A,1,0)</f>
        <v>SPRDAPMSGRU01</v>
      </c>
    </row>
    <row r="52" spans="1:7" ht="13.8">
      <c r="A52" t="s">
        <v>118</v>
      </c>
      <c r="B52" t="s">
        <v>50</v>
      </c>
      <c r="C52" t="s">
        <v>116</v>
      </c>
      <c r="D52" t="s">
        <v>117</v>
      </c>
      <c r="E52" t="s">
        <v>53</v>
      </c>
      <c r="F52" t="s">
        <v>58</v>
      </c>
      <c r="G52" t="str">
        <f>VLOOKUP(A:A,INVENTÁRIO_05_2025!A:A,1,0)</f>
        <v>SPRDAPMSGRU02</v>
      </c>
    </row>
    <row r="53" spans="1:7" ht="13.8">
      <c r="A53" t="s">
        <v>119</v>
      </c>
      <c r="B53" t="s">
        <v>61</v>
      </c>
      <c r="C53" t="s">
        <v>116</v>
      </c>
      <c r="D53" t="s">
        <v>117</v>
      </c>
      <c r="E53" t="s">
        <v>53</v>
      </c>
      <c r="F53" t="s">
        <v>120</v>
      </c>
      <c r="G53" t="str">
        <f>VLOOKUP(A:A,INVENTÁRIO_05_2025!A:A,1,0)</f>
        <v>SPRDADGRU01</v>
      </c>
    </row>
    <row r="54" spans="1:7" ht="13.8">
      <c r="A54" t="s">
        <v>121</v>
      </c>
      <c r="B54" t="s">
        <v>50</v>
      </c>
      <c r="C54" t="s">
        <v>116</v>
      </c>
      <c r="D54" t="s">
        <v>122</v>
      </c>
      <c r="E54" t="s">
        <v>53</v>
      </c>
      <c r="F54" t="s">
        <v>120</v>
      </c>
      <c r="G54" t="str">
        <f>VLOOKUP(A:A,INVENTÁRIO_05_2025!A:A,1,0)</f>
        <v>SPRDAPBMSGRUB_O</v>
      </c>
    </row>
    <row r="55" spans="1:7" ht="13.8">
      <c r="A55" t="s">
        <v>123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VLOOKUP(A:A,INVENTÁRIO_05_2025!A:A,1,0)</f>
        <v>SPRDAPBMSGRUA</v>
      </c>
    </row>
    <row r="56" spans="1:7" ht="13.8">
      <c r="A56" t="s">
        <v>124</v>
      </c>
      <c r="B56" t="s">
        <v>61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SPRDAPOPCGRUB</v>
      </c>
    </row>
    <row r="57" spans="1:7" ht="13.8">
      <c r="A57" t="s">
        <v>125</v>
      </c>
      <c r="B57" t="s">
        <v>61</v>
      </c>
      <c r="C57" t="s">
        <v>116</v>
      </c>
      <c r="D57" t="s">
        <v>126</v>
      </c>
      <c r="E57" t="s">
        <v>53</v>
      </c>
      <c r="F57" t="s">
        <v>63</v>
      </c>
      <c r="G57" t="str">
        <f>VLOOKUP(A:A,INVENTÁRIO_05_2025!A:A,1,0)</f>
        <v>SPRDSQLGRU10</v>
      </c>
    </row>
    <row r="58" spans="1:7" ht="13.8">
      <c r="A58" t="s">
        <v>127</v>
      </c>
      <c r="B58" t="s">
        <v>61</v>
      </c>
      <c r="C58" t="s">
        <v>116</v>
      </c>
      <c r="D58" t="s">
        <v>126</v>
      </c>
      <c r="E58" t="s">
        <v>53</v>
      </c>
      <c r="F58" t="s">
        <v>67</v>
      </c>
      <c r="G58" t="str">
        <f>VLOOKUP(A:A,INVENTÁRIO_05_2025!A:A,1,0)</f>
        <v>SPRDSQLGRU11</v>
      </c>
    </row>
    <row r="59" spans="1:7" ht="13.8">
      <c r="A59" t="s">
        <v>128</v>
      </c>
      <c r="B59" t="s">
        <v>50</v>
      </c>
      <c r="C59" t="s">
        <v>116</v>
      </c>
      <c r="D59" t="s">
        <v>129</v>
      </c>
      <c r="E59" t="s">
        <v>53</v>
      </c>
      <c r="F59" t="s">
        <v>58</v>
      </c>
      <c r="G59" t="str">
        <f>VLOOKUP(A:A,INVENTÁRIO_05_2025!A:A,1,0)</f>
        <v>SPRDAPBPGRU02</v>
      </c>
    </row>
    <row r="60" spans="1:7" ht="13.8">
      <c r="A60" t="s">
        <v>130</v>
      </c>
      <c r="B60" t="s">
        <v>50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VLOOKUP(A:A,INVENTÁRIO_05_2025!A:A,1,0)</f>
        <v>SPRDAPBKPGRU02</v>
      </c>
    </row>
    <row r="61" spans="1:7" ht="13.8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VLOOKUP(A:A,INVENTÁRIO_05_2025!A:A,1,0)</f>
        <v>SPRDAPBKPGRU01</v>
      </c>
    </row>
    <row r="62" spans="1:7" ht="13.8">
      <c r="A62" t="s">
        <v>132</v>
      </c>
      <c r="B62" t="s">
        <v>61</v>
      </c>
      <c r="C62" t="s">
        <v>116</v>
      </c>
      <c r="D62" t="s">
        <v>129</v>
      </c>
      <c r="E62" t="s">
        <v>53</v>
      </c>
      <c r="F62" t="s">
        <v>133</v>
      </c>
      <c r="G62" t="str">
        <f>VLOOKUP(A:A,INVENTÁRIO_05_2025!A:A,1,0)</f>
        <v>SPRDCCTVGRU08</v>
      </c>
    </row>
    <row r="63" spans="1:7" ht="13.8">
      <c r="A63" t="s">
        <v>134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VLOOKUP(A:A,INVENTÁRIO_05_2025!A:A,1,0)</f>
        <v>SPRDCCTVGRU10</v>
      </c>
    </row>
    <row r="64" spans="1:7" ht="13.8">
      <c r="A64" t="s">
        <v>135</v>
      </c>
      <c r="B64" t="s">
        <v>50</v>
      </c>
      <c r="C64" t="s">
        <v>116</v>
      </c>
      <c r="D64" t="s">
        <v>136</v>
      </c>
      <c r="E64" t="s">
        <v>53</v>
      </c>
      <c r="F64" t="s">
        <v>63</v>
      </c>
      <c r="G64" t="str">
        <f>VLOOKUP(A:A,INVENTÁRIO_05_2025!A:A,1,0)</f>
        <v>SPRDAPDMZGRU01</v>
      </c>
    </row>
    <row r="65" spans="1:7" ht="13.8">
      <c r="A65" t="s">
        <v>137</v>
      </c>
      <c r="B65" t="s">
        <v>61</v>
      </c>
      <c r="C65" t="s">
        <v>116</v>
      </c>
      <c r="D65" t="s">
        <v>136</v>
      </c>
      <c r="E65" t="s">
        <v>53</v>
      </c>
      <c r="F65" t="s">
        <v>133</v>
      </c>
      <c r="G65" t="str">
        <f>VLOOKUP(A:A,INVENTÁRIO_05_2025!A:A,1,0)</f>
        <v>SPRDCCTVGRU01</v>
      </c>
    </row>
    <row r="66" spans="1:7" ht="13.8">
      <c r="A66" t="s">
        <v>138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VLOOKUP(A:A,INVENTÁRIO_05_2025!A:A,1,0)</f>
        <v>SPRDCCTVGRU20</v>
      </c>
    </row>
    <row r="67" spans="1:7" ht="13.8">
      <c r="A67" t="s">
        <v>139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VLOOKUP(A:A,INVENTÁRIO_05_2025!A:A,1,0)</f>
        <v>SPRDCCTVGRU21</v>
      </c>
    </row>
    <row r="68" spans="1:7" ht="13.8">
      <c r="A68" t="s">
        <v>140</v>
      </c>
      <c r="B68" t="s">
        <v>61</v>
      </c>
      <c r="C68" t="s">
        <v>116</v>
      </c>
      <c r="D68" t="s">
        <v>141</v>
      </c>
      <c r="E68" t="s">
        <v>53</v>
      </c>
      <c r="F68" t="s">
        <v>133</v>
      </c>
      <c r="G68" t="str">
        <f>VLOOKUP(A:A,INVENTÁRIO_05_2025!A:A,1,0)</f>
        <v>SPRDCCTVGRU02</v>
      </c>
    </row>
    <row r="69" spans="1:7" ht="13.8">
      <c r="A69" t="s">
        <v>142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VLOOKUP(A:A,INVENTÁRIO_05_2025!A:A,1,0)</f>
        <v>SPRDCCTVGRU05</v>
      </c>
    </row>
    <row r="70" spans="1:7" ht="13.8">
      <c r="A70" t="s">
        <v>143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VLOOKUP(A:A,INVENTÁRIO_05_2025!A:A,1,0)</f>
        <v>SPRDCCTVGRU07</v>
      </c>
    </row>
    <row r="71" spans="1:7" ht="13.8">
      <c r="A71" t="s">
        <v>144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VLOOKUP(A:A,INVENTÁRIO_05_2025!A:A,1,0)</f>
        <v>SPRDCCTVGRU09</v>
      </c>
    </row>
    <row r="72" spans="1:7" ht="13.8">
      <c r="A72" t="s">
        <v>145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VLOOKUP(A:A,INVENTÁRIO_05_2025!A:A,1,0)</f>
        <v>SPRDCCTVGRU11</v>
      </c>
    </row>
    <row r="73" spans="1:7" ht="13.8">
      <c r="A73" t="s">
        <v>146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VLOOKUP(A:A,INVENTÁRIO_05_2025!A:A,1,0)</f>
        <v>SPRDCCTVGRU25</v>
      </c>
    </row>
    <row r="74" spans="1:7" ht="13.8">
      <c r="A74" t="s">
        <v>147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VLOOKUP(A:A,INVENTÁRIO_05_2025!A:A,1,0)</f>
        <v>SPRDCCTVGRU26</v>
      </c>
    </row>
    <row r="75" spans="1:7" ht="13.8">
      <c r="A75" t="s">
        <v>148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VLOOKUP(A:A,INVENTÁRIO_05_2025!A:A,1,0)</f>
        <v>SPRDCCTVGRU28</v>
      </c>
    </row>
    <row r="76" spans="1:7" ht="13.8">
      <c r="A76" t="s">
        <v>149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VLOOKUP(A:A,INVENTÁRIO_05_2025!A:A,1,0)</f>
        <v>SPRDCCTVGRU29</v>
      </c>
    </row>
    <row r="77" spans="1:7" ht="13.8">
      <c r="A77" t="s">
        <v>150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VLOOKUP(A:A,INVENTÁRIO_05_2025!A:A,1,0)</f>
        <v>SPRDCCTVGRU30</v>
      </c>
    </row>
    <row r="78" spans="1:7" ht="13.8">
      <c r="A78" t="s">
        <v>558</v>
      </c>
      <c r="B78" t="s">
        <v>61</v>
      </c>
      <c r="C78" t="s">
        <v>51</v>
      </c>
      <c r="D78" t="s">
        <v>559</v>
      </c>
      <c r="E78" t="s">
        <v>53</v>
      </c>
      <c r="F78" t="s">
        <v>560</v>
      </c>
      <c r="G78" t="str">
        <f>VLOOKUP(A:A,INVENTÁRIO_05_2025!A:A,1,0)</f>
        <v>SPRDCCTVGRU31-OLD</v>
      </c>
    </row>
    <row r="79" spans="1:7" ht="13.8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VLOOKUP(A:A,INVENTÁRIO_05_2025!A:A,1,0)</f>
        <v>SPRDTSQGRU01</v>
      </c>
    </row>
    <row r="80" spans="1:7" ht="11.25" customHeight="1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VLOOKUP(A:A,INVENTÁRIO_05_2025!A:A,1,0)</f>
        <v>GRUSPRDCFTV200</v>
      </c>
    </row>
    <row r="81" spans="1:7" ht="11.25" customHeight="1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VLOOKUP(A:A,INVENTÁRIO_05_2025!A:A,1,0)</f>
        <v>GRUSPRDCFTV201</v>
      </c>
    </row>
    <row r="82" spans="1:7" ht="11.25" customHeight="1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VLOOKUP(A:A,INVENTÁRIO_05_2025!A:A,1,0)</f>
        <v>GRUSPRDCFTV202</v>
      </c>
    </row>
    <row r="83" spans="1:7" ht="11.25" customHeight="1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VLOOKUP(A:A,INVENTÁRIO_05_2025!A:A,1,0)</f>
        <v>GRUSPRDCFTV203</v>
      </c>
    </row>
    <row r="84" spans="1:7" ht="11.25" customHeight="1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VLOOKUP(A:A,INVENTÁRIO_05_2025!A:A,1,0)</f>
        <v>GRUSPRDCFTV204</v>
      </c>
    </row>
    <row r="85" spans="1:7" ht="11.25" customHeight="1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VLOOKUP(A:A,INVENTÁRIO_05_2025!A:A,1,0)</f>
        <v>GRUSPRDCFTV205</v>
      </c>
    </row>
    <row r="86" spans="1:7" ht="11.25" customHeight="1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VLOOKUP(A:A,INVENTÁRIO_05_2025!A:A,1,0)</f>
        <v>GRUSPRDCFTV206</v>
      </c>
    </row>
    <row r="87" spans="1:7" ht="11.25" customHeight="1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VLOOKUP(A:A,INVENTÁRIO_05_2025!A:A,1,0)</f>
        <v>GRUSPRDCFTV207</v>
      </c>
    </row>
    <row r="88" spans="1:7" ht="11.25" customHeight="1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VLOOKUP(A:A,INVENTÁRIO_05_2025!A:A,1,0)</f>
        <v>GRUSPRDCFTV208</v>
      </c>
    </row>
    <row r="89" spans="1:7" ht="11.25" customHeight="1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VLOOKUP(A:A,INVENTÁRIO_05_2025!A:A,1,0)</f>
        <v>GRUSPRDCFTV209</v>
      </c>
    </row>
    <row r="90" spans="1:7" ht="11.25" customHeight="1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VLOOKUP(A:A,INVENTÁRIO_05_2025!A:A,1,0)</f>
        <v>GRUSPRDCFTV210</v>
      </c>
    </row>
    <row r="91" spans="1:7" ht="11.25" customHeight="1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VLOOKUP(A:A,INVENTÁRIO_05_2025!A:A,1,0)</f>
        <v>GRUSPRDCFTV211</v>
      </c>
    </row>
    <row r="92" spans="1:7" ht="11.25" customHeight="1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VLOOKUP(A:A,INVENTÁRIO_05_2025!A:A,1,0)</f>
        <v>GRUSPRDCFTV212</v>
      </c>
    </row>
    <row r="93" spans="1:7" ht="11.25" customHeight="1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VLOOKUP(A:A,INVENTÁRIO_05_2025!A:A,1,0)</f>
        <v>GRUSPRDCFTV213</v>
      </c>
    </row>
    <row r="94" spans="1:7" ht="11.25" customHeight="1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VLOOKUP(A:A,INVENTÁRIO_05_2025!A:A,1,0)</f>
        <v>GRUSPRDCFTV214</v>
      </c>
    </row>
    <row r="95" spans="1:7" ht="11.25" customHeight="1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VLOOKUP(A:A,INVENTÁRIO_05_2025!A:A,1,0)</f>
        <v>GRUSPRDCFTV215</v>
      </c>
    </row>
    <row r="96" spans="1:7" ht="11.25" customHeight="1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VLOOKUP(A:A,INVENTÁRIO_05_2025!A:A,1,0)</f>
        <v>GRUSPRDCFTV216</v>
      </c>
    </row>
    <row r="97" spans="1:7" ht="11.25" customHeight="1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VLOOKUP(A:A,INVENTÁRIO_05_2025!A:A,1,0)</f>
        <v>GRUSPRDCFTV217</v>
      </c>
    </row>
    <row r="98" spans="1:7" ht="11.25" customHeight="1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VLOOKUP(A:A,INVENTÁRIO_05_2025!A:A,1,0)</f>
        <v>GRUSPRDCFTV218</v>
      </c>
    </row>
    <row r="99" spans="1:7" ht="11.25" customHeight="1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VLOOKUP(A:A,INVENTÁRIO_05_2025!A:A,1,0)</f>
        <v>GRUSPRDCFTV219</v>
      </c>
    </row>
    <row r="100" spans="1:7" ht="11.25" customHeight="1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VLOOKUP(A:A,INVENTÁRIO_05_2025!A:A,1,0)</f>
        <v>GRUSPRDCFTV220</v>
      </c>
    </row>
    <row r="101" spans="1:7" ht="11.25" customHeight="1">
      <c r="A101" t="s">
        <v>325</v>
      </c>
      <c r="B101" t="s">
        <v>50</v>
      </c>
      <c r="C101" t="s">
        <v>51</v>
      </c>
      <c r="D101" t="s">
        <v>326</v>
      </c>
      <c r="E101" t="s">
        <v>156</v>
      </c>
      <c r="F101" t="s">
        <v>560</v>
      </c>
      <c r="G101" t="str">
        <f>VLOOKUP(A:A,INVENTÁRIO_05_2025!A:A,1,0)</f>
        <v>SPRDAPCSCOGRU02</v>
      </c>
    </row>
    <row r="102" spans="1:7" ht="11.25" customHeight="1">
      <c r="A102" t="s">
        <v>328</v>
      </c>
      <c r="B102" t="s">
        <v>61</v>
      </c>
      <c r="C102" t="s">
        <v>51</v>
      </c>
      <c r="D102" t="s">
        <v>329</v>
      </c>
      <c r="E102" t="s">
        <v>156</v>
      </c>
      <c r="F102" t="s">
        <v>560</v>
      </c>
      <c r="G102" t="str">
        <f>VLOOKUP(A:A,INVENTÁRIO_05_2025!A:A,1,0)</f>
        <v>SPRDAPCLTGRU02</v>
      </c>
    </row>
    <row r="103" spans="1:7" ht="11.25" customHeight="1">
      <c r="A103" t="s">
        <v>332</v>
      </c>
      <c r="B103" t="s">
        <v>61</v>
      </c>
      <c r="C103" t="s">
        <v>51</v>
      </c>
      <c r="D103" t="s">
        <v>567</v>
      </c>
      <c r="E103" t="s">
        <v>156</v>
      </c>
      <c r="F103" t="s">
        <v>560</v>
      </c>
      <c r="G103" t="str">
        <f>VLOOKUP(A:A,INVENTÁRIO_05_2025!A:A,1,0)</f>
        <v>SPRDAPLOGSGRU01</v>
      </c>
    </row>
    <row r="104" spans="1:7" ht="11.25" customHeight="1">
      <c r="A104" t="s">
        <v>333</v>
      </c>
      <c r="B104" t="s">
        <v>61</v>
      </c>
      <c r="C104" t="s">
        <v>51</v>
      </c>
      <c r="D104" t="s">
        <v>329</v>
      </c>
      <c r="E104" t="s">
        <v>156</v>
      </c>
      <c r="F104" t="s">
        <v>560</v>
      </c>
      <c r="G104" t="str">
        <f>VLOOKUP(A:A,INVENTÁRIO_05_2025!A:A,1,0)</f>
        <v>SPRDBDDACGRU01</v>
      </c>
    </row>
    <row r="105" spans="1:7" ht="11.25" customHeight="1">
      <c r="A105" t="s">
        <v>334</v>
      </c>
      <c r="B105" t="s">
        <v>61</v>
      </c>
      <c r="C105" t="s">
        <v>51</v>
      </c>
      <c r="D105" t="s">
        <v>329</v>
      </c>
      <c r="E105" t="s">
        <v>156</v>
      </c>
      <c r="F105" t="s">
        <v>560</v>
      </c>
      <c r="G105" t="str">
        <f>VLOOKUP(A:A,INVENTÁRIO_05_2025!A:A,1,0)</f>
        <v>SPRDMYSQLGRU02</v>
      </c>
    </row>
    <row r="106" spans="1:7" ht="11.25" customHeight="1">
      <c r="A106" t="s">
        <v>335</v>
      </c>
      <c r="B106" t="s">
        <v>61</v>
      </c>
      <c r="C106" t="s">
        <v>51</v>
      </c>
      <c r="D106" t="s">
        <v>158</v>
      </c>
      <c r="E106" t="s">
        <v>156</v>
      </c>
      <c r="F106" t="s">
        <v>560</v>
      </c>
      <c r="G106" t="str">
        <f>VLOOKUP(A:A,INVENTÁRIO_05_2025!A:A,1,0)</f>
        <v>SPRDAPOCSGRU01</v>
      </c>
    </row>
    <row r="107" spans="1:7" ht="11.25" customHeight="1">
      <c r="A107" t="s">
        <v>336</v>
      </c>
      <c r="B107" t="s">
        <v>61</v>
      </c>
      <c r="C107" t="s">
        <v>116</v>
      </c>
      <c r="D107" t="s">
        <v>337</v>
      </c>
      <c r="E107" t="s">
        <v>156</v>
      </c>
      <c r="F107" t="s">
        <v>560</v>
      </c>
      <c r="G107" t="str">
        <f>VLOOKUP(A:A,INVENTÁRIO_05_2025!A:A,1,0)</f>
        <v>SPRDAPCCGRU04</v>
      </c>
    </row>
    <row r="108" spans="1:7" ht="11.25" customHeight="1">
      <c r="A108" t="s">
        <v>338</v>
      </c>
      <c r="B108" t="s">
        <v>61</v>
      </c>
      <c r="C108" t="s">
        <v>116</v>
      </c>
      <c r="D108" t="s">
        <v>337</v>
      </c>
      <c r="E108" t="s">
        <v>156</v>
      </c>
      <c r="F108" t="s">
        <v>560</v>
      </c>
      <c r="G108" t="str">
        <f>VLOOKUP(A:A,INVENTÁRIO_05_2025!A:A,1,0)</f>
        <v>SPRDAPSLVGRU01</v>
      </c>
    </row>
    <row r="109" spans="1:7" ht="11.25" customHeight="1">
      <c r="A109" t="s">
        <v>339</v>
      </c>
      <c r="B109" t="s">
        <v>61</v>
      </c>
      <c r="C109" t="s">
        <v>116</v>
      </c>
      <c r="D109" t="s">
        <v>337</v>
      </c>
      <c r="E109" t="s">
        <v>156</v>
      </c>
      <c r="F109" t="s">
        <v>560</v>
      </c>
      <c r="G109" t="str">
        <f>VLOOKUP(A:A,INVENTÁRIO_05_2025!A:A,1,0)</f>
        <v>SPRDCFGEXTGRU01</v>
      </c>
    </row>
    <row r="110" spans="1:7" ht="11.25" customHeight="1">
      <c r="A110" t="s">
        <v>340</v>
      </c>
      <c r="B110" t="s">
        <v>61</v>
      </c>
      <c r="C110" t="s">
        <v>116</v>
      </c>
      <c r="D110" t="s">
        <v>341</v>
      </c>
      <c r="E110" t="s">
        <v>156</v>
      </c>
      <c r="F110" t="s">
        <v>560</v>
      </c>
      <c r="G110" t="str">
        <f>VLOOKUP(A:A,INVENTÁRIO_05_2025!A:A,1,0)</f>
        <v>S-GRAN247</v>
      </c>
    </row>
    <row r="111" spans="1:7" ht="11.25" customHeight="1">
      <c r="A111" t="s">
        <v>342</v>
      </c>
      <c r="B111" t="s">
        <v>61</v>
      </c>
      <c r="C111" t="s">
        <v>116</v>
      </c>
      <c r="D111" t="s">
        <v>341</v>
      </c>
      <c r="E111" t="s">
        <v>156</v>
      </c>
      <c r="F111" t="s">
        <v>560</v>
      </c>
      <c r="G111" t="str">
        <f>VLOOKUP(A:A,INVENTÁRIO_05_2025!A:A,1,0)</f>
        <v>SPRDAPHHGRU01</v>
      </c>
    </row>
    <row r="112" spans="1:7" ht="11.25" customHeight="1">
      <c r="A112" t="s">
        <v>343</v>
      </c>
      <c r="B112" t="s">
        <v>61</v>
      </c>
      <c r="C112" t="s">
        <v>116</v>
      </c>
      <c r="D112" t="s">
        <v>341</v>
      </c>
      <c r="E112" t="s">
        <v>156</v>
      </c>
      <c r="F112" t="s">
        <v>560</v>
      </c>
      <c r="G112" t="str">
        <f>VLOOKUP(A:A,INVENTÁRIO_05_2025!A:A,1,0)</f>
        <v>SVEDI2-GRU</v>
      </c>
    </row>
    <row r="113" spans="1:7" ht="11.25" customHeight="1">
      <c r="A113" t="s">
        <v>344</v>
      </c>
      <c r="B113" t="s">
        <v>61</v>
      </c>
      <c r="C113" t="s">
        <v>116</v>
      </c>
      <c r="D113" t="s">
        <v>345</v>
      </c>
      <c r="E113" t="s">
        <v>156</v>
      </c>
      <c r="F113" t="s">
        <v>560</v>
      </c>
      <c r="G113" t="str">
        <f>VLOOKUP(A:A,INVENTÁRIO_05_2025!A:A,1,0)</f>
        <v>GRU-VMSLOT-AMS</v>
      </c>
    </row>
    <row r="114" spans="1:7" ht="11.25" customHeight="1">
      <c r="A114" t="s">
        <v>346</v>
      </c>
      <c r="B114" t="s">
        <v>50</v>
      </c>
      <c r="C114" t="s">
        <v>116</v>
      </c>
      <c r="D114" t="s">
        <v>347</v>
      </c>
      <c r="E114" t="s">
        <v>156</v>
      </c>
      <c r="F114" t="s">
        <v>560</v>
      </c>
      <c r="G114" t="str">
        <f>VLOOKUP(A:A,INVENTÁRIO_05_2025!A:A,1,0)</f>
        <v>GRU-CCURE-01</v>
      </c>
    </row>
    <row r="115" spans="1:7" ht="11.25" customHeight="1">
      <c r="A115" t="s">
        <v>348</v>
      </c>
      <c r="B115" t="s">
        <v>61</v>
      </c>
      <c r="C115" t="s">
        <v>116</v>
      </c>
      <c r="D115" t="s">
        <v>163</v>
      </c>
      <c r="E115" t="s">
        <v>156</v>
      </c>
      <c r="F115" t="s">
        <v>560</v>
      </c>
      <c r="G115" t="str">
        <f>VLOOKUP(A:A,INVENTÁRIO_05_2025!A:A,1,0)</f>
        <v>SADGUESTGRU01</v>
      </c>
    </row>
    <row r="116" spans="1:7" ht="11.25" customHeight="1">
      <c r="A116" t="s">
        <v>349</v>
      </c>
      <c r="B116" t="s">
        <v>61</v>
      </c>
      <c r="C116" t="s">
        <v>116</v>
      </c>
      <c r="D116" t="s">
        <v>163</v>
      </c>
      <c r="E116" t="s">
        <v>156</v>
      </c>
      <c r="F116" t="s">
        <v>560</v>
      </c>
      <c r="G116" t="str">
        <f>VLOOKUP(A:A,INVENTÁRIO_05_2025!A:A,1,0)</f>
        <v>SAPL2-GRU</v>
      </c>
    </row>
    <row r="117" spans="1:7" ht="11.25" customHeight="1">
      <c r="A117" t="s">
        <v>350</v>
      </c>
      <c r="B117" t="s">
        <v>61</v>
      </c>
      <c r="C117" t="s">
        <v>116</v>
      </c>
      <c r="D117" t="s">
        <v>163</v>
      </c>
      <c r="E117" t="s">
        <v>156</v>
      </c>
      <c r="F117" t="s">
        <v>560</v>
      </c>
      <c r="G117" t="str">
        <f>VLOOKUP(A:A,INVENTÁRIO_05_2025!A:A,1,0)</f>
        <v>SDESAPMNTGRU01</v>
      </c>
    </row>
    <row r="118" spans="1:7" ht="11.25" customHeight="1">
      <c r="A118" t="s">
        <v>351</v>
      </c>
      <c r="B118" t="s">
        <v>61</v>
      </c>
      <c r="C118" t="s">
        <v>116</v>
      </c>
      <c r="D118" t="s">
        <v>163</v>
      </c>
      <c r="E118" t="s">
        <v>156</v>
      </c>
      <c r="F118" t="s">
        <v>560</v>
      </c>
      <c r="G118" t="str">
        <f>VLOOKUP(A:A,INVENTÁRIO_05_2025!A:A,1,0)</f>
        <v>SHOMAPAMSGRU01</v>
      </c>
    </row>
    <row r="119" spans="1:7" ht="11.25" customHeight="1">
      <c r="A119" t="s">
        <v>352</v>
      </c>
      <c r="B119" t="s">
        <v>61</v>
      </c>
      <c r="C119" t="s">
        <v>116</v>
      </c>
      <c r="D119" t="s">
        <v>163</v>
      </c>
      <c r="E119" t="s">
        <v>156</v>
      </c>
      <c r="F119" t="s">
        <v>560</v>
      </c>
      <c r="G119" t="str">
        <f>VLOOKUP(A:A,INVENTÁRIO_05_2025!A:A,1,0)</f>
        <v>SHOMAPAMSGRU02</v>
      </c>
    </row>
    <row r="120" spans="1:7" ht="11.25" customHeight="1">
      <c r="A120" t="s">
        <v>353</v>
      </c>
      <c r="B120" t="s">
        <v>61</v>
      </c>
      <c r="C120" t="s">
        <v>116</v>
      </c>
      <c r="D120" t="s">
        <v>163</v>
      </c>
      <c r="E120" t="s">
        <v>156</v>
      </c>
      <c r="F120" t="s">
        <v>560</v>
      </c>
      <c r="G120" t="str">
        <f>VLOOKUP(A:A,INVENTÁRIO_05_2025!A:A,1,0)</f>
        <v>SHOMAPITLGRU01</v>
      </c>
    </row>
    <row r="121" spans="1:7" ht="11.25" customHeight="1">
      <c r="A121" t="s">
        <v>354</v>
      </c>
      <c r="B121" t="s">
        <v>61</v>
      </c>
      <c r="C121" t="s">
        <v>116</v>
      </c>
      <c r="D121" t="s">
        <v>163</v>
      </c>
      <c r="E121" t="s">
        <v>156</v>
      </c>
      <c r="F121" t="s">
        <v>560</v>
      </c>
      <c r="G121" t="str">
        <f>VLOOKUP(A:A,INVENTÁRIO_05_2025!A:A,1,0)</f>
        <v>SHOMAPPTCAGRU01</v>
      </c>
    </row>
    <row r="122" spans="1:7" ht="11.25" customHeight="1">
      <c r="A122" t="s">
        <v>355</v>
      </c>
      <c r="B122" t="s">
        <v>61</v>
      </c>
      <c r="C122" t="s">
        <v>116</v>
      </c>
      <c r="D122" t="s">
        <v>163</v>
      </c>
      <c r="E122" t="s">
        <v>156</v>
      </c>
      <c r="F122" t="s">
        <v>560</v>
      </c>
      <c r="G122" t="str">
        <f>VLOOKUP(A:A,INVENTÁRIO_05_2025!A:A,1,0)</f>
        <v>SHOMINTELI1-GRU</v>
      </c>
    </row>
    <row r="123" spans="1:7" ht="11.25" customHeight="1">
      <c r="A123" t="s">
        <v>356</v>
      </c>
      <c r="B123" t="s">
        <v>61</v>
      </c>
      <c r="C123" t="s">
        <v>116</v>
      </c>
      <c r="D123" t="s">
        <v>163</v>
      </c>
      <c r="E123" t="s">
        <v>156</v>
      </c>
      <c r="F123" t="s">
        <v>560</v>
      </c>
      <c r="G123" t="str">
        <f>VLOOKUP(A:A,INVENTÁRIO_05_2025!A:A,1,0)</f>
        <v>SIAS1-GRU-new</v>
      </c>
    </row>
    <row r="124" spans="1:7" ht="11.25" customHeight="1">
      <c r="A124" t="s">
        <v>357</v>
      </c>
      <c r="B124" t="s">
        <v>61</v>
      </c>
      <c r="C124" t="s">
        <v>116</v>
      </c>
      <c r="D124" t="s">
        <v>163</v>
      </c>
      <c r="E124" t="s">
        <v>156</v>
      </c>
      <c r="F124" t="s">
        <v>560</v>
      </c>
      <c r="G124" t="str">
        <f>VLOOKUP(A:A,INVENTÁRIO_05_2025!A:A,1,0)</f>
        <v>SINTELI1-GRU</v>
      </c>
    </row>
    <row r="125" spans="1:7" ht="11.25" customHeight="1">
      <c r="A125" t="s">
        <v>358</v>
      </c>
      <c r="B125" t="s">
        <v>61</v>
      </c>
      <c r="C125" t="s">
        <v>116</v>
      </c>
      <c r="D125" t="s">
        <v>163</v>
      </c>
      <c r="E125" t="s">
        <v>156</v>
      </c>
      <c r="F125" t="s">
        <v>560</v>
      </c>
      <c r="G125" t="str">
        <f>VLOOKUP(A:A,INVENTÁRIO_05_2025!A:A,1,0)</f>
        <v>SPRDAPACSGRU01</v>
      </c>
    </row>
    <row r="126" spans="1:7" ht="11.25" customHeight="1">
      <c r="A126" t="s">
        <v>359</v>
      </c>
      <c r="B126" t="s">
        <v>61</v>
      </c>
      <c r="C126" t="s">
        <v>116</v>
      </c>
      <c r="D126" t="s">
        <v>163</v>
      </c>
      <c r="E126" t="s">
        <v>156</v>
      </c>
      <c r="F126" t="s">
        <v>560</v>
      </c>
      <c r="G126" t="str">
        <f>VLOOKUP(A:A,INVENTÁRIO_05_2025!A:A,1,0)</f>
        <v>SPRDAPAOGRU03</v>
      </c>
    </row>
    <row r="127" spans="1:7" ht="11.25" customHeight="1">
      <c r="A127" t="s">
        <v>360</v>
      </c>
      <c r="B127" t="s">
        <v>61</v>
      </c>
      <c r="C127" t="s">
        <v>116</v>
      </c>
      <c r="D127" t="s">
        <v>163</v>
      </c>
      <c r="E127" t="s">
        <v>156</v>
      </c>
      <c r="F127" t="s">
        <v>560</v>
      </c>
      <c r="G127" t="str">
        <f>VLOOKUP(A:A,INVENTÁRIO_05_2025!A:A,1,0)</f>
        <v>SPRDAPAOGRU04</v>
      </c>
    </row>
    <row r="128" spans="1:7" ht="11.25" customHeight="1">
      <c r="A128" t="s">
        <v>123</v>
      </c>
      <c r="B128" t="s">
        <v>61</v>
      </c>
      <c r="C128" t="s">
        <v>116</v>
      </c>
      <c r="D128" t="s">
        <v>122</v>
      </c>
      <c r="E128" t="s">
        <v>156</v>
      </c>
      <c r="F128" t="s">
        <v>560</v>
      </c>
      <c r="G128" t="str">
        <f>VLOOKUP(A:A,INVENTÁRIO_05_2025!A:A,1,0)</f>
        <v>SPRDAPBMSGRUA</v>
      </c>
    </row>
    <row r="129" spans="1:7" ht="11.25" customHeight="1">
      <c r="A129" t="s">
        <v>361</v>
      </c>
      <c r="B129" t="s">
        <v>61</v>
      </c>
      <c r="C129" t="s">
        <v>116</v>
      </c>
      <c r="D129" t="s">
        <v>163</v>
      </c>
      <c r="E129" t="s">
        <v>156</v>
      </c>
      <c r="F129" t="s">
        <v>560</v>
      </c>
      <c r="G129" t="str">
        <f>VLOOKUP(A:A,INVENTÁRIO_05_2025!A:A,1,0)</f>
        <v>SPRDAPBMSGRUB</v>
      </c>
    </row>
    <row r="130" spans="1:7" ht="11.25" customHeight="1">
      <c r="A130" t="s">
        <v>362</v>
      </c>
      <c r="B130" t="s">
        <v>61</v>
      </c>
      <c r="C130" t="s">
        <v>116</v>
      </c>
      <c r="D130" t="s">
        <v>163</v>
      </c>
      <c r="E130" t="s">
        <v>156</v>
      </c>
      <c r="F130" t="s">
        <v>560</v>
      </c>
      <c r="G130" t="str">
        <f>VLOOKUP(A:A,INVENTÁRIO_05_2025!A:A,1,0)</f>
        <v>SPRDAPDATGRU01</v>
      </c>
    </row>
    <row r="131" spans="1:7" ht="11.25" customHeight="1">
      <c r="A131" t="s">
        <v>363</v>
      </c>
      <c r="B131" t="s">
        <v>50</v>
      </c>
      <c r="C131" t="s">
        <v>116</v>
      </c>
      <c r="D131" t="s">
        <v>163</v>
      </c>
      <c r="E131" t="s">
        <v>156</v>
      </c>
      <c r="F131" t="s">
        <v>560</v>
      </c>
      <c r="G131" t="str">
        <f>VLOOKUP(A:A,INVENTÁRIO_05_2025!A:A,1,0)</f>
        <v>SPRDAPDOCGRU01</v>
      </c>
    </row>
    <row r="132" spans="1:7" ht="11.25" customHeight="1">
      <c r="A132" t="s">
        <v>364</v>
      </c>
      <c r="B132" t="s">
        <v>61</v>
      </c>
      <c r="C132" t="s">
        <v>116</v>
      </c>
      <c r="D132" t="s">
        <v>163</v>
      </c>
      <c r="E132" t="s">
        <v>156</v>
      </c>
      <c r="F132" t="s">
        <v>560</v>
      </c>
      <c r="G132" t="str">
        <f>VLOOKUP(A:A,INVENTÁRIO_05_2025!A:A,1,0)</f>
        <v>SPRDAPENVGRU01</v>
      </c>
    </row>
    <row r="133" spans="1:7" ht="11.25" customHeight="1">
      <c r="A133" t="s">
        <v>365</v>
      </c>
      <c r="B133" t="s">
        <v>61</v>
      </c>
      <c r="C133" t="s">
        <v>116</v>
      </c>
      <c r="D133" t="s">
        <v>163</v>
      </c>
      <c r="E133" t="s">
        <v>156</v>
      </c>
      <c r="F133" t="s">
        <v>560</v>
      </c>
      <c r="G133" t="str">
        <f>VLOOKUP(A:A,INVENTÁRIO_05_2025!A:A,1,0)</f>
        <v>SPRDAPENVGRU02</v>
      </c>
    </row>
    <row r="134" spans="1:7" ht="11.25" customHeight="1">
      <c r="A134" t="s">
        <v>366</v>
      </c>
      <c r="B134" t="s">
        <v>61</v>
      </c>
      <c r="C134" t="s">
        <v>116</v>
      </c>
      <c r="D134" t="s">
        <v>163</v>
      </c>
      <c r="E134" t="s">
        <v>156</v>
      </c>
      <c r="F134" t="s">
        <v>560</v>
      </c>
      <c r="G134" t="str">
        <f>VLOOKUP(A:A,INVENTÁRIO_05_2025!A:A,1,0)</f>
        <v>SPRDAPEVDGRU01</v>
      </c>
    </row>
    <row r="135" spans="1:7" ht="11.25" customHeight="1">
      <c r="A135" t="s">
        <v>367</v>
      </c>
      <c r="B135" t="s">
        <v>50</v>
      </c>
      <c r="C135" t="s">
        <v>116</v>
      </c>
      <c r="D135" t="s">
        <v>163</v>
      </c>
      <c r="E135" t="s">
        <v>156</v>
      </c>
      <c r="F135" t="s">
        <v>560</v>
      </c>
      <c r="G135" t="str">
        <f>VLOOKUP(A:A,INVENTÁRIO_05_2025!A:A,1,0)</f>
        <v>SPRDAPEVGRU01</v>
      </c>
    </row>
    <row r="136" spans="1:7" ht="11.25" customHeight="1">
      <c r="A136" t="s">
        <v>368</v>
      </c>
      <c r="B136" t="s">
        <v>61</v>
      </c>
      <c r="C136" t="s">
        <v>116</v>
      </c>
      <c r="D136" t="s">
        <v>163</v>
      </c>
      <c r="E136" t="s">
        <v>156</v>
      </c>
      <c r="F136" t="s">
        <v>560</v>
      </c>
      <c r="G136" t="str">
        <f>VLOOKUP(A:A,INVENTÁRIO_05_2025!A:A,1,0)</f>
        <v>SPRDAPFSCCGRU01</v>
      </c>
    </row>
    <row r="137" spans="1:7" ht="11.25" customHeight="1">
      <c r="A137" t="s">
        <v>369</v>
      </c>
      <c r="B137" t="s">
        <v>61</v>
      </c>
      <c r="C137" t="s">
        <v>116</v>
      </c>
      <c r="D137" t="s">
        <v>163</v>
      </c>
      <c r="E137" t="s">
        <v>156</v>
      </c>
      <c r="F137" t="s">
        <v>560</v>
      </c>
      <c r="G137" t="str">
        <f>VLOOKUP(A:A,INVENTÁRIO_05_2025!A:A,1,0)</f>
        <v>SPRDAPGEDGRU01</v>
      </c>
    </row>
    <row r="138" spans="1:7" ht="11.25" customHeight="1">
      <c r="A138" t="s">
        <v>370</v>
      </c>
      <c r="B138" t="s">
        <v>61</v>
      </c>
      <c r="C138" t="s">
        <v>116</v>
      </c>
      <c r="D138" t="s">
        <v>163</v>
      </c>
      <c r="E138" t="s">
        <v>156</v>
      </c>
      <c r="F138" t="s">
        <v>560</v>
      </c>
      <c r="G138" t="str">
        <f>VLOOKUP(A:A,INVENTÁRIO_05_2025!A:A,1,0)</f>
        <v>SPRDAPGEDGRU02</v>
      </c>
    </row>
    <row r="139" spans="1:7" ht="11.25" customHeight="1">
      <c r="A139" t="s">
        <v>371</v>
      </c>
      <c r="B139" t="s">
        <v>61</v>
      </c>
      <c r="C139" t="s">
        <v>116</v>
      </c>
      <c r="D139" t="s">
        <v>163</v>
      </c>
      <c r="E139" t="s">
        <v>156</v>
      </c>
      <c r="F139" t="s">
        <v>560</v>
      </c>
      <c r="G139" t="str">
        <f>VLOOKUP(A:A,INVENTÁRIO_05_2025!A:A,1,0)</f>
        <v>SPRDAPGEDGRU03</v>
      </c>
    </row>
    <row r="140" spans="1:7" ht="11.25" customHeight="1">
      <c r="A140" t="s">
        <v>372</v>
      </c>
      <c r="B140" t="s">
        <v>61</v>
      </c>
      <c r="C140" t="s">
        <v>116</v>
      </c>
      <c r="D140" t="s">
        <v>163</v>
      </c>
      <c r="E140" t="s">
        <v>156</v>
      </c>
      <c r="F140" t="s">
        <v>560</v>
      </c>
      <c r="G140" t="str">
        <f>VLOOKUP(A:A,INVENTÁRIO_05_2025!A:A,1,0)</f>
        <v>SPRDAPGEDGRU04</v>
      </c>
    </row>
    <row r="141" spans="1:7" ht="11.25" customHeight="1">
      <c r="A141" t="s">
        <v>373</v>
      </c>
      <c r="B141" t="s">
        <v>61</v>
      </c>
      <c r="C141" t="s">
        <v>116</v>
      </c>
      <c r="D141" t="s">
        <v>163</v>
      </c>
      <c r="E141" t="s">
        <v>156</v>
      </c>
      <c r="F141" t="s">
        <v>560</v>
      </c>
      <c r="G141" t="str">
        <f>VLOOKUP(A:A,INVENTÁRIO_05_2025!A:A,1,0)</f>
        <v>SPRDAPIMGRU01</v>
      </c>
    </row>
    <row r="142" spans="1:7" ht="11.25" customHeight="1">
      <c r="A142" t="s">
        <v>374</v>
      </c>
      <c r="B142" t="s">
        <v>61</v>
      </c>
      <c r="C142" t="s">
        <v>116</v>
      </c>
      <c r="D142" t="s">
        <v>163</v>
      </c>
      <c r="E142" t="s">
        <v>156</v>
      </c>
      <c r="F142" t="s">
        <v>560</v>
      </c>
      <c r="G142" t="str">
        <f>VLOOKUP(A:A,INVENTÁRIO_05_2025!A:A,1,0)</f>
        <v>SPRDAPIMGRU02</v>
      </c>
    </row>
    <row r="143" spans="1:7" ht="11.25" customHeight="1">
      <c r="A143" t="s">
        <v>375</v>
      </c>
      <c r="B143" t="s">
        <v>61</v>
      </c>
      <c r="C143" t="s">
        <v>116</v>
      </c>
      <c r="D143" t="s">
        <v>163</v>
      </c>
      <c r="E143" t="s">
        <v>156</v>
      </c>
      <c r="F143" t="s">
        <v>560</v>
      </c>
      <c r="G143" t="str">
        <f>VLOOKUP(A:A,INVENTÁRIO_05_2025!A:A,1,0)</f>
        <v>SPRDAPINTGRU01</v>
      </c>
    </row>
    <row r="144" spans="1:7" ht="11.25" customHeight="1">
      <c r="A144" t="s">
        <v>376</v>
      </c>
      <c r="B144" t="s">
        <v>61</v>
      </c>
      <c r="C144" t="s">
        <v>116</v>
      </c>
      <c r="D144" t="s">
        <v>163</v>
      </c>
      <c r="E144" t="s">
        <v>156</v>
      </c>
      <c r="F144" t="s">
        <v>560</v>
      </c>
      <c r="G144" t="str">
        <f>VLOOKUP(A:A,INVENTÁRIO_05_2025!A:A,1,0)</f>
        <v>SPRDAPMETGRU01</v>
      </c>
    </row>
    <row r="145" spans="1:7" ht="11.25" customHeight="1">
      <c r="A145" t="s">
        <v>377</v>
      </c>
      <c r="B145" t="s">
        <v>61</v>
      </c>
      <c r="C145" t="s">
        <v>116</v>
      </c>
      <c r="D145" t="s">
        <v>163</v>
      </c>
      <c r="E145" t="s">
        <v>156</v>
      </c>
      <c r="F145" t="s">
        <v>560</v>
      </c>
      <c r="G145" t="str">
        <f>VLOOKUP(A:A,INVENTÁRIO_05_2025!A:A,1,0)</f>
        <v>SPRDAPMETGRU02</v>
      </c>
    </row>
    <row r="146" spans="1:7" ht="11.25" customHeight="1">
      <c r="A146" t="s">
        <v>378</v>
      </c>
      <c r="B146" t="s">
        <v>61</v>
      </c>
      <c r="C146" t="s">
        <v>116</v>
      </c>
      <c r="D146" t="s">
        <v>163</v>
      </c>
      <c r="E146" t="s">
        <v>156</v>
      </c>
      <c r="F146" t="s">
        <v>560</v>
      </c>
      <c r="G146" t="str">
        <f>VLOOKUP(A:A,INVENTÁRIO_05_2025!A:A,1,0)</f>
        <v>SPRDAPMETGRU03</v>
      </c>
    </row>
    <row r="147" spans="1:7" ht="11.25" customHeight="1">
      <c r="A147" t="s">
        <v>379</v>
      </c>
      <c r="B147" t="s">
        <v>61</v>
      </c>
      <c r="C147" t="s">
        <v>116</v>
      </c>
      <c r="D147" t="s">
        <v>163</v>
      </c>
      <c r="E147" t="s">
        <v>156</v>
      </c>
      <c r="F147" t="s">
        <v>560</v>
      </c>
      <c r="G147" t="str">
        <f>VLOOKUP(A:A,INVENTÁRIO_05_2025!A:A,1,0)</f>
        <v>SPRDAPMETGRU04</v>
      </c>
    </row>
    <row r="148" spans="1:7" ht="11.25" customHeight="1">
      <c r="A148" t="s">
        <v>380</v>
      </c>
      <c r="B148" t="s">
        <v>61</v>
      </c>
      <c r="C148" t="s">
        <v>116</v>
      </c>
      <c r="D148" t="s">
        <v>163</v>
      </c>
      <c r="E148" t="s">
        <v>156</v>
      </c>
      <c r="F148" t="s">
        <v>560</v>
      </c>
      <c r="G148" t="str">
        <f>VLOOKUP(A:A,INVENTÁRIO_05_2025!A:A,1,0)</f>
        <v>SPRDAPMNTGRU02</v>
      </c>
    </row>
    <row r="149" spans="1:7" ht="11.25" customHeight="1">
      <c r="A149" t="s">
        <v>381</v>
      </c>
      <c r="B149" t="s">
        <v>61</v>
      </c>
      <c r="C149" t="s">
        <v>116</v>
      </c>
      <c r="D149" t="s">
        <v>163</v>
      </c>
      <c r="E149" t="s">
        <v>156</v>
      </c>
      <c r="F149" t="s">
        <v>560</v>
      </c>
      <c r="G149" t="str">
        <f>VLOOKUP(A:A,INVENTÁRIO_05_2025!A:A,1,0)</f>
        <v>SPRDAPMONGRU02</v>
      </c>
    </row>
    <row r="150" spans="1:7" ht="11.25" customHeight="1">
      <c r="A150" t="s">
        <v>382</v>
      </c>
      <c r="B150" t="s">
        <v>61</v>
      </c>
      <c r="C150" t="s">
        <v>116</v>
      </c>
      <c r="D150" t="s">
        <v>163</v>
      </c>
      <c r="E150" t="s">
        <v>156</v>
      </c>
      <c r="F150" t="s">
        <v>560</v>
      </c>
      <c r="G150" t="str">
        <f>VLOOKUP(A:A,INVENTÁRIO_05_2025!A:A,1,0)</f>
        <v>SPRDAPNEPSGRU01</v>
      </c>
    </row>
    <row r="151" spans="1:7" ht="11.25" customHeight="1">
      <c r="A151" t="s">
        <v>383</v>
      </c>
      <c r="B151" t="s">
        <v>61</v>
      </c>
      <c r="C151" t="s">
        <v>116</v>
      </c>
      <c r="D151" t="s">
        <v>163</v>
      </c>
      <c r="E151" t="s">
        <v>156</v>
      </c>
      <c r="F151" t="s">
        <v>560</v>
      </c>
      <c r="G151" t="str">
        <f>VLOOKUP(A:A,INVENTÁRIO_05_2025!A:A,1,0)</f>
        <v>SPRDAPOCRGRU01</v>
      </c>
    </row>
    <row r="152" spans="1:7" ht="11.25" customHeight="1">
      <c r="A152" t="s">
        <v>384</v>
      </c>
      <c r="B152" t="s">
        <v>61</v>
      </c>
      <c r="C152" t="s">
        <v>116</v>
      </c>
      <c r="D152" t="s">
        <v>163</v>
      </c>
      <c r="E152" t="s">
        <v>156</v>
      </c>
      <c r="F152" t="s">
        <v>560</v>
      </c>
      <c r="G152" t="str">
        <f>VLOOKUP(A:A,INVENTÁRIO_05_2025!A:A,1,0)</f>
        <v>SPRDAPPASGRU01</v>
      </c>
    </row>
    <row r="153" spans="1:7" ht="11.25" customHeight="1">
      <c r="A153" t="s">
        <v>385</v>
      </c>
      <c r="B153" t="s">
        <v>50</v>
      </c>
      <c r="C153" t="s">
        <v>116</v>
      </c>
      <c r="D153" t="s">
        <v>163</v>
      </c>
      <c r="E153" t="s">
        <v>156</v>
      </c>
      <c r="F153" t="s">
        <v>560</v>
      </c>
      <c r="G153" t="e">
        <f>VLOOKUP(A:A,INVENTÁRIO_05_2025!A:A,1,0)</f>
        <v>#N/A</v>
      </c>
    </row>
    <row r="154" spans="1:7" ht="11.25" customHeight="1">
      <c r="A154" t="s">
        <v>386</v>
      </c>
      <c r="B154" t="s">
        <v>61</v>
      </c>
      <c r="C154" t="s">
        <v>116</v>
      </c>
      <c r="D154" t="s">
        <v>163</v>
      </c>
      <c r="E154" t="s">
        <v>156</v>
      </c>
      <c r="F154" t="s">
        <v>560</v>
      </c>
      <c r="G154" t="str">
        <f>VLOOKUP(A:A,INVENTÁRIO_05_2025!A:A,1,0)</f>
        <v>SPRDAPQUAGRU01</v>
      </c>
    </row>
    <row r="155" spans="1:7" ht="11.25" customHeight="1">
      <c r="A155" t="s">
        <v>387</v>
      </c>
      <c r="B155" t="s">
        <v>61</v>
      </c>
      <c r="C155" t="s">
        <v>116</v>
      </c>
      <c r="D155" t="s">
        <v>163</v>
      </c>
      <c r="E155" t="s">
        <v>156</v>
      </c>
      <c r="F155" t="s">
        <v>560</v>
      </c>
      <c r="G155" t="str">
        <f>VLOOKUP(A:A,INVENTÁRIO_05_2025!A:A,1,0)</f>
        <v>SPRDAPRVGRU01</v>
      </c>
    </row>
    <row r="156" spans="1:7" ht="11.25" customHeight="1">
      <c r="A156" t="s">
        <v>388</v>
      </c>
      <c r="B156" t="s">
        <v>61</v>
      </c>
      <c r="C156" t="s">
        <v>116</v>
      </c>
      <c r="D156" t="s">
        <v>163</v>
      </c>
      <c r="E156" t="s">
        <v>156</v>
      </c>
      <c r="F156" t="s">
        <v>560</v>
      </c>
      <c r="G156" t="str">
        <f>VLOOKUP(A:A,INVENTÁRIO_05_2025!A:A,1,0)</f>
        <v>SPRDAPSCOGRU01</v>
      </c>
    </row>
    <row r="157" spans="1:7" ht="11.25" customHeight="1">
      <c r="A157" t="s">
        <v>389</v>
      </c>
      <c r="B157" t="s">
        <v>61</v>
      </c>
      <c r="C157" t="s">
        <v>116</v>
      </c>
      <c r="D157" t="s">
        <v>163</v>
      </c>
      <c r="E157" t="s">
        <v>156</v>
      </c>
      <c r="F157" t="s">
        <v>560</v>
      </c>
      <c r="G157" t="str">
        <f>VLOOKUP(A:A,INVENTÁRIO_05_2025!A:A,1,0)</f>
        <v>SPRDAPSCOGRU02</v>
      </c>
    </row>
    <row r="158" spans="1:7" ht="11.25" customHeight="1">
      <c r="A158" t="s">
        <v>390</v>
      </c>
      <c r="B158" t="s">
        <v>61</v>
      </c>
      <c r="C158" t="s">
        <v>116</v>
      </c>
      <c r="D158" t="s">
        <v>174</v>
      </c>
      <c r="E158" t="s">
        <v>156</v>
      </c>
      <c r="F158" t="s">
        <v>560</v>
      </c>
      <c r="G158" t="str">
        <f>VLOOKUP(A:A,INVENTÁRIO_05_2025!A:A,1,0)</f>
        <v>SPRDAPSHPGRU01</v>
      </c>
    </row>
    <row r="159" spans="1:7" ht="11.25" customHeight="1">
      <c r="A159" t="s">
        <v>391</v>
      </c>
      <c r="B159" t="s">
        <v>61</v>
      </c>
      <c r="C159" t="s">
        <v>116</v>
      </c>
      <c r="D159" t="s">
        <v>163</v>
      </c>
      <c r="E159" t="s">
        <v>156</v>
      </c>
      <c r="F159" t="s">
        <v>560</v>
      </c>
      <c r="G159" t="str">
        <f>VLOOKUP(A:A,INVENTÁRIO_05_2025!A:A,1,0)</f>
        <v>SPRDAPSTWBGRU01</v>
      </c>
    </row>
    <row r="160" spans="1:7" ht="11.25" customHeight="1">
      <c r="A160" t="s">
        <v>392</v>
      </c>
      <c r="B160" t="s">
        <v>61</v>
      </c>
      <c r="C160" t="s">
        <v>116</v>
      </c>
      <c r="D160" t="s">
        <v>163</v>
      </c>
      <c r="E160" t="s">
        <v>156</v>
      </c>
      <c r="F160" t="s">
        <v>560</v>
      </c>
      <c r="G160" t="str">
        <f>VLOOKUP(A:A,INVENTÁRIO_05_2025!A:A,1,0)</f>
        <v>SPRDAPSTWBGRU03</v>
      </c>
    </row>
    <row r="161" spans="1:7" ht="11.25" customHeight="1">
      <c r="A161" t="s">
        <v>393</v>
      </c>
      <c r="B161" t="s">
        <v>61</v>
      </c>
      <c r="C161" t="s">
        <v>116</v>
      </c>
      <c r="D161" t="s">
        <v>163</v>
      </c>
      <c r="E161" t="s">
        <v>156</v>
      </c>
      <c r="F161" t="s">
        <v>560</v>
      </c>
      <c r="G161" t="str">
        <f>VLOOKUP(A:A,INVENTÁRIO_05_2025!A:A,1,0)</f>
        <v>SPRDAPWEBGRU01</v>
      </c>
    </row>
    <row r="162" spans="1:7" ht="11.25" customHeight="1">
      <c r="A162" t="s">
        <v>394</v>
      </c>
      <c r="B162" t="s">
        <v>61</v>
      </c>
      <c r="C162" t="s">
        <v>116</v>
      </c>
      <c r="D162" t="s">
        <v>163</v>
      </c>
      <c r="E162" t="s">
        <v>156</v>
      </c>
      <c r="F162" t="s">
        <v>560</v>
      </c>
      <c r="G162" t="str">
        <f>VLOOKUP(A:A,INVENTÁRIO_05_2025!A:A,1,0)</f>
        <v>SPRDAPWEBGRU02</v>
      </c>
    </row>
    <row r="163" spans="1:7" ht="11.25" customHeight="1">
      <c r="A163" t="s">
        <v>395</v>
      </c>
      <c r="B163" t="s">
        <v>61</v>
      </c>
      <c r="C163" t="s">
        <v>116</v>
      </c>
      <c r="D163" t="s">
        <v>163</v>
      </c>
      <c r="E163" t="s">
        <v>156</v>
      </c>
      <c r="F163" t="s">
        <v>560</v>
      </c>
      <c r="G163" t="str">
        <f>VLOOKUP(A:A,INVENTÁRIO_05_2025!A:A,1,0)</f>
        <v>SPRDAUTGRU02</v>
      </c>
    </row>
    <row r="164" spans="1:7" ht="11.25" customHeight="1">
      <c r="A164" t="s">
        <v>396</v>
      </c>
      <c r="B164" t="s">
        <v>50</v>
      </c>
      <c r="C164" t="s">
        <v>116</v>
      </c>
      <c r="D164" t="s">
        <v>163</v>
      </c>
      <c r="E164" t="s">
        <v>156</v>
      </c>
      <c r="F164" t="s">
        <v>560</v>
      </c>
      <c r="G164" t="str">
        <f>VLOOKUP(A:A,INVENTÁRIO_05_2025!A:A,1,0)</f>
        <v>SPRDBDSNAGRU01</v>
      </c>
    </row>
    <row r="165" spans="1:7" ht="11.25" customHeight="1">
      <c r="A165" t="s">
        <v>397</v>
      </c>
      <c r="B165" t="s">
        <v>50</v>
      </c>
      <c r="C165" t="s">
        <v>116</v>
      </c>
      <c r="D165" t="s">
        <v>163</v>
      </c>
      <c r="E165" t="s">
        <v>156</v>
      </c>
      <c r="F165" t="s">
        <v>560</v>
      </c>
      <c r="G165" t="str">
        <f>VLOOKUP(A:A,INVENTÁRIO_05_2025!A:A,1,0)</f>
        <v>SPRDCCTVGRU19.gru.local</v>
      </c>
    </row>
    <row r="166" spans="1:7" ht="11.25" customHeight="1">
      <c r="A166" t="s">
        <v>398</v>
      </c>
      <c r="B166" t="s">
        <v>50</v>
      </c>
      <c r="C166" t="s">
        <v>116</v>
      </c>
      <c r="D166" t="s">
        <v>163</v>
      </c>
      <c r="E166" t="s">
        <v>156</v>
      </c>
      <c r="F166" t="s">
        <v>560</v>
      </c>
      <c r="G166" t="str">
        <f>VLOOKUP(A:A,INVENTÁRIO_05_2025!A:A,1,0)</f>
        <v>SPRDCCTVGRU22</v>
      </c>
    </row>
    <row r="167" spans="1:7" ht="11.25" customHeight="1">
      <c r="A167" t="s">
        <v>399</v>
      </c>
      <c r="B167" t="s">
        <v>50</v>
      </c>
      <c r="C167" t="s">
        <v>116</v>
      </c>
      <c r="D167" t="s">
        <v>163</v>
      </c>
      <c r="E167" t="s">
        <v>156</v>
      </c>
      <c r="F167" t="s">
        <v>560</v>
      </c>
      <c r="G167" t="str">
        <f>VLOOKUP(A:A,INVENTÁRIO_05_2025!A:A,1,0)</f>
        <v>SPRDCCTVGRU23</v>
      </c>
    </row>
    <row r="168" spans="1:7" ht="11.25" customHeight="1">
      <c r="A168" t="s">
        <v>400</v>
      </c>
      <c r="B168" t="s">
        <v>61</v>
      </c>
      <c r="C168" t="s">
        <v>116</v>
      </c>
      <c r="D168" t="s">
        <v>163</v>
      </c>
      <c r="E168" t="s">
        <v>156</v>
      </c>
      <c r="F168" t="s">
        <v>560</v>
      </c>
      <c r="G168" t="str">
        <f>VLOOKUP(A:A,INVENTÁRIO_05_2025!A:A,1,0)</f>
        <v>SPRDIAMDATGRU01</v>
      </c>
    </row>
    <row r="169" spans="1:7" ht="11.25" customHeight="1">
      <c r="A169" t="s">
        <v>401</v>
      </c>
      <c r="B169" t="s">
        <v>61</v>
      </c>
      <c r="C169" t="s">
        <v>116</v>
      </c>
      <c r="D169" t="s">
        <v>163</v>
      </c>
      <c r="E169" t="s">
        <v>156</v>
      </c>
      <c r="F169" t="s">
        <v>560</v>
      </c>
      <c r="G169" t="str">
        <f>VLOOKUP(A:A,INVENTÁRIO_05_2025!A:A,1,0)</f>
        <v>SPRDPRGGRU02</v>
      </c>
    </row>
    <row r="170" spans="1:7" ht="11.25" customHeight="1">
      <c r="A170" t="s">
        <v>402</v>
      </c>
      <c r="B170" t="s">
        <v>50</v>
      </c>
      <c r="C170" t="s">
        <v>116</v>
      </c>
      <c r="D170" t="s">
        <v>163</v>
      </c>
      <c r="E170" t="s">
        <v>156</v>
      </c>
      <c r="F170" t="s">
        <v>560</v>
      </c>
      <c r="G170" t="str">
        <f>VLOOKUP(A:A,INVENTÁRIO_05_2025!A:A,1,0)</f>
        <v>SPRDSQLGRU01_NÂOLIGAR_2024071045001124</v>
      </c>
    </row>
    <row r="171" spans="1:7" ht="11.25" customHeight="1">
      <c r="A171" t="s">
        <v>403</v>
      </c>
      <c r="B171" t="s">
        <v>61</v>
      </c>
      <c r="C171" t="s">
        <v>116</v>
      </c>
      <c r="D171" t="s">
        <v>163</v>
      </c>
      <c r="E171" t="s">
        <v>156</v>
      </c>
      <c r="F171" t="s">
        <v>560</v>
      </c>
      <c r="G171" t="str">
        <f>VLOOKUP(A:A,INVENTÁRIO_05_2025!A:A,1,0)</f>
        <v>SPRDSQLGRU02</v>
      </c>
    </row>
    <row r="172" spans="1:7" ht="11.25" customHeight="1">
      <c r="A172" t="s">
        <v>404</v>
      </c>
      <c r="B172" t="s">
        <v>61</v>
      </c>
      <c r="C172" t="s">
        <v>116</v>
      </c>
      <c r="D172" t="s">
        <v>163</v>
      </c>
      <c r="E172" t="s">
        <v>156</v>
      </c>
      <c r="F172" t="s">
        <v>560</v>
      </c>
      <c r="G172" t="str">
        <f>VLOOKUP(A:A,INVENTÁRIO_05_2025!A:A,1,0)</f>
        <v>SPRDSQLGRU07</v>
      </c>
    </row>
    <row r="173" spans="1:7" ht="11.25" customHeight="1">
      <c r="A173" t="s">
        <v>405</v>
      </c>
      <c r="B173" t="s">
        <v>61</v>
      </c>
      <c r="C173" t="s">
        <v>116</v>
      </c>
      <c r="D173" t="s">
        <v>163</v>
      </c>
      <c r="E173" t="s">
        <v>156</v>
      </c>
      <c r="F173" t="s">
        <v>560</v>
      </c>
      <c r="G173" t="str">
        <f>VLOOKUP(A:A,INVENTÁRIO_05_2025!A:A,1,0)</f>
        <v>SPRDSQLGRU09</v>
      </c>
    </row>
    <row r="174" spans="1:7" ht="11.25" customHeight="1">
      <c r="A174" t="s">
        <v>406</v>
      </c>
      <c r="B174" t="s">
        <v>61</v>
      </c>
      <c r="C174" t="s">
        <v>116</v>
      </c>
      <c r="D174" t="s">
        <v>163</v>
      </c>
      <c r="E174" t="s">
        <v>156</v>
      </c>
      <c r="F174" t="s">
        <v>560</v>
      </c>
      <c r="G174" t="e">
        <f>VLOOKUP(A:A,INVENTÁRIO_05_2025!A:A,1,0)</f>
        <v>#N/A</v>
      </c>
    </row>
    <row r="175" spans="1:7" ht="11.25" customHeight="1">
      <c r="A175" t="s">
        <v>407</v>
      </c>
      <c r="B175" t="s">
        <v>61</v>
      </c>
      <c r="C175" t="s">
        <v>116</v>
      </c>
      <c r="D175" t="s">
        <v>163</v>
      </c>
      <c r="E175" t="s">
        <v>156</v>
      </c>
      <c r="F175" t="s">
        <v>560</v>
      </c>
      <c r="G175" t="str">
        <f>VLOOKUP(A:A,INVENTÁRIO_05_2025!A:A,1,0)</f>
        <v>SSHAREPOINT2-GRU</v>
      </c>
    </row>
    <row r="176" spans="1:7" ht="11.25" customHeight="1">
      <c r="A176" t="s">
        <v>408</v>
      </c>
      <c r="B176" t="s">
        <v>61</v>
      </c>
      <c r="C176" t="s">
        <v>116</v>
      </c>
      <c r="D176" t="s">
        <v>163</v>
      </c>
      <c r="E176" t="s">
        <v>156</v>
      </c>
      <c r="F176" t="s">
        <v>560</v>
      </c>
      <c r="G176" t="str">
        <f>VLOOKUP(A:A,INVENTÁRIO_05_2025!A:A,1,0)</f>
        <v>STESAPPVGRU01</v>
      </c>
    </row>
    <row r="177" spans="1:7" ht="11.25" customHeight="1">
      <c r="A177" t="s">
        <v>409</v>
      </c>
      <c r="B177" t="s">
        <v>61</v>
      </c>
      <c r="C177" t="s">
        <v>116</v>
      </c>
      <c r="D177" t="s">
        <v>174</v>
      </c>
      <c r="E177" t="s">
        <v>156</v>
      </c>
      <c r="F177" t="s">
        <v>560</v>
      </c>
      <c r="G177" t="str">
        <f>VLOOKUP(A:A,INVENTÁRIO_05_2025!A:A,1,0)</f>
        <v>SDQOEMCWGRU01</v>
      </c>
    </row>
    <row r="178" spans="1:7" ht="11.25" customHeight="1">
      <c r="A178" t="s">
        <v>410</v>
      </c>
      <c r="B178" t="s">
        <v>61</v>
      </c>
      <c r="C178" t="s">
        <v>116</v>
      </c>
      <c r="D178" t="s">
        <v>174</v>
      </c>
      <c r="E178" t="s">
        <v>156</v>
      </c>
      <c r="F178" t="s">
        <v>560</v>
      </c>
      <c r="G178" t="str">
        <f>VLOOKUP(A:A,INVENTÁRIO_05_2025!A:A,1,0)</f>
        <v>SHOMADGRU01</v>
      </c>
    </row>
    <row r="179" spans="1:7" ht="11.25" customHeight="1">
      <c r="A179" t="s">
        <v>411</v>
      </c>
      <c r="B179" t="s">
        <v>61</v>
      </c>
      <c r="C179" t="s">
        <v>116</v>
      </c>
      <c r="D179" t="s">
        <v>174</v>
      </c>
      <c r="E179" t="s">
        <v>156</v>
      </c>
      <c r="F179" t="s">
        <v>560</v>
      </c>
      <c r="G179" t="str">
        <f>VLOOKUP(A:A,INVENTÁRIO_05_2025!A:A,1,0)</f>
        <v>SHOMAPAMSWGRU01</v>
      </c>
    </row>
    <row r="180" spans="1:7" ht="11.25" customHeight="1">
      <c r="A180" t="s">
        <v>412</v>
      </c>
      <c r="B180" t="s">
        <v>61</v>
      </c>
      <c r="C180" t="s">
        <v>116</v>
      </c>
      <c r="D180" t="s">
        <v>174</v>
      </c>
      <c r="E180" t="s">
        <v>156</v>
      </c>
      <c r="F180" t="s">
        <v>560</v>
      </c>
      <c r="G180" t="str">
        <f>VLOOKUP(A:A,INVENTÁRIO_05_2025!A:A,1,0)</f>
        <v>SPRDACSINV01</v>
      </c>
    </row>
    <row r="181" spans="1:7" ht="11.25" customHeight="1">
      <c r="A181" t="s">
        <v>413</v>
      </c>
      <c r="B181" t="s">
        <v>61</v>
      </c>
      <c r="C181" t="s">
        <v>116</v>
      </c>
      <c r="D181" t="s">
        <v>174</v>
      </c>
      <c r="E181" t="s">
        <v>156</v>
      </c>
      <c r="F181" t="s">
        <v>560</v>
      </c>
      <c r="G181" t="str">
        <f>VLOOKUP(A:A,INVENTÁRIO_05_2025!A:A,1,0)</f>
        <v>SPRDAPAGPMGRU01</v>
      </c>
    </row>
    <row r="182" spans="1:7" ht="11.25" customHeight="1">
      <c r="A182" t="s">
        <v>414</v>
      </c>
      <c r="B182" t="s">
        <v>61</v>
      </c>
      <c r="C182" t="s">
        <v>116</v>
      </c>
      <c r="D182" t="s">
        <v>174</v>
      </c>
      <c r="E182" t="s">
        <v>156</v>
      </c>
      <c r="F182" t="s">
        <v>560</v>
      </c>
      <c r="G182" t="str">
        <f>VLOOKUP(A:A,INVENTÁRIO_05_2025!A:A,1,0)</f>
        <v>SPRDAPATGRU01</v>
      </c>
    </row>
    <row r="183" spans="1:7" ht="11.25" customHeight="1">
      <c r="A183" t="s">
        <v>415</v>
      </c>
      <c r="B183" t="s">
        <v>61</v>
      </c>
      <c r="C183" t="s">
        <v>116</v>
      </c>
      <c r="D183" t="s">
        <v>174</v>
      </c>
      <c r="E183" t="s">
        <v>156</v>
      </c>
      <c r="F183" t="s">
        <v>560</v>
      </c>
      <c r="G183" t="str">
        <f>VLOOKUP(A:A,INVENTÁRIO_05_2025!A:A,1,0)</f>
        <v>SPRDAPATKGRU01</v>
      </c>
    </row>
    <row r="184" spans="1:7" ht="11.25" customHeight="1">
      <c r="A184" t="s">
        <v>416</v>
      </c>
      <c r="B184" t="s">
        <v>61</v>
      </c>
      <c r="C184" t="s">
        <v>116</v>
      </c>
      <c r="D184" t="s">
        <v>174</v>
      </c>
      <c r="E184" t="s">
        <v>156</v>
      </c>
      <c r="F184" t="s">
        <v>560</v>
      </c>
      <c r="G184" t="str">
        <f>VLOOKUP(A:A,INVENTÁRIO_05_2025!A:A,1,0)</f>
        <v>SPRDAPBHSGRU01</v>
      </c>
    </row>
    <row r="185" spans="1:7" ht="11.25" customHeight="1">
      <c r="A185" t="s">
        <v>417</v>
      </c>
      <c r="B185" t="s">
        <v>61</v>
      </c>
      <c r="C185" t="s">
        <v>116</v>
      </c>
      <c r="D185" t="s">
        <v>136</v>
      </c>
      <c r="E185" t="s">
        <v>156</v>
      </c>
      <c r="F185" t="s">
        <v>560</v>
      </c>
      <c r="G185" t="str">
        <f>VLOOKUP(A:A,INVENTÁRIO_05_2025!A:A,1,0)</f>
        <v>SPRDAPBROGRU01</v>
      </c>
    </row>
    <row r="186" spans="1:7" ht="11.25" customHeight="1">
      <c r="A186" t="s">
        <v>418</v>
      </c>
      <c r="B186" t="s">
        <v>61</v>
      </c>
      <c r="C186" t="s">
        <v>116</v>
      </c>
      <c r="D186" t="s">
        <v>419</v>
      </c>
      <c r="E186" t="s">
        <v>156</v>
      </c>
      <c r="F186" t="s">
        <v>560</v>
      </c>
      <c r="G186" t="str">
        <f>VLOOKUP(A:A,INVENTÁRIO_05_2025!A:A,1,0)</f>
        <v>SPRDAPCCGRU01</v>
      </c>
    </row>
    <row r="187" spans="1:7" ht="11.25" customHeight="1">
      <c r="A187" t="s">
        <v>420</v>
      </c>
      <c r="B187" t="s">
        <v>61</v>
      </c>
      <c r="C187" t="s">
        <v>116</v>
      </c>
      <c r="D187" t="s">
        <v>174</v>
      </c>
      <c r="E187" t="s">
        <v>156</v>
      </c>
      <c r="F187" t="s">
        <v>560</v>
      </c>
      <c r="G187" t="str">
        <f>VLOOKUP(A:A,INVENTÁRIO_05_2025!A:A,1,0)</f>
        <v>SPRDAPCNIGRU01</v>
      </c>
    </row>
    <row r="188" spans="1:7" ht="11.25" customHeight="1">
      <c r="A188" t="s">
        <v>421</v>
      </c>
      <c r="B188" t="s">
        <v>61</v>
      </c>
      <c r="C188" t="s">
        <v>116</v>
      </c>
      <c r="D188" t="s">
        <v>174</v>
      </c>
      <c r="E188" t="s">
        <v>156</v>
      </c>
      <c r="F188" t="s">
        <v>560</v>
      </c>
      <c r="G188" t="str">
        <f>VLOOKUP(A:A,INVENTÁRIO_05_2025!A:A,1,0)</f>
        <v>SPRDAPCNWGRU01</v>
      </c>
    </row>
    <row r="189" spans="1:7" ht="11.25" customHeight="1">
      <c r="A189" t="s">
        <v>422</v>
      </c>
      <c r="B189" t="s">
        <v>61</v>
      </c>
      <c r="C189" t="s">
        <v>116</v>
      </c>
      <c r="D189" t="s">
        <v>423</v>
      </c>
      <c r="E189" t="s">
        <v>156</v>
      </c>
      <c r="F189" t="s">
        <v>560</v>
      </c>
      <c r="G189" t="str">
        <f>VLOOKUP(A:A,INVENTÁRIO_05_2025!A:A,1,0)</f>
        <v>SPRDAPCONVGRU03</v>
      </c>
    </row>
    <row r="190" spans="1:7" ht="11.25" customHeight="1">
      <c r="A190" t="s">
        <v>424</v>
      </c>
      <c r="B190" t="s">
        <v>61</v>
      </c>
      <c r="C190" t="s">
        <v>116</v>
      </c>
      <c r="D190" t="s">
        <v>425</v>
      </c>
      <c r="E190" t="s">
        <v>156</v>
      </c>
      <c r="F190" t="s">
        <v>560</v>
      </c>
      <c r="G190" t="str">
        <f>VLOOKUP(A:A,INVENTÁRIO_05_2025!A:A,1,0)</f>
        <v>SPRDAPCTBGRU01</v>
      </c>
    </row>
    <row r="191" spans="1:7" ht="11.25" customHeight="1">
      <c r="A191" t="s">
        <v>426</v>
      </c>
      <c r="B191" t="s">
        <v>61</v>
      </c>
      <c r="C191" t="s">
        <v>116</v>
      </c>
      <c r="D191" t="s">
        <v>174</v>
      </c>
      <c r="E191" t="s">
        <v>156</v>
      </c>
      <c r="F191" t="s">
        <v>560</v>
      </c>
      <c r="G191" t="str">
        <f>VLOOKUP(A:A,INVENTÁRIO_05_2025!A:A,1,0)</f>
        <v>SPRDAPDACGRU01</v>
      </c>
    </row>
    <row r="192" spans="1:7" ht="11.25" customHeight="1">
      <c r="A192" t="s">
        <v>427</v>
      </c>
      <c r="B192" t="s">
        <v>61</v>
      </c>
      <c r="C192" t="s">
        <v>116</v>
      </c>
      <c r="D192" t="s">
        <v>174</v>
      </c>
      <c r="E192" t="s">
        <v>156</v>
      </c>
      <c r="F192" t="s">
        <v>560</v>
      </c>
      <c r="G192" t="str">
        <f>VLOOKUP(A:A,INVENTÁRIO_05_2025!A:A,1,0)</f>
        <v>SPRDAPDBGRU01</v>
      </c>
    </row>
    <row r="193" spans="1:7" ht="11.25" customHeight="1">
      <c r="A193" t="s">
        <v>428</v>
      </c>
      <c r="B193" t="s">
        <v>61</v>
      </c>
      <c r="C193" t="s">
        <v>116</v>
      </c>
      <c r="D193" t="s">
        <v>174</v>
      </c>
      <c r="E193" t="s">
        <v>156</v>
      </c>
      <c r="F193" t="s">
        <v>560</v>
      </c>
      <c r="G193" t="str">
        <f>VLOOKUP(A:A,INVENTÁRIO_05_2025!A:A,1,0)</f>
        <v>SPRDAPDCLGRU01</v>
      </c>
    </row>
    <row r="194" spans="1:7" ht="11.25" customHeight="1">
      <c r="A194" t="s">
        <v>429</v>
      </c>
      <c r="B194" t="s">
        <v>61</v>
      </c>
      <c r="C194" t="s">
        <v>116</v>
      </c>
      <c r="D194" t="s">
        <v>174</v>
      </c>
      <c r="E194" t="s">
        <v>156</v>
      </c>
      <c r="F194" t="s">
        <v>560</v>
      </c>
      <c r="G194" t="str">
        <f>VLOOKUP(A:A,INVENTÁRIO_05_2025!A:A,1,0)</f>
        <v>SPRDAPDCLGRU02</v>
      </c>
    </row>
    <row r="195" spans="1:7" ht="11.25" customHeight="1">
      <c r="A195" t="s">
        <v>430</v>
      </c>
      <c r="B195" t="s">
        <v>61</v>
      </c>
      <c r="C195" t="s">
        <v>116</v>
      </c>
      <c r="D195" t="s">
        <v>174</v>
      </c>
      <c r="E195" t="s">
        <v>156</v>
      </c>
      <c r="F195" t="s">
        <v>560</v>
      </c>
      <c r="G195" t="str">
        <f>VLOOKUP(A:A,INVENTÁRIO_05_2025!A:A,1,0)</f>
        <v>SPRDAPHDMGRU01</v>
      </c>
    </row>
    <row r="196" spans="1:7" ht="11.25" customHeight="1">
      <c r="A196" t="s">
        <v>431</v>
      </c>
      <c r="B196" t="s">
        <v>61</v>
      </c>
      <c r="C196" t="s">
        <v>116</v>
      </c>
      <c r="D196" t="s">
        <v>136</v>
      </c>
      <c r="E196" t="s">
        <v>156</v>
      </c>
      <c r="F196" t="s">
        <v>560</v>
      </c>
      <c r="G196" t="str">
        <f>VLOOKUP(A:A,INVENTÁRIO_05_2025!A:A,1,0)</f>
        <v>SPRDAPMELGRU01</v>
      </c>
    </row>
    <row r="197" spans="1:7" ht="11.25" customHeight="1">
      <c r="A197" t="s">
        <v>432</v>
      </c>
      <c r="B197" t="s">
        <v>61</v>
      </c>
      <c r="C197" t="s">
        <v>116</v>
      </c>
      <c r="D197" t="s">
        <v>174</v>
      </c>
      <c r="E197" t="s">
        <v>156</v>
      </c>
      <c r="F197" t="s">
        <v>560</v>
      </c>
      <c r="G197" t="str">
        <f>VLOOKUP(A:A,INVENTÁRIO_05_2025!A:A,1,0)</f>
        <v>SPRDAPMPBXGRU01</v>
      </c>
    </row>
    <row r="198" spans="1:7" ht="11.25" customHeight="1">
      <c r="A198" t="s">
        <v>433</v>
      </c>
      <c r="B198" t="s">
        <v>61</v>
      </c>
      <c r="C198" t="s">
        <v>116</v>
      </c>
      <c r="D198" t="s">
        <v>174</v>
      </c>
      <c r="E198" t="s">
        <v>156</v>
      </c>
      <c r="F198" t="s">
        <v>560</v>
      </c>
      <c r="G198" t="str">
        <f>VLOOKUP(A:A,INVENTÁRIO_05_2025!A:A,1,0)</f>
        <v>SPRDAPNTPWGRU01</v>
      </c>
    </row>
    <row r="199" spans="1:7" ht="11.25" customHeight="1">
      <c r="A199" t="s">
        <v>434</v>
      </c>
      <c r="B199" t="s">
        <v>61</v>
      </c>
      <c r="C199" t="s">
        <v>116</v>
      </c>
      <c r="D199" t="s">
        <v>174</v>
      </c>
      <c r="E199" t="s">
        <v>156</v>
      </c>
      <c r="F199" t="s">
        <v>560</v>
      </c>
      <c r="G199" t="str">
        <f>VLOOKUP(A:A,INVENTÁRIO_05_2025!A:A,1,0)</f>
        <v>SPRDAPOMEGRU01</v>
      </c>
    </row>
    <row r="200" spans="1:7" ht="11.25" customHeight="1">
      <c r="A200" t="s">
        <v>435</v>
      </c>
      <c r="B200" t="s">
        <v>61</v>
      </c>
      <c r="C200" t="s">
        <v>116</v>
      </c>
      <c r="D200" t="s">
        <v>174</v>
      </c>
      <c r="E200" t="s">
        <v>156</v>
      </c>
      <c r="F200" t="s">
        <v>560</v>
      </c>
      <c r="G200" t="str">
        <f>VLOOKUP(A:A,INVENTÁRIO_05_2025!A:A,1,0)</f>
        <v>SPRDAPOMPCGRU01</v>
      </c>
    </row>
    <row r="201" spans="1:7" ht="11.25" customHeight="1">
      <c r="A201" t="s">
        <v>436</v>
      </c>
      <c r="B201" t="s">
        <v>61</v>
      </c>
      <c r="C201" t="s">
        <v>116</v>
      </c>
      <c r="D201" t="s">
        <v>174</v>
      </c>
      <c r="E201" t="s">
        <v>156</v>
      </c>
      <c r="F201" t="s">
        <v>560</v>
      </c>
      <c r="G201" t="str">
        <f>VLOOKUP(A:A,INVENTÁRIO_05_2025!A:A,1,0)</f>
        <v>SPRDAPPAVGRU01</v>
      </c>
    </row>
    <row r="202" spans="1:7" ht="11.25" customHeight="1">
      <c r="A202" t="s">
        <v>437</v>
      </c>
      <c r="B202" t="s">
        <v>61</v>
      </c>
      <c r="C202" t="s">
        <v>116</v>
      </c>
      <c r="D202" t="s">
        <v>174</v>
      </c>
      <c r="E202" t="s">
        <v>156</v>
      </c>
      <c r="F202" t="s">
        <v>560</v>
      </c>
      <c r="G202" t="str">
        <f>VLOOKUP(A:A,INVENTÁRIO_05_2025!A:A,1,0)</f>
        <v>SPRDAPRPAGRU01</v>
      </c>
    </row>
    <row r="203" spans="1:7" ht="11.25" customHeight="1">
      <c r="A203" t="s">
        <v>438</v>
      </c>
      <c r="B203" t="s">
        <v>61</v>
      </c>
      <c r="C203" t="s">
        <v>116</v>
      </c>
      <c r="D203" t="s">
        <v>174</v>
      </c>
      <c r="E203" t="s">
        <v>156</v>
      </c>
      <c r="F203" t="s">
        <v>560</v>
      </c>
      <c r="G203" t="str">
        <f>VLOOKUP(A:A,INVENTÁRIO_05_2025!A:A,1,0)</f>
        <v>SPRDAPSAGRU01</v>
      </c>
    </row>
    <row r="204" spans="1:7" ht="11.25" customHeight="1">
      <c r="A204" t="s">
        <v>439</v>
      </c>
      <c r="B204" t="s">
        <v>61</v>
      </c>
      <c r="C204" t="s">
        <v>116</v>
      </c>
      <c r="D204" t="s">
        <v>174</v>
      </c>
      <c r="E204" t="s">
        <v>156</v>
      </c>
      <c r="F204" t="s">
        <v>560</v>
      </c>
      <c r="G204" t="str">
        <f>VLOOKUP(A:A,INVENTÁRIO_05_2025!A:A,1,0)</f>
        <v>SPRDAPSAMGRU01</v>
      </c>
    </row>
    <row r="205" spans="1:7" ht="11.25" customHeight="1">
      <c r="A205" t="s">
        <v>440</v>
      </c>
      <c r="B205" t="s">
        <v>61</v>
      </c>
      <c r="C205" t="s">
        <v>116</v>
      </c>
      <c r="D205" t="s">
        <v>174</v>
      </c>
      <c r="E205" t="s">
        <v>156</v>
      </c>
      <c r="F205" t="s">
        <v>560</v>
      </c>
      <c r="G205" t="str">
        <f>VLOOKUP(A:A,INVENTÁRIO_05_2025!A:A,1,0)</f>
        <v>SPRDAPSAMGRU02</v>
      </c>
    </row>
    <row r="206" spans="1:7" ht="11.25" customHeight="1">
      <c r="A206" t="s">
        <v>441</v>
      </c>
      <c r="B206" t="s">
        <v>61</v>
      </c>
      <c r="C206" t="s">
        <v>116</v>
      </c>
      <c r="D206" t="s">
        <v>174</v>
      </c>
      <c r="E206" t="s">
        <v>156</v>
      </c>
      <c r="F206" t="s">
        <v>560</v>
      </c>
      <c r="G206" t="str">
        <f>VLOOKUP(A:A,INVENTÁRIO_05_2025!A:A,1,0)</f>
        <v>SPRDAPSATGRU01</v>
      </c>
    </row>
    <row r="207" spans="1:7" ht="11.25" customHeight="1">
      <c r="A207" t="s">
        <v>442</v>
      </c>
      <c r="B207" t="s">
        <v>61</v>
      </c>
      <c r="C207" t="s">
        <v>116</v>
      </c>
      <c r="D207" t="s">
        <v>174</v>
      </c>
      <c r="E207" t="s">
        <v>156</v>
      </c>
      <c r="F207" t="s">
        <v>560</v>
      </c>
      <c r="G207" t="str">
        <f>VLOOKUP(A:A,INVENTÁRIO_05_2025!A:A,1,0)</f>
        <v>SPRDAPSGPGRU01</v>
      </c>
    </row>
    <row r="208" spans="1:7" ht="11.25" customHeight="1">
      <c r="A208" t="s">
        <v>443</v>
      </c>
      <c r="B208" t="s">
        <v>61</v>
      </c>
      <c r="C208" t="s">
        <v>116</v>
      </c>
      <c r="D208" t="s">
        <v>174</v>
      </c>
      <c r="E208" t="s">
        <v>156</v>
      </c>
      <c r="F208" t="s">
        <v>560</v>
      </c>
      <c r="G208" t="str">
        <f>VLOOKUP(A:A,INVENTÁRIO_05_2025!A:A,1,0)</f>
        <v>SPRDAPVPXGRU01</v>
      </c>
    </row>
    <row r="209" spans="1:7" ht="11.25" customHeight="1">
      <c r="A209" t="s">
        <v>444</v>
      </c>
      <c r="B209" t="s">
        <v>61</v>
      </c>
      <c r="C209" t="s">
        <v>116</v>
      </c>
      <c r="D209" t="s">
        <v>174</v>
      </c>
      <c r="E209" t="s">
        <v>156</v>
      </c>
      <c r="F209" t="s">
        <v>560</v>
      </c>
      <c r="G209" t="str">
        <f>VLOOKUP(A:A,INVENTÁRIO_05_2025!A:A,1,0)</f>
        <v>SPRDAPVPXGRU02</v>
      </c>
    </row>
    <row r="210" spans="1:7" ht="11.25" customHeight="1">
      <c r="A210" t="s">
        <v>445</v>
      </c>
      <c r="B210" t="s">
        <v>61</v>
      </c>
      <c r="C210" t="s">
        <v>116</v>
      </c>
      <c r="D210" t="s">
        <v>174</v>
      </c>
      <c r="E210" t="s">
        <v>156</v>
      </c>
      <c r="F210" t="s">
        <v>560</v>
      </c>
      <c r="G210" t="str">
        <f>VLOOKUP(A:A,INVENTÁRIO_05_2025!A:A,1,0)</f>
        <v>SPRDAPVPXGRU03</v>
      </c>
    </row>
    <row r="211" spans="1:7" ht="11.25" customHeight="1">
      <c r="A211" t="s">
        <v>446</v>
      </c>
      <c r="B211" t="s">
        <v>61</v>
      </c>
      <c r="C211" t="s">
        <v>116</v>
      </c>
      <c r="D211" t="s">
        <v>174</v>
      </c>
      <c r="E211" t="s">
        <v>156</v>
      </c>
      <c r="F211" t="s">
        <v>560</v>
      </c>
      <c r="G211" t="str">
        <f>VLOOKUP(A:A,INVENTÁRIO_05_2025!A:A,1,0)</f>
        <v>SPRDAPVPXGRU04</v>
      </c>
    </row>
    <row r="212" spans="1:7" ht="11.25" customHeight="1">
      <c r="A212" t="s">
        <v>447</v>
      </c>
      <c r="B212" t="s">
        <v>61</v>
      </c>
      <c r="C212" t="s">
        <v>116</v>
      </c>
      <c r="D212" t="s">
        <v>419</v>
      </c>
      <c r="E212" t="s">
        <v>156</v>
      </c>
      <c r="F212" t="s">
        <v>560</v>
      </c>
      <c r="G212" t="str">
        <f>VLOOKUP(A:A,INVENTÁRIO_05_2025!A:A,1,0)</f>
        <v>SPRDAPWSGRU02</v>
      </c>
    </row>
    <row r="213" spans="1:7" ht="11.25" customHeight="1">
      <c r="A213" t="s">
        <v>448</v>
      </c>
      <c r="B213" t="s">
        <v>50</v>
      </c>
      <c r="C213" t="s">
        <v>116</v>
      </c>
      <c r="D213" t="s">
        <v>174</v>
      </c>
      <c r="E213" t="s">
        <v>156</v>
      </c>
      <c r="F213" t="s">
        <v>560</v>
      </c>
      <c r="G213" t="str">
        <f>VLOOKUP(A:A,INVENTÁRIO_05_2025!A:A,1,0)</f>
        <v>SPRDSAPECFGRU01</v>
      </c>
    </row>
    <row r="214" spans="1:7" ht="11.25" customHeight="1">
      <c r="A214" t="s">
        <v>449</v>
      </c>
      <c r="B214" t="s">
        <v>61</v>
      </c>
      <c r="C214" t="s">
        <v>116</v>
      </c>
      <c r="D214" t="s">
        <v>174</v>
      </c>
      <c r="E214" t="s">
        <v>156</v>
      </c>
      <c r="F214" t="s">
        <v>560</v>
      </c>
      <c r="G214" t="str">
        <f>VLOOKUP(A:A,INVENTÁRIO_05_2025!A:A,1,0)</f>
        <v>SPRDSHPINTGRU01</v>
      </c>
    </row>
    <row r="215" spans="1:7" ht="11.25" customHeight="1">
      <c r="A215" t="s">
        <v>450</v>
      </c>
      <c r="B215" t="s">
        <v>61</v>
      </c>
      <c r="C215" t="s">
        <v>116</v>
      </c>
      <c r="D215" t="s">
        <v>174</v>
      </c>
      <c r="E215" t="s">
        <v>156</v>
      </c>
      <c r="F215" t="s">
        <v>560</v>
      </c>
      <c r="G215" t="str">
        <f>VLOOKUP(A:A,INVENTÁRIO_05_2025!A:A,1,0)</f>
        <v>SPRDSHPINTGRU02</v>
      </c>
    </row>
    <row r="216" spans="1:7" ht="11.25" customHeight="1">
      <c r="A216" t="s">
        <v>451</v>
      </c>
      <c r="B216" t="s">
        <v>61</v>
      </c>
      <c r="C216" t="s">
        <v>116</v>
      </c>
      <c r="D216" t="s">
        <v>174</v>
      </c>
      <c r="E216" t="s">
        <v>156</v>
      </c>
      <c r="F216" t="s">
        <v>560</v>
      </c>
      <c r="G216" t="str">
        <f>VLOOKUP(A:A,INVENTÁRIO_05_2025!A:A,1,0)</f>
        <v>SPRDSHPINTGRU03</v>
      </c>
    </row>
    <row r="217" spans="1:7" ht="11.25" customHeight="1">
      <c r="A217" t="s">
        <v>454</v>
      </c>
      <c r="B217" t="s">
        <v>61</v>
      </c>
      <c r="C217" t="s">
        <v>116</v>
      </c>
      <c r="D217" t="s">
        <v>174</v>
      </c>
      <c r="E217" t="s">
        <v>156</v>
      </c>
      <c r="F217" t="s">
        <v>560</v>
      </c>
      <c r="G217" t="str">
        <f>VLOOKUP(A:A,INVENTÁRIO_05_2025!A:A,1,0)</f>
        <v>STESAPCLLGRU01</v>
      </c>
    </row>
    <row r="218" spans="1:7" ht="11.25" customHeight="1">
      <c r="A218" t="s">
        <v>561</v>
      </c>
      <c r="B218" t="s">
        <v>61</v>
      </c>
      <c r="C218" t="s">
        <v>116</v>
      </c>
      <c r="D218" t="s">
        <v>562</v>
      </c>
      <c r="E218" t="s">
        <v>156</v>
      </c>
      <c r="F218" t="s">
        <v>560</v>
      </c>
      <c r="G218" t="str">
        <f>VLOOKUP(A:A,INVENTÁRIO_05_2025!A:A,1,0)</f>
        <v>SHOMADGRU02</v>
      </c>
    </row>
    <row r="219" spans="1:7" ht="11.25" customHeight="1">
      <c r="A219" t="s">
        <v>638</v>
      </c>
      <c r="B219" t="s">
        <v>61</v>
      </c>
      <c r="C219" t="s">
        <v>116</v>
      </c>
      <c r="D219" t="s">
        <v>562</v>
      </c>
      <c r="E219" t="s">
        <v>156</v>
      </c>
      <c r="F219" t="s">
        <v>560</v>
      </c>
      <c r="G219" t="e">
        <f>VLOOKUP(A:A,INVENTÁRIO_05_2025!A:A,1,0)</f>
        <v>#N/A</v>
      </c>
    </row>
    <row r="220" spans="1:7" ht="11.25" customHeight="1">
      <c r="A220" t="s">
        <v>455</v>
      </c>
      <c r="B220" t="s">
        <v>61</v>
      </c>
      <c r="C220" t="s">
        <v>116</v>
      </c>
      <c r="D220" t="s">
        <v>242</v>
      </c>
      <c r="E220" t="s">
        <v>156</v>
      </c>
      <c r="F220" t="s">
        <v>560</v>
      </c>
      <c r="G220" t="str">
        <f>VLOOKUP(A:A,INVENTÁRIO_05_2025!A:A,1,0)</f>
        <v>SHOMBDCMSGRU01</v>
      </c>
    </row>
    <row r="221" spans="1:7" ht="11.25" customHeight="1">
      <c r="A221" t="s">
        <v>456</v>
      </c>
      <c r="B221" t="s">
        <v>61</v>
      </c>
      <c r="C221" t="s">
        <v>116</v>
      </c>
      <c r="D221" t="s">
        <v>242</v>
      </c>
      <c r="E221" t="s">
        <v>156</v>
      </c>
      <c r="F221" t="s">
        <v>560</v>
      </c>
      <c r="G221" t="str">
        <f>VLOOKUP(A:A,INVENTÁRIO_05_2025!A:A,1,0)</f>
        <v>SHOMTEMPGRU01</v>
      </c>
    </row>
    <row r="222" spans="1:7" ht="11.25" customHeight="1">
      <c r="A222" t="s">
        <v>457</v>
      </c>
      <c r="B222" t="s">
        <v>61</v>
      </c>
      <c r="C222" t="s">
        <v>116</v>
      </c>
      <c r="D222" t="s">
        <v>242</v>
      </c>
      <c r="E222" t="s">
        <v>156</v>
      </c>
      <c r="F222" t="s">
        <v>560</v>
      </c>
      <c r="G222" t="str">
        <f>VLOOKUP(A:A,INVENTÁRIO_05_2025!A:A,1,0)</f>
        <v>SPRDAPATEGRU01</v>
      </c>
    </row>
    <row r="223" spans="1:7" ht="11.25" customHeight="1">
      <c r="A223" t="s">
        <v>458</v>
      </c>
      <c r="B223" t="s">
        <v>61</v>
      </c>
      <c r="C223" t="s">
        <v>116</v>
      </c>
      <c r="D223" t="s">
        <v>242</v>
      </c>
      <c r="E223" t="s">
        <v>156</v>
      </c>
      <c r="F223" t="s">
        <v>560</v>
      </c>
      <c r="G223" t="str">
        <f>VLOOKUP(A:A,INVENTÁRIO_05_2025!A:A,1,0)</f>
        <v>SPRDAPBBGRU01</v>
      </c>
    </row>
    <row r="224" spans="1:7" ht="11.25" customHeight="1">
      <c r="A224" t="s">
        <v>459</v>
      </c>
      <c r="B224" t="s">
        <v>61</v>
      </c>
      <c r="C224" t="s">
        <v>116</v>
      </c>
      <c r="D224" t="s">
        <v>141</v>
      </c>
      <c r="E224" t="s">
        <v>156</v>
      </c>
      <c r="F224" t="s">
        <v>560</v>
      </c>
      <c r="G224" t="str">
        <f>VLOOKUP(A:A,INVENTÁRIO_05_2025!A:A,1,0)</f>
        <v>SPRDAPBHSGRU02</v>
      </c>
    </row>
    <row r="225" spans="1:7" ht="11.25" customHeight="1">
      <c r="A225" t="s">
        <v>460</v>
      </c>
      <c r="B225" t="s">
        <v>61</v>
      </c>
      <c r="C225" t="s">
        <v>116</v>
      </c>
      <c r="D225" t="s">
        <v>141</v>
      </c>
      <c r="E225" t="s">
        <v>156</v>
      </c>
      <c r="F225" t="s">
        <v>560</v>
      </c>
      <c r="G225" t="str">
        <f>VLOOKUP(A:A,INVENTÁRIO_05_2025!A:A,1,0)</f>
        <v>SPRDAPBHSGRU03</v>
      </c>
    </row>
    <row r="226" spans="1:7" ht="11.25" customHeight="1">
      <c r="A226" t="s">
        <v>461</v>
      </c>
      <c r="B226" t="s">
        <v>61</v>
      </c>
      <c r="C226" t="s">
        <v>116</v>
      </c>
      <c r="D226" t="s">
        <v>242</v>
      </c>
      <c r="E226" t="s">
        <v>156</v>
      </c>
      <c r="F226" t="s">
        <v>560</v>
      </c>
      <c r="G226" t="str">
        <f>VLOOKUP(A:A,INVENTÁRIO_05_2025!A:A,1,0)</f>
        <v>SPRDAPBMSGRU02</v>
      </c>
    </row>
    <row r="227" spans="1:7" ht="11.25" customHeight="1">
      <c r="A227" t="s">
        <v>462</v>
      </c>
      <c r="B227" t="s">
        <v>50</v>
      </c>
      <c r="C227" t="s">
        <v>116</v>
      </c>
      <c r="D227" t="s">
        <v>242</v>
      </c>
      <c r="E227" t="s">
        <v>156</v>
      </c>
      <c r="F227" t="s">
        <v>560</v>
      </c>
      <c r="G227" t="e">
        <f>VLOOKUP(A:A,INVENTÁRIO_05_2025!A:A,1,0)</f>
        <v>#N/A</v>
      </c>
    </row>
    <row r="228" spans="1:7" ht="11.25" customHeight="1">
      <c r="A228" t="s">
        <v>463</v>
      </c>
      <c r="B228" t="s">
        <v>50</v>
      </c>
      <c r="C228" t="s">
        <v>116</v>
      </c>
      <c r="D228" t="s">
        <v>242</v>
      </c>
      <c r="E228" t="s">
        <v>156</v>
      </c>
      <c r="F228" t="s">
        <v>560</v>
      </c>
      <c r="G228" t="e">
        <f>VLOOKUP(A:A,INVENTÁRIO_05_2025!A:A,1,0)</f>
        <v>#N/A</v>
      </c>
    </row>
    <row r="229" spans="1:7" ht="11.25" customHeight="1">
      <c r="A229" t="s">
        <v>464</v>
      </c>
      <c r="B229" t="s">
        <v>61</v>
      </c>
      <c r="C229" t="s">
        <v>116</v>
      </c>
      <c r="D229" t="s">
        <v>136</v>
      </c>
      <c r="E229" t="s">
        <v>156</v>
      </c>
      <c r="F229" t="s">
        <v>560</v>
      </c>
      <c r="G229" t="str">
        <f>VLOOKUP(A:A,INVENTÁRIO_05_2025!A:A,1,0)</f>
        <v>SPRDAPCOVGRU01</v>
      </c>
    </row>
    <row r="230" spans="1:7" ht="11.25" customHeight="1">
      <c r="A230" t="s">
        <v>465</v>
      </c>
      <c r="B230" t="s">
        <v>61</v>
      </c>
      <c r="C230" t="s">
        <v>116</v>
      </c>
      <c r="D230" t="s">
        <v>136</v>
      </c>
      <c r="E230" t="s">
        <v>156</v>
      </c>
      <c r="F230" t="s">
        <v>560</v>
      </c>
      <c r="G230" t="str">
        <f>VLOOKUP(A:A,INVENTÁRIO_05_2025!A:A,1,0)</f>
        <v>SPRDAPCOVGRU02</v>
      </c>
    </row>
    <row r="231" spans="1:7" ht="11.25" customHeight="1">
      <c r="A231" t="s">
        <v>466</v>
      </c>
      <c r="B231" t="s">
        <v>61</v>
      </c>
      <c r="C231" t="s">
        <v>116</v>
      </c>
      <c r="D231" t="s">
        <v>242</v>
      </c>
      <c r="E231" t="s">
        <v>156</v>
      </c>
      <c r="F231" t="s">
        <v>560</v>
      </c>
      <c r="G231" t="str">
        <f>VLOOKUP(A:A,INVENTÁRIO_05_2025!A:A,1,0)</f>
        <v>SPRDAPCTDGRU01</v>
      </c>
    </row>
    <row r="232" spans="1:7" ht="11.25" customHeight="1">
      <c r="A232" t="s">
        <v>467</v>
      </c>
      <c r="B232" t="s">
        <v>61</v>
      </c>
      <c r="C232" t="s">
        <v>116</v>
      </c>
      <c r="D232" t="s">
        <v>242</v>
      </c>
      <c r="E232" t="s">
        <v>156</v>
      </c>
      <c r="F232" t="s">
        <v>560</v>
      </c>
      <c r="G232" t="str">
        <f>VLOOKUP(A:A,INVENTÁRIO_05_2025!A:A,1,0)</f>
        <v>SPRDAPESTGRU01</v>
      </c>
    </row>
    <row r="233" spans="1:7" ht="11.25" customHeight="1">
      <c r="A233" t="s">
        <v>468</v>
      </c>
      <c r="B233" t="s">
        <v>61</v>
      </c>
      <c r="C233" t="s">
        <v>116</v>
      </c>
      <c r="D233" t="s">
        <v>153</v>
      </c>
      <c r="E233" t="s">
        <v>156</v>
      </c>
      <c r="F233" t="s">
        <v>560</v>
      </c>
      <c r="G233" t="str">
        <f>VLOOKUP(A:A,INVENTÁRIO_05_2025!A:A,1,0)</f>
        <v>SPRDAPETESGRU01</v>
      </c>
    </row>
    <row r="234" spans="1:7" ht="11.25" customHeight="1">
      <c r="A234" t="s">
        <v>469</v>
      </c>
      <c r="B234" t="s">
        <v>61</v>
      </c>
      <c r="C234" t="s">
        <v>116</v>
      </c>
      <c r="D234" t="s">
        <v>153</v>
      </c>
      <c r="E234" t="s">
        <v>156</v>
      </c>
      <c r="F234" t="s">
        <v>560</v>
      </c>
      <c r="G234" t="str">
        <f>VLOOKUP(A:A,INVENTÁRIO_05_2025!A:A,1,0)</f>
        <v>SPRDAPFILAGRU01</v>
      </c>
    </row>
    <row r="235" spans="1:7" ht="11.25" customHeight="1">
      <c r="A235" t="s">
        <v>470</v>
      </c>
      <c r="B235" t="s">
        <v>61</v>
      </c>
      <c r="C235" t="s">
        <v>116</v>
      </c>
      <c r="D235" t="s">
        <v>136</v>
      </c>
      <c r="E235" t="s">
        <v>156</v>
      </c>
      <c r="F235" t="s">
        <v>560</v>
      </c>
      <c r="G235" t="str">
        <f>VLOOKUP(A:A,INVENTÁRIO_05_2025!A:A,1,0)</f>
        <v>SPRDAPGWBIGRU03</v>
      </c>
    </row>
    <row r="236" spans="1:7" ht="11.25" customHeight="1">
      <c r="A236" t="s">
        <v>478</v>
      </c>
      <c r="B236" t="s">
        <v>61</v>
      </c>
      <c r="C236" t="s">
        <v>116</v>
      </c>
      <c r="D236" t="s">
        <v>242</v>
      </c>
      <c r="E236" t="s">
        <v>156</v>
      </c>
      <c r="F236" t="s">
        <v>560</v>
      </c>
      <c r="G236" t="str">
        <f>VLOOKUP(A:A,INVENTÁRIO_05_2025!A:A,1,0)</f>
        <v>SPRDAPIKNGRU01</v>
      </c>
    </row>
    <row r="237" spans="1:7" ht="11.25" customHeight="1">
      <c r="A237" t="s">
        <v>245</v>
      </c>
      <c r="B237" t="s">
        <v>50</v>
      </c>
      <c r="C237" t="s">
        <v>116</v>
      </c>
      <c r="D237" t="s">
        <v>242</v>
      </c>
      <c r="E237" t="s">
        <v>156</v>
      </c>
      <c r="F237" t="s">
        <v>560</v>
      </c>
      <c r="G237" t="str">
        <f>VLOOKUP(A:A,INVENTÁRIO_05_2025!A:A,1,0)</f>
        <v>SPRDAPJPGRUXX</v>
      </c>
    </row>
    <row r="238" spans="1:7" ht="11.25" customHeight="1">
      <c r="A238" t="s">
        <v>480</v>
      </c>
      <c r="B238" t="s">
        <v>61</v>
      </c>
      <c r="C238" t="s">
        <v>116</v>
      </c>
      <c r="D238" t="s">
        <v>242</v>
      </c>
      <c r="E238" t="s">
        <v>156</v>
      </c>
      <c r="F238" t="s">
        <v>560</v>
      </c>
      <c r="G238" t="str">
        <f>VLOOKUP(A:A,INVENTÁRIO_05_2025!A:A,1,0)</f>
        <v>SPRDAPLGGRU02</v>
      </c>
    </row>
    <row r="239" spans="1:7" ht="11.25" customHeight="1">
      <c r="A239" t="s">
        <v>481</v>
      </c>
      <c r="B239" t="s">
        <v>61</v>
      </c>
      <c r="C239" t="s">
        <v>116</v>
      </c>
      <c r="D239" t="s">
        <v>242</v>
      </c>
      <c r="E239" t="s">
        <v>156</v>
      </c>
      <c r="F239" t="s">
        <v>560</v>
      </c>
      <c r="G239" t="str">
        <f>VLOOKUP(A:A,INVENTÁRIO_05_2025!A:A,1,0)</f>
        <v>SPRDAPLGGRU04</v>
      </c>
    </row>
    <row r="240" spans="1:7" ht="11.25" customHeight="1">
      <c r="A240" t="s">
        <v>482</v>
      </c>
      <c r="B240" t="s">
        <v>61</v>
      </c>
      <c r="C240" t="s">
        <v>116</v>
      </c>
      <c r="D240" t="s">
        <v>141</v>
      </c>
      <c r="E240" t="s">
        <v>156</v>
      </c>
      <c r="F240" t="s">
        <v>560</v>
      </c>
      <c r="G240" t="str">
        <f>VLOOKUP(A:A,INVENTÁRIO_05_2025!A:A,1,0)</f>
        <v>SPRDAPMDSGRU01</v>
      </c>
    </row>
    <row r="241" spans="1:7" ht="11.25" customHeight="1">
      <c r="A241" t="s">
        <v>483</v>
      </c>
      <c r="B241" t="s">
        <v>61</v>
      </c>
      <c r="C241" t="s">
        <v>116</v>
      </c>
      <c r="D241" t="s">
        <v>242</v>
      </c>
      <c r="E241" t="s">
        <v>156</v>
      </c>
      <c r="F241" t="s">
        <v>560</v>
      </c>
      <c r="G241" t="str">
        <f>VLOOKUP(A:A,INVENTÁRIO_05_2025!A:A,1,0)</f>
        <v>SPRDAPMMETRAGRU01</v>
      </c>
    </row>
    <row r="242" spans="1:7" ht="11.25" customHeight="1">
      <c r="A242" t="s">
        <v>484</v>
      </c>
      <c r="B242" t="s">
        <v>61</v>
      </c>
      <c r="C242" t="s">
        <v>116</v>
      </c>
      <c r="D242" t="s">
        <v>242</v>
      </c>
      <c r="E242" t="s">
        <v>156</v>
      </c>
      <c r="F242" t="s">
        <v>560</v>
      </c>
      <c r="G242" t="str">
        <f>VLOOKUP(A:A,INVENTÁRIO_05_2025!A:A,1,0)</f>
        <v>SPRDAPMPMGRU01</v>
      </c>
    </row>
    <row r="243" spans="1:7" ht="11.25" customHeight="1">
      <c r="A243" t="s">
        <v>485</v>
      </c>
      <c r="B243" t="s">
        <v>61</v>
      </c>
      <c r="C243" t="s">
        <v>116</v>
      </c>
      <c r="D243" t="s">
        <v>242</v>
      </c>
      <c r="E243" t="s">
        <v>156</v>
      </c>
      <c r="F243" t="s">
        <v>560</v>
      </c>
      <c r="G243" t="str">
        <f>VLOOKUP(A:A,INVENTÁRIO_05_2025!A:A,1,0)</f>
        <v>SPRDAPPSGRU03</v>
      </c>
    </row>
    <row r="244" spans="1:7" ht="11.25" customHeight="1">
      <c r="A244" t="s">
        <v>486</v>
      </c>
      <c r="B244" t="s">
        <v>61</v>
      </c>
      <c r="C244" t="s">
        <v>116</v>
      </c>
      <c r="D244" t="s">
        <v>136</v>
      </c>
      <c r="E244" t="s">
        <v>156</v>
      </c>
      <c r="F244" t="s">
        <v>560</v>
      </c>
      <c r="G244" t="str">
        <f>VLOOKUP(A:A,INVENTÁRIO_05_2025!A:A,1,0)</f>
        <v>SPRDAPPVGRU03</v>
      </c>
    </row>
    <row r="245" spans="1:7" ht="11.25" customHeight="1">
      <c r="A245" t="s">
        <v>487</v>
      </c>
      <c r="B245" t="s">
        <v>61</v>
      </c>
      <c r="C245" t="s">
        <v>116</v>
      </c>
      <c r="D245" t="s">
        <v>136</v>
      </c>
      <c r="E245" t="s">
        <v>156</v>
      </c>
      <c r="F245" t="s">
        <v>560</v>
      </c>
      <c r="G245" t="str">
        <f>VLOOKUP(A:A,INVENTÁRIO_05_2025!A:A,1,0)</f>
        <v>SPRDAPRMIGRU01</v>
      </c>
    </row>
    <row r="246" spans="1:7" ht="11.25" customHeight="1">
      <c r="A246" t="s">
        <v>488</v>
      </c>
      <c r="B246" t="s">
        <v>61</v>
      </c>
      <c r="C246" t="s">
        <v>116</v>
      </c>
      <c r="D246" t="s">
        <v>242</v>
      </c>
      <c r="E246" t="s">
        <v>156</v>
      </c>
      <c r="F246" t="s">
        <v>560</v>
      </c>
      <c r="G246" t="str">
        <f>VLOOKUP(A:A,INVENTÁRIO_05_2025!A:A,1,0)</f>
        <v>SPRDAPRPAGRU02</v>
      </c>
    </row>
    <row r="247" spans="1:7" ht="11.25" customHeight="1">
      <c r="A247" t="s">
        <v>489</v>
      </c>
      <c r="B247" t="s">
        <v>61</v>
      </c>
      <c r="C247" t="s">
        <v>116</v>
      </c>
      <c r="D247" t="s">
        <v>242</v>
      </c>
      <c r="E247" t="s">
        <v>156</v>
      </c>
      <c r="F247" t="s">
        <v>560</v>
      </c>
      <c r="G247" t="str">
        <f>VLOOKUP(A:A,INVENTÁRIO_05_2025!A:A,1,0)</f>
        <v>SPRDAPRPGRU07</v>
      </c>
    </row>
    <row r="248" spans="1:7" ht="11.25" customHeight="1">
      <c r="A248" t="s">
        <v>491</v>
      </c>
      <c r="B248" t="s">
        <v>61</v>
      </c>
      <c r="C248" t="s">
        <v>116</v>
      </c>
      <c r="D248" t="s">
        <v>242</v>
      </c>
      <c r="E248" t="s">
        <v>156</v>
      </c>
      <c r="F248" t="s">
        <v>560</v>
      </c>
      <c r="G248" t="str">
        <f>VLOOKUP(A:A,INVENTÁRIO_05_2025!A:A,1,0)</f>
        <v>SPRDAPSCOGRU03</v>
      </c>
    </row>
    <row r="249" spans="1:7" ht="11.25" customHeight="1">
      <c r="A249" t="s">
        <v>492</v>
      </c>
      <c r="B249" t="s">
        <v>61</v>
      </c>
      <c r="C249" t="s">
        <v>116</v>
      </c>
      <c r="D249" t="s">
        <v>136</v>
      </c>
      <c r="E249" t="s">
        <v>156</v>
      </c>
      <c r="F249" t="s">
        <v>560</v>
      </c>
      <c r="G249" t="e">
        <f>VLOOKUP(A:A,INVENTÁRIO_05_2025!A:A,1,0)</f>
        <v>#N/A</v>
      </c>
    </row>
    <row r="250" spans="1:7" ht="11.25" customHeight="1">
      <c r="A250" t="s">
        <v>493</v>
      </c>
      <c r="B250" t="s">
        <v>61</v>
      </c>
      <c r="C250" t="s">
        <v>116</v>
      </c>
      <c r="D250" t="s">
        <v>136</v>
      </c>
      <c r="E250" t="s">
        <v>156</v>
      </c>
      <c r="F250" t="s">
        <v>560</v>
      </c>
      <c r="G250" t="str">
        <f>VLOOKUP(A:A,INVENTÁRIO_05_2025!A:A,1,0)</f>
        <v>SPRDAPSTGGRU01</v>
      </c>
    </row>
    <row r="251" spans="1:7" ht="11.25" customHeight="1">
      <c r="A251" t="s">
        <v>494</v>
      </c>
      <c r="B251" t="s">
        <v>61</v>
      </c>
      <c r="C251" t="s">
        <v>116</v>
      </c>
      <c r="D251" t="s">
        <v>242</v>
      </c>
      <c r="E251" t="s">
        <v>156</v>
      </c>
      <c r="F251" t="s">
        <v>560</v>
      </c>
      <c r="G251" t="str">
        <f>VLOOKUP(A:A,INVENTÁRIO_05_2025!A:A,1,0)</f>
        <v>SPRDAPSVNGRU01</v>
      </c>
    </row>
    <row r="252" spans="1:7" ht="11.25" customHeight="1">
      <c r="A252" t="s">
        <v>495</v>
      </c>
      <c r="B252" t="s">
        <v>61</v>
      </c>
      <c r="C252" t="s">
        <v>116</v>
      </c>
      <c r="D252" t="s">
        <v>242</v>
      </c>
      <c r="E252" t="s">
        <v>156</v>
      </c>
      <c r="F252" t="s">
        <v>560</v>
      </c>
      <c r="G252" t="str">
        <f>VLOOKUP(A:A,INVENTÁRIO_05_2025!A:A,1,0)</f>
        <v>SPRDAPTSGRU01</v>
      </c>
    </row>
    <row r="253" spans="1:7" ht="11.25" customHeight="1">
      <c r="A253" t="s">
        <v>496</v>
      </c>
      <c r="B253" t="s">
        <v>61</v>
      </c>
      <c r="C253" t="s">
        <v>116</v>
      </c>
      <c r="D253" t="s">
        <v>242</v>
      </c>
      <c r="E253" t="s">
        <v>156</v>
      </c>
      <c r="F253" t="s">
        <v>560</v>
      </c>
      <c r="G253" t="str">
        <f>VLOOKUP(A:A,INVENTÁRIO_05_2025!A:A,1,0)</f>
        <v>SPRDAPUPSGRU01</v>
      </c>
    </row>
    <row r="254" spans="1:7" ht="11.25" customHeight="1">
      <c r="A254" t="s">
        <v>497</v>
      </c>
      <c r="B254" t="s">
        <v>61</v>
      </c>
      <c r="C254" t="s">
        <v>116</v>
      </c>
      <c r="D254" t="s">
        <v>136</v>
      </c>
      <c r="E254" t="s">
        <v>156</v>
      </c>
      <c r="F254" t="s">
        <v>560</v>
      </c>
      <c r="G254" t="str">
        <f>VLOOKUP(A:A,INVENTÁRIO_05_2025!A:A,1,0)</f>
        <v>SPRDBDWMBGRU01</v>
      </c>
    </row>
    <row r="255" spans="1:7" ht="11.25" customHeight="1">
      <c r="A255" t="s">
        <v>498</v>
      </c>
      <c r="B255" t="s">
        <v>61</v>
      </c>
      <c r="C255" t="s">
        <v>116</v>
      </c>
      <c r="D255" t="s">
        <v>153</v>
      </c>
      <c r="E255" t="s">
        <v>156</v>
      </c>
      <c r="F255" t="s">
        <v>560</v>
      </c>
      <c r="G255" t="str">
        <f>VLOOKUP(A:A,INVENTÁRIO_05_2025!A:A,1,0)</f>
        <v>SPRDBKPPSTGRU01</v>
      </c>
    </row>
    <row r="256" spans="1:7" ht="11.25" customHeight="1">
      <c r="A256" t="s">
        <v>499</v>
      </c>
      <c r="B256" t="s">
        <v>61</v>
      </c>
      <c r="C256" t="s">
        <v>116</v>
      </c>
      <c r="D256" t="s">
        <v>242</v>
      </c>
      <c r="E256" t="s">
        <v>156</v>
      </c>
      <c r="F256" t="s">
        <v>560</v>
      </c>
      <c r="G256" t="str">
        <f>VLOOKUP(A:A,INVENTÁRIO_05_2025!A:A,1,0)</f>
        <v>SPRDIRGRU01</v>
      </c>
    </row>
    <row r="257" spans="1:7" ht="11.25" customHeight="1">
      <c r="A257" t="s">
        <v>500</v>
      </c>
      <c r="B257" t="s">
        <v>61</v>
      </c>
      <c r="C257" t="s">
        <v>116</v>
      </c>
      <c r="D257" t="s">
        <v>501</v>
      </c>
      <c r="E257" t="s">
        <v>156</v>
      </c>
      <c r="F257" t="s">
        <v>560</v>
      </c>
      <c r="G257" t="str">
        <f>VLOOKUP(A:A,INVENTÁRIO_05_2025!A:A,1,0)</f>
        <v>SPRDJPBEUMER-01</v>
      </c>
    </row>
    <row r="258" spans="1:7" ht="11.25" customHeight="1">
      <c r="A258" t="s">
        <v>504</v>
      </c>
      <c r="B258" t="s">
        <v>61</v>
      </c>
      <c r="C258" t="s">
        <v>116</v>
      </c>
      <c r="D258" t="s">
        <v>242</v>
      </c>
      <c r="E258" t="s">
        <v>156</v>
      </c>
      <c r="F258" t="s">
        <v>560</v>
      </c>
      <c r="G258" t="str">
        <f>VLOOKUP(A:A,INVENTÁRIO_05_2025!A:A,1,0)</f>
        <v>SPRDSQLGRU17_2024102145001679_NAO_LIGAR</v>
      </c>
    </row>
    <row r="259" spans="1:7" ht="11.25" customHeight="1">
      <c r="A259" t="s">
        <v>505</v>
      </c>
      <c r="B259" t="s">
        <v>61</v>
      </c>
      <c r="C259" t="s">
        <v>116</v>
      </c>
      <c r="D259" t="s">
        <v>242</v>
      </c>
      <c r="E259" t="s">
        <v>156</v>
      </c>
      <c r="F259" t="s">
        <v>560</v>
      </c>
      <c r="G259" t="str">
        <f>VLOOKUP(A:A,INVENTÁRIO_05_2025!A:A,1,0)</f>
        <v>SPRDSQLGRU18</v>
      </c>
    </row>
    <row r="260" spans="1:7" ht="11.25" customHeight="1">
      <c r="A260" t="s">
        <v>506</v>
      </c>
      <c r="B260" t="s">
        <v>61</v>
      </c>
      <c r="C260" t="s">
        <v>116</v>
      </c>
      <c r="D260" t="s">
        <v>136</v>
      </c>
      <c r="E260" t="s">
        <v>156</v>
      </c>
      <c r="F260" t="s">
        <v>560</v>
      </c>
      <c r="G260" t="e">
        <f>VLOOKUP(A:A,INVENTÁRIO_05_2025!A:A,1,0)</f>
        <v>#N/A</v>
      </c>
    </row>
    <row r="261" spans="1:7" ht="11.25" customHeight="1">
      <c r="A261" t="s">
        <v>507</v>
      </c>
      <c r="B261" t="s">
        <v>61</v>
      </c>
      <c r="C261" t="s">
        <v>116</v>
      </c>
      <c r="D261" t="s">
        <v>136</v>
      </c>
      <c r="E261" t="s">
        <v>156</v>
      </c>
      <c r="F261" t="s">
        <v>560</v>
      </c>
      <c r="G261" t="e">
        <f>VLOOKUP(A:A,INVENTÁRIO_05_2025!A:A,1,0)</f>
        <v>#N/A</v>
      </c>
    </row>
    <row r="262" spans="1:7" ht="11.25" customHeight="1">
      <c r="A262" t="s">
        <v>260</v>
      </c>
      <c r="B262" t="s">
        <v>61</v>
      </c>
      <c r="C262" t="s">
        <v>116</v>
      </c>
      <c r="D262" t="s">
        <v>247</v>
      </c>
      <c r="E262" t="s">
        <v>156</v>
      </c>
      <c r="F262" t="s">
        <v>560</v>
      </c>
      <c r="G262" t="str">
        <f>VLOOKUP(A:A,INVENTÁRIO_05_2025!A:A,1,0)</f>
        <v>SPRDSQLLGGRU02</v>
      </c>
    </row>
    <row r="263" spans="1:7" ht="11.25" customHeight="1">
      <c r="A263" t="s">
        <v>152</v>
      </c>
      <c r="B263" t="s">
        <v>61</v>
      </c>
      <c r="C263" t="s">
        <v>116</v>
      </c>
      <c r="D263" t="s">
        <v>153</v>
      </c>
      <c r="E263" t="s">
        <v>156</v>
      </c>
      <c r="F263" t="s">
        <v>560</v>
      </c>
      <c r="G263" t="str">
        <f>VLOOKUP(A:A,INVENTÁRIO_05_2025!A:A,1,0)</f>
        <v>SPRDTSQGRU01</v>
      </c>
    </row>
    <row r="264" spans="1:7" ht="11.25" customHeight="1">
      <c r="A264" t="s">
        <v>508</v>
      </c>
      <c r="B264" t="s">
        <v>61</v>
      </c>
      <c r="C264" t="s">
        <v>116</v>
      </c>
      <c r="D264" t="s">
        <v>153</v>
      </c>
      <c r="E264" t="s">
        <v>156</v>
      </c>
      <c r="F264" t="s">
        <v>560</v>
      </c>
      <c r="G264" t="str">
        <f>VLOOKUP(A:A,INVENTÁRIO_05_2025!A:A,1,0)</f>
        <v>SPRDTSQGRU02</v>
      </c>
    </row>
    <row r="265" spans="1:7" ht="11.25" customHeight="1">
      <c r="A265" t="s">
        <v>509</v>
      </c>
      <c r="B265" t="s">
        <v>61</v>
      </c>
      <c r="C265" t="s">
        <v>116</v>
      </c>
      <c r="D265" t="s">
        <v>153</v>
      </c>
      <c r="E265" t="s">
        <v>156</v>
      </c>
      <c r="F265" t="s">
        <v>560</v>
      </c>
      <c r="G265" t="str">
        <f>VLOOKUP(A:A,INVENTÁRIO_05_2025!A:A,1,0)</f>
        <v>SPRDTSQGRU03</v>
      </c>
    </row>
    <row r="266" spans="1:7" ht="11.25" customHeight="1">
      <c r="A266" t="s">
        <v>510</v>
      </c>
      <c r="B266" t="s">
        <v>61</v>
      </c>
      <c r="C266" t="s">
        <v>116</v>
      </c>
      <c r="D266" t="s">
        <v>136</v>
      </c>
      <c r="E266" t="s">
        <v>156</v>
      </c>
      <c r="F266" t="s">
        <v>560</v>
      </c>
      <c r="G266" t="str">
        <f>VLOOKUP(A:A,INVENTÁRIO_05_2025!A:A,1,0)</f>
        <v>SPRDVCHSEGRU04</v>
      </c>
    </row>
    <row r="267" spans="1:7" ht="11.25" customHeight="1">
      <c r="A267" t="s">
        <v>511</v>
      </c>
      <c r="B267" t="s">
        <v>61</v>
      </c>
      <c r="C267" t="s">
        <v>116</v>
      </c>
      <c r="D267" t="s">
        <v>136</v>
      </c>
      <c r="E267" t="s">
        <v>156</v>
      </c>
      <c r="F267" t="s">
        <v>560</v>
      </c>
      <c r="G267" t="str">
        <f>VLOOKUP(A:A,INVENTÁRIO_05_2025!A:A,1,0)</f>
        <v>SPRDVCHSEGRU05</v>
      </c>
    </row>
    <row r="268" spans="1:7" ht="11.25" customHeight="1">
      <c r="A268" t="s">
        <v>512</v>
      </c>
      <c r="B268" t="s">
        <v>61</v>
      </c>
      <c r="C268" t="s">
        <v>51</v>
      </c>
      <c r="D268" t="s">
        <v>285</v>
      </c>
      <c r="E268" t="s">
        <v>156</v>
      </c>
      <c r="F268" t="s">
        <v>560</v>
      </c>
      <c r="G268" t="str">
        <f>VLOOKUP(A:A,INVENTÁRIO_05_2025!A:A,1,0)</f>
        <v>SPRDSKINTGRU01</v>
      </c>
    </row>
    <row r="269" spans="1:7" ht="11.25" customHeight="1">
      <c r="A269" t="s">
        <v>513</v>
      </c>
      <c r="B269" t="s">
        <v>61</v>
      </c>
      <c r="C269" t="s">
        <v>51</v>
      </c>
      <c r="D269" t="s">
        <v>278</v>
      </c>
      <c r="E269" t="s">
        <v>156</v>
      </c>
      <c r="F269" t="s">
        <v>560</v>
      </c>
      <c r="G269" t="str">
        <f>VLOOKUP(A:A,INVENTÁRIO_05_2025!A:A,1,0)</f>
        <v>SPRDSKQRCGRU01</v>
      </c>
    </row>
    <row r="270" spans="1:7" ht="11.25" customHeight="1">
      <c r="A270" t="s">
        <v>563</v>
      </c>
      <c r="B270" t="s">
        <v>61</v>
      </c>
      <c r="C270" t="s">
        <v>116</v>
      </c>
      <c r="D270" t="s">
        <v>562</v>
      </c>
      <c r="E270" t="s">
        <v>156</v>
      </c>
      <c r="F270" t="s">
        <v>560</v>
      </c>
      <c r="G270" t="str">
        <f>VLOOKUP(A:A,INVENTÁRIO_05_2025!A:A,1,0)</f>
        <v>SHOMAPBCBPGRU01</v>
      </c>
    </row>
    <row r="271" spans="1:7" ht="11.25" customHeight="1">
      <c r="A271" t="s">
        <v>614</v>
      </c>
      <c r="B271" t="s">
        <v>61</v>
      </c>
      <c r="C271" t="s">
        <v>116</v>
      </c>
      <c r="D271" t="s">
        <v>562</v>
      </c>
      <c r="E271" t="s">
        <v>156</v>
      </c>
      <c r="F271" t="s">
        <v>560</v>
      </c>
      <c r="G271" t="str">
        <f>VLOOKUP(A:A,INVENTÁRIO_05_2025!A:A,1,0)</f>
        <v>SHOMAPBCBPGRU02</v>
      </c>
    </row>
    <row r="272" spans="1:7" ht="11.25" customHeight="1">
      <c r="A272" t="s">
        <v>564</v>
      </c>
      <c r="B272" t="s">
        <v>61</v>
      </c>
      <c r="C272" t="s">
        <v>51</v>
      </c>
      <c r="D272" t="s">
        <v>562</v>
      </c>
      <c r="E272" t="s">
        <v>156</v>
      </c>
      <c r="F272" t="s">
        <v>560</v>
      </c>
      <c r="G272" t="str">
        <f>VLOOKUP(A:A,INVENTÁRIO_05_2025!A:A,1,0)</f>
        <v>SHOMAPCMSGRU05</v>
      </c>
    </row>
    <row r="273" spans="1:7" ht="11.25" customHeight="1">
      <c r="A273" t="s">
        <v>514</v>
      </c>
      <c r="B273" t="s">
        <v>61</v>
      </c>
      <c r="C273" t="s">
        <v>116</v>
      </c>
      <c r="D273" t="s">
        <v>219</v>
      </c>
      <c r="E273" t="s">
        <v>156</v>
      </c>
      <c r="F273" t="s">
        <v>560</v>
      </c>
      <c r="G273" t="str">
        <f>VLOOKUP(A:A,INVENTÁRIO_05_2025!A:A,1,0)</f>
        <v>SHOMAPESBGRU07</v>
      </c>
    </row>
    <row r="274" spans="1:7" ht="11.25" customHeight="1">
      <c r="A274" t="s">
        <v>639</v>
      </c>
      <c r="B274" t="s">
        <v>61</v>
      </c>
      <c r="C274" t="s">
        <v>116</v>
      </c>
      <c r="D274" t="s">
        <v>562</v>
      </c>
      <c r="E274" t="s">
        <v>156</v>
      </c>
      <c r="F274" t="s">
        <v>560</v>
      </c>
      <c r="G274" t="e">
        <f>VLOOKUP(A:A,INVENTÁRIO_05_2025!A:A,1,0)</f>
        <v>#N/A</v>
      </c>
    </row>
    <row r="275" spans="1:7" ht="11.25" customHeight="1">
      <c r="A275" t="s">
        <v>565</v>
      </c>
      <c r="B275" t="s">
        <v>61</v>
      </c>
      <c r="C275" t="s">
        <v>116</v>
      </c>
      <c r="D275" t="s">
        <v>562</v>
      </c>
      <c r="E275" t="s">
        <v>156</v>
      </c>
      <c r="F275" t="s">
        <v>560</v>
      </c>
      <c r="G275" t="str">
        <f>VLOOKUP(A:A,INVENTÁRIO_05_2025!A:A,1,0)</f>
        <v>SHOMAPRIMAGRU01</v>
      </c>
    </row>
    <row r="276" spans="1:7" ht="11.25" customHeight="1">
      <c r="A276" t="s">
        <v>616</v>
      </c>
      <c r="B276" t="s">
        <v>61</v>
      </c>
      <c r="C276" t="s">
        <v>116</v>
      </c>
      <c r="D276" t="s">
        <v>562</v>
      </c>
      <c r="E276" t="s">
        <v>156</v>
      </c>
      <c r="F276" t="s">
        <v>560</v>
      </c>
      <c r="G276" t="str">
        <f>VLOOKUP(A:A,INVENTÁRIO_05_2025!A:A,1,0)</f>
        <v>SPRDFSQUA01</v>
      </c>
    </row>
    <row r="277" spans="1:7" ht="11.25" customHeight="1">
      <c r="A277" t="s">
        <v>515</v>
      </c>
      <c r="B277" t="s">
        <v>50</v>
      </c>
      <c r="C277" t="s">
        <v>51</v>
      </c>
      <c r="D277" t="s">
        <v>516</v>
      </c>
      <c r="E277" t="s">
        <v>156</v>
      </c>
      <c r="F277" t="s">
        <v>560</v>
      </c>
      <c r="G277" t="str">
        <f>VLOOKUP(A:A,INVENTÁRIO_05_2025!A:A,1,0)</f>
        <v>SPRDAPCSCOGRU01</v>
      </c>
    </row>
    <row r="278" spans="1:7" ht="11.25" customHeight="1">
      <c r="A278" t="s">
        <v>518</v>
      </c>
      <c r="B278" t="s">
        <v>61</v>
      </c>
      <c r="C278" t="s">
        <v>51</v>
      </c>
      <c r="D278" t="s">
        <v>85</v>
      </c>
      <c r="E278" t="s">
        <v>156</v>
      </c>
      <c r="F278" t="s">
        <v>560</v>
      </c>
      <c r="G278" t="str">
        <f>VLOOKUP(A:A,INVENTÁRIO_05_2025!A:A,1,0)</f>
        <v>SPRDSCANVUL01</v>
      </c>
    </row>
    <row r="279" spans="1:7" ht="11.25" customHeight="1">
      <c r="A279" t="s">
        <v>519</v>
      </c>
      <c r="B279" t="s">
        <v>50</v>
      </c>
      <c r="C279" t="s">
        <v>51</v>
      </c>
      <c r="D279" t="s">
        <v>85</v>
      </c>
      <c r="E279" t="s">
        <v>156</v>
      </c>
      <c r="F279" t="s">
        <v>560</v>
      </c>
      <c r="G279" t="str">
        <f>VLOOKUP(A:A,INVENTÁRIO_05_2025!A:A,1,0)</f>
        <v>CLONE_SQASAPECCGRU01</v>
      </c>
    </row>
    <row r="280" spans="1:7" ht="11.25" customHeight="1">
      <c r="A280" t="s">
        <v>520</v>
      </c>
      <c r="B280" t="s">
        <v>61</v>
      </c>
      <c r="C280" t="s">
        <v>51</v>
      </c>
      <c r="D280" t="s">
        <v>85</v>
      </c>
      <c r="E280" t="s">
        <v>156</v>
      </c>
      <c r="F280" t="s">
        <v>560</v>
      </c>
      <c r="G280" t="str">
        <f>VLOOKUP(A:A,INVENTÁRIO_05_2025!A:A,1,0)</f>
        <v>SATI-PF</v>
      </c>
    </row>
    <row r="281" spans="1:7" ht="11.25" customHeight="1">
      <c r="A281" t="s">
        <v>521</v>
      </c>
      <c r="B281" t="s">
        <v>61</v>
      </c>
      <c r="C281" t="s">
        <v>51</v>
      </c>
      <c r="D281" t="s">
        <v>85</v>
      </c>
      <c r="E281" t="s">
        <v>156</v>
      </c>
      <c r="F281" t="s">
        <v>560</v>
      </c>
      <c r="G281" t="str">
        <f>VLOOKUP(A:A,INVENTÁRIO_05_2025!A:A,1,0)</f>
        <v>SDESAPNWGRU01</v>
      </c>
    </row>
    <row r="282" spans="1:7" ht="11.25" customHeight="1">
      <c r="A282" t="s">
        <v>522</v>
      </c>
      <c r="B282" t="s">
        <v>61</v>
      </c>
      <c r="C282" t="s">
        <v>51</v>
      </c>
      <c r="D282" t="s">
        <v>85</v>
      </c>
      <c r="E282" t="s">
        <v>156</v>
      </c>
      <c r="F282" t="s">
        <v>560</v>
      </c>
      <c r="G282" t="str">
        <f>VLOOKUP(A:A,INVENTÁRIO_05_2025!A:A,1,0)</f>
        <v>SDEVAPECGRU01</v>
      </c>
    </row>
    <row r="283" spans="1:7" ht="11.25" customHeight="1">
      <c r="A283" t="s">
        <v>523</v>
      </c>
      <c r="B283" t="s">
        <v>61</v>
      </c>
      <c r="C283" t="s">
        <v>51</v>
      </c>
      <c r="D283" t="s">
        <v>85</v>
      </c>
      <c r="E283" t="s">
        <v>156</v>
      </c>
      <c r="F283" t="s">
        <v>560</v>
      </c>
      <c r="G283" t="str">
        <f>VLOOKUP(A:A,INVENTÁRIO_05_2025!A:A,1,0)</f>
        <v>SDQBDORAGRU01</v>
      </c>
    </row>
    <row r="284" spans="1:7" ht="11.25" customHeight="1">
      <c r="A284" t="s">
        <v>524</v>
      </c>
      <c r="B284" t="s">
        <v>61</v>
      </c>
      <c r="C284" t="s">
        <v>51</v>
      </c>
      <c r="D284" t="s">
        <v>85</v>
      </c>
      <c r="E284" t="s">
        <v>156</v>
      </c>
      <c r="F284" t="s">
        <v>560</v>
      </c>
      <c r="G284" t="str">
        <f>VLOOKUP(A:A,INVENTÁRIO_05_2025!A:A,1,0)</f>
        <v>SDQBDORAGRU02</v>
      </c>
    </row>
    <row r="285" spans="1:7" ht="11.25" customHeight="1">
      <c r="A285" t="s">
        <v>525</v>
      </c>
      <c r="B285" t="s">
        <v>61</v>
      </c>
      <c r="C285" t="s">
        <v>51</v>
      </c>
      <c r="D285" t="s">
        <v>526</v>
      </c>
      <c r="E285" t="s">
        <v>156</v>
      </c>
      <c r="F285" t="s">
        <v>560</v>
      </c>
      <c r="G285" t="str">
        <f>VLOOKUP(A:A,INVENTÁRIO_05_2025!A:A,1,0)</f>
        <v>SPRDAPDSMGRU01</v>
      </c>
    </row>
    <row r="286" spans="1:7" ht="11.25" customHeight="1">
      <c r="A286" t="s">
        <v>527</v>
      </c>
      <c r="B286" t="s">
        <v>61</v>
      </c>
      <c r="C286" t="s">
        <v>51</v>
      </c>
      <c r="D286" t="s">
        <v>85</v>
      </c>
      <c r="E286" t="s">
        <v>156</v>
      </c>
      <c r="F286" t="s">
        <v>560</v>
      </c>
      <c r="G286" t="str">
        <f>VLOOKUP(A:A,INVENTÁRIO_05_2025!A:A,1,0)</f>
        <v>SQASAPECGRU01</v>
      </c>
    </row>
    <row r="287" spans="1:7" ht="11.25" customHeight="1">
      <c r="A287" t="s">
        <v>528</v>
      </c>
      <c r="B287" t="s">
        <v>61</v>
      </c>
      <c r="C287" t="s">
        <v>51</v>
      </c>
      <c r="D287" t="s">
        <v>109</v>
      </c>
      <c r="E287" t="s">
        <v>156</v>
      </c>
      <c r="F287" t="s">
        <v>560</v>
      </c>
      <c r="G287" t="str">
        <f>VLOOKUP(A:A,INVENTÁRIO_05_2025!A:A,1,0)</f>
        <v>SHOMAPCMSGRU03</v>
      </c>
    </row>
    <row r="288" spans="1:7" ht="11.25" customHeight="1">
      <c r="A288" t="s">
        <v>617</v>
      </c>
      <c r="B288" t="s">
        <v>61</v>
      </c>
      <c r="C288" t="s">
        <v>51</v>
      </c>
      <c r="D288" t="s">
        <v>295</v>
      </c>
      <c r="E288" t="s">
        <v>156</v>
      </c>
      <c r="F288" t="s">
        <v>560</v>
      </c>
      <c r="G288" t="str">
        <f>VLOOKUP(A:A,INVENTÁRIO_05_2025!A:A,1,0)</f>
        <v>SHOMAPCUPSGRU01</v>
      </c>
    </row>
    <row r="289" spans="1:7" ht="11.25" customHeight="1">
      <c r="A289" t="s">
        <v>618</v>
      </c>
      <c r="B289" t="s">
        <v>61</v>
      </c>
      <c r="C289" t="s">
        <v>51</v>
      </c>
      <c r="D289" t="s">
        <v>295</v>
      </c>
      <c r="E289" t="s">
        <v>156</v>
      </c>
      <c r="F289" t="s">
        <v>560</v>
      </c>
      <c r="G289" t="str">
        <f>VLOOKUP(A:A,INVENTÁRIO_05_2025!A:A,1,0)</f>
        <v>SHOMAPGPROGRU01</v>
      </c>
    </row>
    <row r="290" spans="1:7" ht="11.25" customHeight="1">
      <c r="A290" t="s">
        <v>529</v>
      </c>
      <c r="B290" t="s">
        <v>61</v>
      </c>
      <c r="C290" t="s">
        <v>51</v>
      </c>
      <c r="D290" t="s">
        <v>295</v>
      </c>
      <c r="E290" t="s">
        <v>156</v>
      </c>
      <c r="F290" t="s">
        <v>560</v>
      </c>
      <c r="G290" t="str">
        <f>VLOOKUP(A:A,INVENTÁRIO_05_2025!A:A,1,0)</f>
        <v>SHOMAPIHSGRU02</v>
      </c>
    </row>
    <row r="291" spans="1:7" ht="11.25" customHeight="1">
      <c r="A291" t="s">
        <v>619</v>
      </c>
      <c r="B291" t="s">
        <v>61</v>
      </c>
      <c r="C291" t="s">
        <v>51</v>
      </c>
      <c r="D291" t="s">
        <v>295</v>
      </c>
      <c r="E291" t="s">
        <v>156</v>
      </c>
      <c r="F291" t="s">
        <v>560</v>
      </c>
      <c r="G291" t="str">
        <f>VLOOKUP(A:A,INVENTÁRIO_05_2025!A:A,1,0)</f>
        <v>SHOMAPPHPIGRU01</v>
      </c>
    </row>
    <row r="292" spans="1:7" ht="11.25" customHeight="1">
      <c r="A292" t="s">
        <v>530</v>
      </c>
      <c r="B292" t="s">
        <v>61</v>
      </c>
      <c r="C292" t="s">
        <v>51</v>
      </c>
      <c r="D292" t="s">
        <v>109</v>
      </c>
      <c r="E292" t="s">
        <v>156</v>
      </c>
      <c r="F292" t="s">
        <v>560</v>
      </c>
      <c r="G292" t="str">
        <f>VLOOKUP(A:A,INVENTÁRIO_05_2025!A:A,1,0)</f>
        <v>SHOMWBCMSGRU01</v>
      </c>
    </row>
    <row r="293" spans="1:7" ht="11.25" customHeight="1">
      <c r="A293" t="s">
        <v>531</v>
      </c>
      <c r="B293" t="s">
        <v>61</v>
      </c>
      <c r="C293" t="s">
        <v>51</v>
      </c>
      <c r="D293" t="s">
        <v>109</v>
      </c>
      <c r="E293" t="s">
        <v>156</v>
      </c>
      <c r="F293" t="s">
        <v>560</v>
      </c>
      <c r="G293" t="e">
        <f>VLOOKUP(A:A,INVENTÁRIO_05_2025!A:A,1,0)</f>
        <v>#N/A</v>
      </c>
    </row>
    <row r="294" spans="1:7" ht="11.25" customHeight="1">
      <c r="A294" t="s">
        <v>620</v>
      </c>
      <c r="B294" t="s">
        <v>50</v>
      </c>
      <c r="C294" t="s">
        <v>51</v>
      </c>
      <c r="D294" t="s">
        <v>109</v>
      </c>
      <c r="E294" t="s">
        <v>156</v>
      </c>
      <c r="F294" t="s">
        <v>560</v>
      </c>
      <c r="G294" t="e">
        <f>VLOOKUP(A:A,INVENTÁRIO_05_2025!A:A,1,0)</f>
        <v>#N/A</v>
      </c>
    </row>
    <row r="295" spans="1:7" ht="11.25" customHeight="1">
      <c r="A295" t="s">
        <v>532</v>
      </c>
      <c r="B295" t="s">
        <v>61</v>
      </c>
      <c r="C295" t="s">
        <v>51</v>
      </c>
      <c r="D295" t="s">
        <v>109</v>
      </c>
      <c r="E295" t="s">
        <v>156</v>
      </c>
      <c r="F295" t="s">
        <v>560</v>
      </c>
      <c r="G295" t="e">
        <f>VLOOKUP(A:A,INVENTÁRIO_05_2025!A:A,1,0)</f>
        <v>#N/A</v>
      </c>
    </row>
    <row r="296" spans="1:7" ht="11.25" customHeight="1">
      <c r="A296" t="s">
        <v>533</v>
      </c>
      <c r="B296" t="s">
        <v>61</v>
      </c>
      <c r="C296" t="s">
        <v>51</v>
      </c>
      <c r="D296" t="s">
        <v>109</v>
      </c>
      <c r="E296" t="s">
        <v>156</v>
      </c>
      <c r="F296" t="s">
        <v>560</v>
      </c>
      <c r="G296" t="str">
        <f>VLOOKUP(A:A,INVENTÁRIO_05_2025!A:A,1,0)</f>
        <v>SSP0200</v>
      </c>
    </row>
    <row r="297" spans="1:7" ht="11.25" customHeight="1">
      <c r="A297" t="s">
        <v>622</v>
      </c>
      <c r="B297" t="s">
        <v>50</v>
      </c>
      <c r="C297" t="s">
        <v>51</v>
      </c>
      <c r="D297" t="s">
        <v>295</v>
      </c>
      <c r="E297" t="s">
        <v>156</v>
      </c>
      <c r="F297" t="s">
        <v>560</v>
      </c>
      <c r="G297" t="str">
        <f>VLOOKUP(A:A,INVENTÁRIO_05_2025!A:A,1,0)</f>
        <v>TP_REDHAT9.4_16102024</v>
      </c>
    </row>
    <row r="298" spans="1:7" ht="11.25" customHeight="1">
      <c r="A298" t="s">
        <v>534</v>
      </c>
      <c r="B298" t="s">
        <v>61</v>
      </c>
      <c r="C298" t="s">
        <v>51</v>
      </c>
      <c r="D298" t="s">
        <v>276</v>
      </c>
      <c r="E298" t="s">
        <v>156</v>
      </c>
      <c r="F298" t="s">
        <v>560</v>
      </c>
      <c r="G298" t="str">
        <f>VLOOKUP(A:A,INVENTÁRIO_05_2025!A:A,1,0)</f>
        <v>SPRDAPVPRGRU03</v>
      </c>
    </row>
    <row r="299" spans="1:7" ht="11.25" customHeight="1">
      <c r="A299" t="s">
        <v>535</v>
      </c>
      <c r="B299" t="s">
        <v>61</v>
      </c>
      <c r="C299" t="s">
        <v>51</v>
      </c>
      <c r="D299" t="s">
        <v>276</v>
      </c>
      <c r="E299" t="s">
        <v>156</v>
      </c>
      <c r="F299" t="s">
        <v>560</v>
      </c>
      <c r="G299" t="str">
        <f>VLOOKUP(A:A,INVENTÁRIO_05_2025!A:A,1,0)</f>
        <v>SPRDAPVPRGRU04</v>
      </c>
    </row>
    <row r="300" spans="1:7" ht="11.25" customHeight="1">
      <c r="A300" t="s">
        <v>536</v>
      </c>
      <c r="B300" t="s">
        <v>61</v>
      </c>
      <c r="C300" t="s">
        <v>51</v>
      </c>
      <c r="D300" t="s">
        <v>276</v>
      </c>
      <c r="E300" t="s">
        <v>156</v>
      </c>
      <c r="F300" t="s">
        <v>560</v>
      </c>
      <c r="G300" t="str">
        <f>VLOOKUP(A:A,INVENTÁRIO_05_2025!A:A,1,0)</f>
        <v>SPRDAPVPRGRU05</v>
      </c>
    </row>
    <row r="301" spans="1:7" ht="11.25" customHeight="1">
      <c r="A301" t="s">
        <v>537</v>
      </c>
      <c r="B301" t="s">
        <v>61</v>
      </c>
      <c r="C301" t="s">
        <v>51</v>
      </c>
      <c r="D301" t="s">
        <v>276</v>
      </c>
      <c r="E301" t="s">
        <v>156</v>
      </c>
      <c r="F301" t="s">
        <v>560</v>
      </c>
      <c r="G301" t="str">
        <f>VLOOKUP(A:A,INVENTÁRIO_05_2025!A:A,1,0)</f>
        <v>SPRDAPVPRGRU06</v>
      </c>
    </row>
    <row r="302" spans="1:7" ht="11.25" customHeight="1">
      <c r="A302" t="s">
        <v>538</v>
      </c>
      <c r="B302" t="s">
        <v>61</v>
      </c>
      <c r="C302" t="s">
        <v>51</v>
      </c>
      <c r="D302" t="s">
        <v>114</v>
      </c>
      <c r="E302" t="s">
        <v>156</v>
      </c>
      <c r="F302" t="s">
        <v>560</v>
      </c>
      <c r="G302" t="str">
        <f>VLOOKUP(A:A,INVENTÁRIO_05_2025!A:A,1,0)</f>
        <v>SPRDAPGLPIGRU01</v>
      </c>
    </row>
    <row r="303" spans="1:7" ht="11.25" customHeight="1">
      <c r="A303" t="s">
        <v>539</v>
      </c>
      <c r="B303" t="s">
        <v>61</v>
      </c>
      <c r="C303" t="s">
        <v>51</v>
      </c>
      <c r="D303" t="s">
        <v>114</v>
      </c>
      <c r="E303" t="s">
        <v>156</v>
      </c>
      <c r="F303" t="s">
        <v>560</v>
      </c>
      <c r="G303" t="str">
        <f>VLOOKUP(A:A,INVENTÁRIO_05_2025!A:A,1,0)</f>
        <v>SPRDAPGLPIGRU02</v>
      </c>
    </row>
    <row r="304" spans="1:7" ht="11.25" customHeight="1">
      <c r="A304" t="s">
        <v>540</v>
      </c>
      <c r="B304" t="s">
        <v>61</v>
      </c>
      <c r="C304" t="s">
        <v>51</v>
      </c>
      <c r="D304" t="s">
        <v>114</v>
      </c>
      <c r="E304" t="s">
        <v>156</v>
      </c>
      <c r="F304" t="s">
        <v>560</v>
      </c>
      <c r="G304" t="str">
        <f>VLOOKUP(A:A,INVENTÁRIO_05_2025!A:A,1,0)</f>
        <v>SPRDAPGRFGRU01</v>
      </c>
    </row>
    <row r="305" spans="1:7" ht="11.25" customHeight="1">
      <c r="A305" t="s">
        <v>541</v>
      </c>
      <c r="B305" t="s">
        <v>61</v>
      </c>
      <c r="C305" t="s">
        <v>51</v>
      </c>
      <c r="D305" t="s">
        <v>114</v>
      </c>
      <c r="E305" t="s">
        <v>156</v>
      </c>
      <c r="F305" t="s">
        <v>560</v>
      </c>
      <c r="G305" t="str">
        <f>VLOOKUP(A:A,INVENTÁRIO_05_2025!A:A,1,0)</f>
        <v>SPRDAPPRMGRU01</v>
      </c>
    </row>
    <row r="306" spans="1:7" ht="11.25" customHeight="1">
      <c r="A306" t="s">
        <v>542</v>
      </c>
      <c r="B306" t="s">
        <v>61</v>
      </c>
      <c r="C306" t="s">
        <v>51</v>
      </c>
      <c r="D306" t="s">
        <v>114</v>
      </c>
      <c r="E306" t="s">
        <v>156</v>
      </c>
      <c r="F306" t="s">
        <v>560</v>
      </c>
      <c r="G306" t="str">
        <f>VLOOKUP(A:A,INVENTÁRIO_05_2025!A:A,1,0)</f>
        <v>SPRDAPRMAGRU01</v>
      </c>
    </row>
    <row r="307" spans="1:7" ht="11.25" customHeight="1">
      <c r="A307" t="s">
        <v>543</v>
      </c>
      <c r="B307" t="s">
        <v>61</v>
      </c>
      <c r="C307" t="s">
        <v>51</v>
      </c>
      <c r="D307" t="s">
        <v>114</v>
      </c>
      <c r="E307" t="s">
        <v>156</v>
      </c>
      <c r="F307" t="s">
        <v>560</v>
      </c>
      <c r="G307" t="str">
        <f>VLOOKUP(A:A,INVENTÁRIO_05_2025!A:A,1,0)</f>
        <v>SPRDAPRMAGRU02</v>
      </c>
    </row>
    <row r="308" spans="1:7" ht="11.25" customHeight="1">
      <c r="A308" t="s">
        <v>544</v>
      </c>
      <c r="B308" t="s">
        <v>61</v>
      </c>
      <c r="C308" t="s">
        <v>51</v>
      </c>
      <c r="D308" t="s">
        <v>114</v>
      </c>
      <c r="E308" t="s">
        <v>156</v>
      </c>
      <c r="F308" t="s">
        <v>560</v>
      </c>
      <c r="G308" t="str">
        <f>VLOOKUP(A:A,INVENTÁRIO_05_2025!A:A,1,0)</f>
        <v>SPRDAPRMAGRU03</v>
      </c>
    </row>
    <row r="309" spans="1:7" ht="11.25" customHeight="1">
      <c r="A309" t="s">
        <v>545</v>
      </c>
      <c r="B309" t="s">
        <v>61</v>
      </c>
      <c r="C309" t="s">
        <v>51</v>
      </c>
      <c r="D309" t="s">
        <v>114</v>
      </c>
      <c r="E309" t="s">
        <v>156</v>
      </c>
      <c r="F309" t="s">
        <v>560</v>
      </c>
      <c r="G309" t="str">
        <f>VLOOKUP(A:A,INVENTÁRIO_05_2025!A:A,1,0)</f>
        <v>SPRDAPRMAGRU05</v>
      </c>
    </row>
    <row r="310" spans="1:7" ht="11.25" customHeight="1">
      <c r="A310" t="s">
        <v>546</v>
      </c>
      <c r="B310" t="s">
        <v>61</v>
      </c>
      <c r="C310" t="s">
        <v>51</v>
      </c>
      <c r="D310" t="s">
        <v>114</v>
      </c>
      <c r="E310" t="s">
        <v>156</v>
      </c>
      <c r="F310" t="s">
        <v>560</v>
      </c>
      <c r="G310" t="str">
        <f>VLOOKUP(A:A,INVENTÁRIO_05_2025!A:A,1,0)</f>
        <v>SPRDAPRPGRU13</v>
      </c>
    </row>
    <row r="311" spans="1:7" ht="11.25" customHeight="1">
      <c r="A311" t="s">
        <v>547</v>
      </c>
      <c r="B311" t="s">
        <v>61</v>
      </c>
      <c r="C311" t="s">
        <v>51</v>
      </c>
      <c r="D311" t="s">
        <v>114</v>
      </c>
      <c r="E311" t="s">
        <v>156</v>
      </c>
      <c r="F311" t="s">
        <v>560</v>
      </c>
      <c r="G311" t="str">
        <f>VLOOKUP(A:A,INVENTÁRIO_05_2025!A:A,1,0)</f>
        <v>SPRDAPTSGRU05</v>
      </c>
    </row>
    <row r="312" spans="1:7" ht="11.25" customHeight="1">
      <c r="A312" t="s">
        <v>548</v>
      </c>
      <c r="B312" t="s">
        <v>61</v>
      </c>
      <c r="C312" t="s">
        <v>51</v>
      </c>
      <c r="D312" t="s">
        <v>114</v>
      </c>
      <c r="E312" t="s">
        <v>156</v>
      </c>
      <c r="F312" t="s">
        <v>560</v>
      </c>
      <c r="G312" t="e">
        <f>VLOOKUP(A:A,INVENTÁRIO_05_2025!A:A,1,0)</f>
        <v>#N/A</v>
      </c>
    </row>
    <row r="313" spans="1:7" ht="11.25" customHeight="1">
      <c r="A313" t="s">
        <v>549</v>
      </c>
      <c r="B313" t="s">
        <v>61</v>
      </c>
      <c r="C313" t="s">
        <v>51</v>
      </c>
      <c r="D313" t="s">
        <v>114</v>
      </c>
      <c r="E313" t="s">
        <v>156</v>
      </c>
      <c r="F313" t="s">
        <v>560</v>
      </c>
      <c r="G313" t="e">
        <f>VLOOKUP(A:A,INVENTÁRIO_05_2025!A:A,1,0)</f>
        <v>#N/A</v>
      </c>
    </row>
    <row r="314" spans="1:7" ht="11.25" customHeight="1">
      <c r="A314" t="s">
        <v>552</v>
      </c>
      <c r="B314" t="s">
        <v>61</v>
      </c>
      <c r="C314" t="s">
        <v>51</v>
      </c>
      <c r="D314" t="s">
        <v>114</v>
      </c>
      <c r="E314" t="s">
        <v>156</v>
      </c>
      <c r="F314" t="s">
        <v>560</v>
      </c>
      <c r="G314" t="str">
        <f>VLOOKUP(A:A,INVENTÁRIO_05_2025!A:A,1,0)</f>
        <v>SPRDMONGRU01</v>
      </c>
    </row>
    <row r="315" spans="1:7" ht="11.25" customHeight="1">
      <c r="A315" t="s">
        <v>624</v>
      </c>
      <c r="B315" t="s">
        <v>50</v>
      </c>
      <c r="C315" t="s">
        <v>51</v>
      </c>
      <c r="D315" t="s">
        <v>114</v>
      </c>
      <c r="E315" t="s">
        <v>156</v>
      </c>
      <c r="F315" t="s">
        <v>560</v>
      </c>
      <c r="G315" t="str">
        <f>VLOOKUP(A:A,INVENTÁRIO_05_2025!A:A,1,0)</f>
        <v>TP_UBUNTU_24</v>
      </c>
    </row>
    <row r="316" spans="1:7" ht="11.25" customHeight="1">
      <c r="A316" t="s">
        <v>554</v>
      </c>
      <c r="B316" t="s">
        <v>61</v>
      </c>
      <c r="C316" t="s">
        <v>51</v>
      </c>
      <c r="D316" t="s">
        <v>555</v>
      </c>
      <c r="E316" t="s">
        <v>156</v>
      </c>
      <c r="F316" t="s">
        <v>560</v>
      </c>
      <c r="G316" t="str">
        <f>VLOOKUP(A:A,INVENTÁRIO_05_2025!A:A,1,0)</f>
        <v>SPRDAPVCSAGRU01</v>
      </c>
    </row>
    <row r="317" spans="1:7" ht="11.25" customHeight="1">
      <c r="A317" t="s">
        <v>282</v>
      </c>
      <c r="B317" t="s">
        <v>61</v>
      </c>
      <c r="C317" t="s">
        <v>51</v>
      </c>
      <c r="D317" t="s">
        <v>283</v>
      </c>
      <c r="E317" t="s">
        <v>156</v>
      </c>
      <c r="F317" t="s">
        <v>75</v>
      </c>
      <c r="G317" t="str">
        <f>VLOOKUP(A:A,INVENTÁRIO_05_2025!A:A,1,0)</f>
        <v>sprdvcsagru01</v>
      </c>
    </row>
    <row r="318" spans="1:7" ht="11.25" customHeight="1">
      <c r="A318" t="s">
        <v>308</v>
      </c>
      <c r="B318" t="s">
        <v>61</v>
      </c>
      <c r="C318" t="s">
        <v>51</v>
      </c>
      <c r="D318" t="s">
        <v>114</v>
      </c>
      <c r="E318" t="s">
        <v>156</v>
      </c>
      <c r="F318" t="s">
        <v>75</v>
      </c>
      <c r="G318" t="str">
        <f>VLOOKUP(A:A,INVENTÁRIO_05_2025!A:A,1,0)</f>
        <v>SPRDAPGFNGRU02</v>
      </c>
    </row>
    <row r="319" spans="1:7" ht="11.25" customHeight="1">
      <c r="A319" t="s">
        <v>580</v>
      </c>
      <c r="B319" t="s">
        <v>61</v>
      </c>
      <c r="C319" t="s">
        <v>51</v>
      </c>
      <c r="D319" t="s">
        <v>114</v>
      </c>
      <c r="E319" t="s">
        <v>156</v>
      </c>
      <c r="F319" t="s">
        <v>75</v>
      </c>
      <c r="G319" t="str">
        <f>VLOOKUP(A:A,INVENTÁRIO_05_2025!A:A,1,0)</f>
        <v>SPRDAPOTRSGRU02</v>
      </c>
    </row>
    <row r="320" spans="1:7" ht="11.25" customHeight="1">
      <c r="A320" t="s">
        <v>309</v>
      </c>
      <c r="B320" t="s">
        <v>61</v>
      </c>
      <c r="C320" t="s">
        <v>51</v>
      </c>
      <c r="D320" t="s">
        <v>114</v>
      </c>
      <c r="E320" t="s">
        <v>156</v>
      </c>
      <c r="F320" t="s">
        <v>75</v>
      </c>
      <c r="G320" t="str">
        <f>VLOOKUP(A:A,INVENTÁRIO_05_2025!A:A,1,0)</f>
        <v>SPRDAPRMAGRU04</v>
      </c>
    </row>
    <row r="321" spans="1:7" ht="11.25" customHeight="1">
      <c r="A321" t="s">
        <v>312</v>
      </c>
      <c r="B321" t="s">
        <v>61</v>
      </c>
      <c r="C321" t="s">
        <v>51</v>
      </c>
      <c r="D321" t="s">
        <v>114</v>
      </c>
      <c r="E321" t="s">
        <v>156</v>
      </c>
      <c r="F321" t="s">
        <v>75</v>
      </c>
      <c r="G321" t="str">
        <f>VLOOKUP(A:A,INVENTÁRIO_05_2025!A:A,1,0)</f>
        <v>SPRDAPRPGRU09</v>
      </c>
    </row>
    <row r="322" spans="1:7" ht="11.25" customHeight="1">
      <c r="A322" t="s">
        <v>313</v>
      </c>
      <c r="B322" t="s">
        <v>61</v>
      </c>
      <c r="C322" t="s">
        <v>51</v>
      </c>
      <c r="D322" t="s">
        <v>114</v>
      </c>
      <c r="E322" t="s">
        <v>156</v>
      </c>
      <c r="F322" t="s">
        <v>75</v>
      </c>
      <c r="G322" t="str">
        <f>VLOOKUP(A:A,INVENTÁRIO_05_2025!A:A,1,0)</f>
        <v>SPRDAPRPGRU10</v>
      </c>
    </row>
    <row r="323" spans="1:7" ht="11.25" customHeight="1">
      <c r="A323" t="s">
        <v>314</v>
      </c>
      <c r="B323" t="s">
        <v>61</v>
      </c>
      <c r="C323" t="s">
        <v>51</v>
      </c>
      <c r="D323" t="s">
        <v>114</v>
      </c>
      <c r="E323" t="s">
        <v>156</v>
      </c>
      <c r="F323" t="s">
        <v>75</v>
      </c>
      <c r="G323" t="str">
        <f>VLOOKUP(A:A,INVENTÁRIO_05_2025!A:A,1,0)</f>
        <v>SPRDAPRPGRU12</v>
      </c>
    </row>
    <row r="324" spans="1:7" ht="11.25" customHeight="1">
      <c r="A324" t="s">
        <v>315</v>
      </c>
      <c r="B324" t="s">
        <v>61</v>
      </c>
      <c r="C324" t="s">
        <v>51</v>
      </c>
      <c r="D324" t="s">
        <v>114</v>
      </c>
      <c r="E324" t="s">
        <v>156</v>
      </c>
      <c r="F324" t="s">
        <v>75</v>
      </c>
      <c r="G324" t="str">
        <f>VLOOKUP(A:A,INVENTÁRIO_05_2025!A:A,1,0)</f>
        <v>SPRDBDOTRSGRU01</v>
      </c>
    </row>
    <row r="325" spans="1:7" ht="11.25" customHeight="1">
      <c r="A325" t="s">
        <v>551</v>
      </c>
      <c r="B325" t="s">
        <v>61</v>
      </c>
      <c r="C325" t="s">
        <v>51</v>
      </c>
      <c r="D325" t="s">
        <v>114</v>
      </c>
      <c r="E325" t="s">
        <v>156</v>
      </c>
      <c r="F325" t="s">
        <v>75</v>
      </c>
      <c r="G325" t="str">
        <f>VLOOKUP(A:A,INVENTÁRIO_05_2025!A:A,1,0)</f>
        <v>SPRDBDOTRSGRU02</v>
      </c>
    </row>
    <row r="326" spans="1:7" ht="11.25" customHeight="1">
      <c r="A326" t="s">
        <v>316</v>
      </c>
      <c r="B326" t="s">
        <v>61</v>
      </c>
      <c r="C326" t="s">
        <v>51</v>
      </c>
      <c r="D326" t="s">
        <v>114</v>
      </c>
      <c r="E326" t="s">
        <v>156</v>
      </c>
      <c r="F326" t="s">
        <v>75</v>
      </c>
      <c r="G326" t="str">
        <f>VLOOKUP(A:A,INVENTÁRIO_05_2025!A:A,1,0)</f>
        <v>SPRDMYSQLGRU03</v>
      </c>
    </row>
    <row r="327" spans="1:7" ht="11.25" customHeight="1">
      <c r="A327" t="s">
        <v>317</v>
      </c>
      <c r="B327" t="s">
        <v>61</v>
      </c>
      <c r="C327" t="s">
        <v>51</v>
      </c>
      <c r="D327" t="s">
        <v>114</v>
      </c>
      <c r="E327" t="s">
        <v>156</v>
      </c>
      <c r="F327" t="s">
        <v>75</v>
      </c>
      <c r="G327" t="str">
        <f>VLOOKUP(A:A,INVENTÁRIO_05_2025!A:A,1,0)</f>
        <v>SPRDNTDGRU03</v>
      </c>
    </row>
    <row r="328" spans="1:7" ht="11.25" customHeight="1">
      <c r="A328" t="s">
        <v>318</v>
      </c>
      <c r="B328" t="s">
        <v>61</v>
      </c>
      <c r="C328" t="s">
        <v>51</v>
      </c>
      <c r="D328" t="s">
        <v>114</v>
      </c>
      <c r="E328" t="s">
        <v>156</v>
      </c>
      <c r="F328" t="s">
        <v>75</v>
      </c>
      <c r="G328" t="str">
        <f>VLOOKUP(A:A,INVENTÁRIO_05_2025!A:A,1,0)</f>
        <v>SPRDOTRSGRU01</v>
      </c>
    </row>
    <row r="329" spans="1:7" ht="11.25" customHeight="1">
      <c r="A329" t="s">
        <v>320</v>
      </c>
      <c r="B329" t="s">
        <v>61</v>
      </c>
      <c r="C329" t="s">
        <v>51</v>
      </c>
      <c r="D329" t="s">
        <v>114</v>
      </c>
      <c r="E329" t="s">
        <v>156</v>
      </c>
      <c r="F329" t="s">
        <v>75</v>
      </c>
      <c r="G329" t="str">
        <f>VLOOKUP(A:A,INVENTÁRIO_05_2025!A:A,1,0)</f>
        <v>SPRDZBGRU01</v>
      </c>
    </row>
    <row r="330" spans="1:7" ht="11.25" customHeight="1">
      <c r="A330" t="s">
        <v>321</v>
      </c>
      <c r="B330" t="s">
        <v>61</v>
      </c>
      <c r="C330" t="s">
        <v>51</v>
      </c>
      <c r="D330" t="s">
        <v>114</v>
      </c>
      <c r="E330" t="s">
        <v>156</v>
      </c>
      <c r="F330" t="s">
        <v>75</v>
      </c>
      <c r="G330" t="str">
        <f>VLOOKUP(A:A,INVENTÁRIO_05_2025!A:A,1,0)</f>
        <v>SPRDZBGRU02</v>
      </c>
    </row>
    <row r="331" spans="1:7" ht="11.25" customHeight="1">
      <c r="A331" t="s">
        <v>322</v>
      </c>
      <c r="B331" t="s">
        <v>61</v>
      </c>
      <c r="C331" t="s">
        <v>51</v>
      </c>
      <c r="D331" t="s">
        <v>114</v>
      </c>
      <c r="E331" t="s">
        <v>156</v>
      </c>
      <c r="F331" t="s">
        <v>75</v>
      </c>
      <c r="G331" t="str">
        <f>VLOOKUP(A:A,INVENTÁRIO_05_2025!A:A,1,0)</f>
        <v>SPRDZBGRU03</v>
      </c>
    </row>
    <row r="332" spans="1:7" ht="11.25" customHeight="1">
      <c r="A332" t="s">
        <v>323</v>
      </c>
      <c r="B332" t="s">
        <v>61</v>
      </c>
      <c r="C332" t="s">
        <v>51</v>
      </c>
      <c r="D332" t="s">
        <v>114</v>
      </c>
      <c r="E332" t="s">
        <v>156</v>
      </c>
      <c r="F332" t="s">
        <v>75</v>
      </c>
      <c r="G332" t="str">
        <f>VLOOKUP(A:A,INVENTÁRIO_05_2025!A:A,1,0)</f>
        <v>SPRDZBGRU04</v>
      </c>
    </row>
    <row r="333" spans="1:7" ht="11.25" customHeight="1">
      <c r="A333" t="s">
        <v>324</v>
      </c>
      <c r="B333" t="s">
        <v>61</v>
      </c>
      <c r="C333" t="s">
        <v>51</v>
      </c>
      <c r="D333" t="s">
        <v>114</v>
      </c>
      <c r="E333" t="s">
        <v>156</v>
      </c>
      <c r="F333" t="s">
        <v>75</v>
      </c>
      <c r="G333" t="str">
        <f>VLOOKUP(A:A,INVENTÁRIO_05_2025!A:A,1,0)</f>
        <v>SPRDZBGRU05</v>
      </c>
    </row>
    <row r="334" spans="1:7" ht="11.25" customHeight="1">
      <c r="A334" t="s">
        <v>306</v>
      </c>
      <c r="B334" t="s">
        <v>61</v>
      </c>
      <c r="C334" t="s">
        <v>51</v>
      </c>
      <c r="D334" t="s">
        <v>276</v>
      </c>
      <c r="E334" t="s">
        <v>156</v>
      </c>
      <c r="F334" t="s">
        <v>75</v>
      </c>
      <c r="G334" t="str">
        <f>VLOOKUP(A:A,INVENTÁRIO_05_2025!A:A,1,0)</f>
        <v>SPRDAPVPRGRU01</v>
      </c>
    </row>
    <row r="335" spans="1:7" ht="11.25" customHeight="1">
      <c r="A335" t="s">
        <v>307</v>
      </c>
      <c r="B335" t="s">
        <v>61</v>
      </c>
      <c r="C335" t="s">
        <v>51</v>
      </c>
      <c r="D335" t="s">
        <v>276</v>
      </c>
      <c r="E335" t="s">
        <v>156</v>
      </c>
      <c r="F335" t="s">
        <v>75</v>
      </c>
      <c r="G335" t="str">
        <f>VLOOKUP(A:A,INVENTÁRIO_05_2025!A:A,1,0)</f>
        <v>SPRDAPVPRGRU02</v>
      </c>
    </row>
    <row r="336" spans="1:7" ht="11.25" customHeight="1">
      <c r="A336" t="s">
        <v>287</v>
      </c>
      <c r="B336" t="s">
        <v>61</v>
      </c>
      <c r="C336" t="s">
        <v>51</v>
      </c>
      <c r="D336" t="s">
        <v>288</v>
      </c>
      <c r="E336" t="s">
        <v>156</v>
      </c>
      <c r="F336" t="s">
        <v>75</v>
      </c>
      <c r="G336" t="str">
        <f>VLOOKUP(A:A,INVENTÁRIO_05_2025!A:A,1,0)</f>
        <v>sprdvxrmgru01</v>
      </c>
    </row>
    <row r="337" spans="1:7" ht="11.25" customHeight="1">
      <c r="A337" t="s">
        <v>275</v>
      </c>
      <c r="B337" t="s">
        <v>61</v>
      </c>
      <c r="C337" t="s">
        <v>51</v>
      </c>
      <c r="D337" t="s">
        <v>276</v>
      </c>
      <c r="E337" t="s">
        <v>156</v>
      </c>
      <c r="F337" t="s">
        <v>75</v>
      </c>
      <c r="G337" t="str">
        <f>VLOOKUP(A:A,INVENTÁRIO_05_2025!A:A,1,0)</f>
        <v>SPRDVCCHOGRU01</v>
      </c>
    </row>
    <row r="338" spans="1:7" ht="11.25" customHeight="1">
      <c r="A338" t="s">
        <v>626</v>
      </c>
      <c r="B338" t="s">
        <v>61</v>
      </c>
      <c r="C338" t="s">
        <v>51</v>
      </c>
      <c r="D338" t="s">
        <v>295</v>
      </c>
      <c r="E338" t="s">
        <v>156</v>
      </c>
      <c r="F338" t="s">
        <v>75</v>
      </c>
      <c r="G338" t="str">
        <f>VLOOKUP(A:A,INVENTÁRIO_05_2025!A:A,1,0)</f>
        <v>SPRDAPCMSM01</v>
      </c>
    </row>
    <row r="339" spans="1:7" ht="11.25" customHeight="1">
      <c r="A339" t="s">
        <v>627</v>
      </c>
      <c r="B339" t="s">
        <v>61</v>
      </c>
      <c r="C339" t="s">
        <v>51</v>
      </c>
      <c r="D339" t="s">
        <v>295</v>
      </c>
      <c r="E339" t="s">
        <v>156</v>
      </c>
      <c r="F339" t="s">
        <v>75</v>
      </c>
      <c r="G339" t="str">
        <f>VLOOKUP(A:A,INVENTÁRIO_05_2025!A:A,1,0)</f>
        <v>SPRDAPCMSP01</v>
      </c>
    </row>
    <row r="340" spans="1:7" ht="11.25" customHeight="1">
      <c r="A340" t="s">
        <v>628</v>
      </c>
      <c r="B340" t="s">
        <v>61</v>
      </c>
      <c r="C340" t="s">
        <v>51</v>
      </c>
      <c r="D340" t="s">
        <v>295</v>
      </c>
      <c r="E340" t="s">
        <v>156</v>
      </c>
      <c r="F340" t="s">
        <v>75</v>
      </c>
      <c r="G340" t="str">
        <f>VLOOKUP(A:A,INVENTÁRIO_05_2025!A:A,1,0)</f>
        <v>SPRDAPCMSP02</v>
      </c>
    </row>
    <row r="341" spans="1:7" ht="11.25" customHeight="1">
      <c r="A341" t="s">
        <v>629</v>
      </c>
      <c r="B341" t="s">
        <v>61</v>
      </c>
      <c r="C341" t="s">
        <v>51</v>
      </c>
      <c r="D341" t="s">
        <v>295</v>
      </c>
      <c r="E341" t="s">
        <v>156</v>
      </c>
      <c r="F341" t="s">
        <v>75</v>
      </c>
      <c r="G341" t="str">
        <f>VLOOKUP(A:A,INVENTÁRIO_05_2025!A:A,1,0)</f>
        <v>SPRDAPCMSP03</v>
      </c>
    </row>
    <row r="342" spans="1:7" ht="11.25" customHeight="1">
      <c r="A342" t="s">
        <v>630</v>
      </c>
      <c r="B342" t="s">
        <v>61</v>
      </c>
      <c r="C342" t="s">
        <v>51</v>
      </c>
      <c r="D342" t="s">
        <v>295</v>
      </c>
      <c r="E342" t="s">
        <v>156</v>
      </c>
      <c r="F342" t="s">
        <v>75</v>
      </c>
      <c r="G342" t="str">
        <f>VLOOKUP(A:A,INVENTÁRIO_05_2025!A:A,1,0)</f>
        <v>SPRDAPCMSW01</v>
      </c>
    </row>
    <row r="343" spans="1:7" ht="11.25" customHeight="1">
      <c r="A343" t="s">
        <v>631</v>
      </c>
      <c r="B343" t="s">
        <v>61</v>
      </c>
      <c r="C343" t="s">
        <v>51</v>
      </c>
      <c r="D343" t="s">
        <v>295</v>
      </c>
      <c r="E343" t="s">
        <v>156</v>
      </c>
      <c r="F343" t="s">
        <v>75</v>
      </c>
      <c r="G343" t="str">
        <f>VLOOKUP(A:A,INVENTÁRIO_05_2025!A:A,1,0)</f>
        <v>SPRDAPCMSW02</v>
      </c>
    </row>
    <row r="344" spans="1:7" ht="11.25" customHeight="1">
      <c r="A344" t="s">
        <v>294</v>
      </c>
      <c r="B344" t="s">
        <v>61</v>
      </c>
      <c r="C344" t="s">
        <v>51</v>
      </c>
      <c r="D344" t="s">
        <v>295</v>
      </c>
      <c r="E344" t="s">
        <v>156</v>
      </c>
      <c r="F344" t="s">
        <v>75</v>
      </c>
      <c r="G344" t="str">
        <f>VLOOKUP(A:A,INVENTÁRIO_05_2025!A:A,1,0)</f>
        <v>SPRDAPCUPSGRU03</v>
      </c>
    </row>
    <row r="345" spans="1:7" ht="11.25" customHeight="1">
      <c r="A345" t="s">
        <v>296</v>
      </c>
      <c r="B345" t="s">
        <v>61</v>
      </c>
      <c r="C345" t="s">
        <v>51</v>
      </c>
      <c r="D345" t="s">
        <v>295</v>
      </c>
      <c r="E345" t="s">
        <v>156</v>
      </c>
      <c r="F345" t="s">
        <v>75</v>
      </c>
      <c r="G345" t="str">
        <f>VLOOKUP(A:A,INVENTÁRIO_05_2025!A:A,1,0)</f>
        <v>SPRDAPCUPSGRU04</v>
      </c>
    </row>
    <row r="346" spans="1:7" ht="11.25" customHeight="1">
      <c r="A346" t="s">
        <v>300</v>
      </c>
      <c r="B346" t="s">
        <v>61</v>
      </c>
      <c r="C346" t="s">
        <v>51</v>
      </c>
      <c r="D346" t="s">
        <v>295</v>
      </c>
      <c r="E346" t="s">
        <v>156</v>
      </c>
      <c r="F346" t="s">
        <v>75</v>
      </c>
      <c r="G346" t="str">
        <f>VLOOKUP(A:A,INVENTÁRIO_05_2025!A:A,1,0)</f>
        <v>SPRDAPNFSGRU01</v>
      </c>
    </row>
    <row r="347" spans="1:7" ht="11.25" customHeight="1">
      <c r="A347" t="s">
        <v>301</v>
      </c>
      <c r="B347" t="s">
        <v>61</v>
      </c>
      <c r="C347" t="s">
        <v>51</v>
      </c>
      <c r="D347" t="s">
        <v>111</v>
      </c>
      <c r="E347" t="s">
        <v>156</v>
      </c>
      <c r="F347" t="s">
        <v>75</v>
      </c>
      <c r="G347" t="str">
        <f>VLOOKUP(A:A,INVENTÁRIO_05_2025!A:A,1,0)</f>
        <v>SPRDAPRPGRU14</v>
      </c>
    </row>
    <row r="348" spans="1:7" ht="11.25" customHeight="1">
      <c r="A348" t="s">
        <v>302</v>
      </c>
      <c r="B348" t="s">
        <v>61</v>
      </c>
      <c r="C348" t="s">
        <v>51</v>
      </c>
      <c r="D348" t="s">
        <v>111</v>
      </c>
      <c r="E348" t="s">
        <v>156</v>
      </c>
      <c r="F348" t="s">
        <v>75</v>
      </c>
      <c r="G348" t="str">
        <f>VLOOKUP(A:A,INVENTÁRIO_05_2025!A:A,1,0)</f>
        <v>SPRDAPRPGRU15</v>
      </c>
    </row>
    <row r="349" spans="1:7" ht="11.25" customHeight="1">
      <c r="A349" t="s">
        <v>291</v>
      </c>
      <c r="B349" t="s">
        <v>61</v>
      </c>
      <c r="C349" t="s">
        <v>51</v>
      </c>
      <c r="D349" t="s">
        <v>111</v>
      </c>
      <c r="E349" t="s">
        <v>156</v>
      </c>
      <c r="F349" t="s">
        <v>75</v>
      </c>
      <c r="G349" t="str">
        <f>VLOOKUP(A:A,INVENTÁRIO_05_2025!A:A,1,0)</f>
        <v>PRDRMADS02</v>
      </c>
    </row>
    <row r="350" spans="1:7" ht="11.25" customHeight="1">
      <c r="A350" t="s">
        <v>292</v>
      </c>
      <c r="B350" t="s">
        <v>61</v>
      </c>
      <c r="C350" t="s">
        <v>51</v>
      </c>
      <c r="D350" t="s">
        <v>111</v>
      </c>
      <c r="E350" t="s">
        <v>156</v>
      </c>
      <c r="F350" t="s">
        <v>75</v>
      </c>
      <c r="G350" t="str">
        <f>VLOOKUP(A:A,INVENTÁRIO_05_2025!A:A,1,0)</f>
        <v>SPRDAPCCPRGRU01</v>
      </c>
    </row>
    <row r="351" spans="1:7" ht="11.25" customHeight="1">
      <c r="A351" t="s">
        <v>293</v>
      </c>
      <c r="B351" t="s">
        <v>61</v>
      </c>
      <c r="C351" t="s">
        <v>51</v>
      </c>
      <c r="D351" t="s">
        <v>111</v>
      </c>
      <c r="E351" t="s">
        <v>156</v>
      </c>
      <c r="F351" t="s">
        <v>75</v>
      </c>
      <c r="G351" t="str">
        <f>VLOOKUP(A:A,INVENTÁRIO_05_2025!A:A,1,0)</f>
        <v>SPRDAPCCPRGRU02</v>
      </c>
    </row>
    <row r="352" spans="1:7" ht="11.25" customHeight="1">
      <c r="A352" t="s">
        <v>297</v>
      </c>
      <c r="B352" t="s">
        <v>61</v>
      </c>
      <c r="C352" t="s">
        <v>51</v>
      </c>
      <c r="D352" t="s">
        <v>109</v>
      </c>
      <c r="E352" t="s">
        <v>156</v>
      </c>
      <c r="F352" t="s">
        <v>75</v>
      </c>
      <c r="G352" t="str">
        <f>VLOOKUP(A:A,INVENTÁRIO_05_2025!A:A,1,0)</f>
        <v>SPRDAPIHSGRU01</v>
      </c>
    </row>
    <row r="353" spans="1:7" ht="11.25" customHeight="1">
      <c r="A353" t="s">
        <v>298</v>
      </c>
      <c r="B353" t="s">
        <v>61</v>
      </c>
      <c r="C353" t="s">
        <v>51</v>
      </c>
      <c r="D353" t="s">
        <v>109</v>
      </c>
      <c r="E353" t="s">
        <v>156</v>
      </c>
      <c r="F353" t="s">
        <v>75</v>
      </c>
      <c r="G353" t="str">
        <f>VLOOKUP(A:A,INVENTÁRIO_05_2025!A:A,1,0)</f>
        <v>SPRDAPIHSGRU02</v>
      </c>
    </row>
    <row r="354" spans="1:7" ht="11.25" customHeight="1">
      <c r="A354" t="s">
        <v>303</v>
      </c>
      <c r="B354" t="s">
        <v>61</v>
      </c>
      <c r="C354" t="s">
        <v>51</v>
      </c>
      <c r="D354" t="s">
        <v>111</v>
      </c>
      <c r="E354" t="s">
        <v>156</v>
      </c>
      <c r="F354" t="s">
        <v>75</v>
      </c>
      <c r="G354" t="str">
        <f>VLOOKUP(A:A,INVENTÁRIO_05_2025!A:A,1,0)</f>
        <v>SPRDAPNMCGRU01</v>
      </c>
    </row>
    <row r="355" spans="1:7" ht="11.25" customHeight="1">
      <c r="A355" t="s">
        <v>304</v>
      </c>
      <c r="B355" t="s">
        <v>61</v>
      </c>
      <c r="C355" t="s">
        <v>51</v>
      </c>
      <c r="D355" t="s">
        <v>111</v>
      </c>
      <c r="E355" t="s">
        <v>156</v>
      </c>
      <c r="F355" t="s">
        <v>75</v>
      </c>
      <c r="G355" t="str">
        <f>VLOOKUP(A:A,INVENTÁRIO_05_2025!A:A,1,0)</f>
        <v>SPRDAPNTWSGRU01</v>
      </c>
    </row>
    <row r="356" spans="1:7" ht="11.25" customHeight="1">
      <c r="A356" t="s">
        <v>305</v>
      </c>
      <c r="B356" t="s">
        <v>61</v>
      </c>
      <c r="C356" t="s">
        <v>51</v>
      </c>
      <c r="D356" t="s">
        <v>111</v>
      </c>
      <c r="E356" t="s">
        <v>156</v>
      </c>
      <c r="F356" t="s">
        <v>75</v>
      </c>
      <c r="G356" t="str">
        <f>VLOOKUP(A:A,INVENTÁRIO_05_2025!A:A,1,0)</f>
        <v>SPRDAPPOSTGRU01</v>
      </c>
    </row>
    <row r="357" spans="1:7" ht="11.25" customHeight="1">
      <c r="A357" t="s">
        <v>289</v>
      </c>
      <c r="B357" t="s">
        <v>61</v>
      </c>
      <c r="C357" t="s">
        <v>51</v>
      </c>
      <c r="D357" t="s">
        <v>85</v>
      </c>
      <c r="E357" t="s">
        <v>156</v>
      </c>
      <c r="F357" t="s">
        <v>75</v>
      </c>
      <c r="G357" t="str">
        <f>VLOOKUP(A:A,INVENTÁRIO_05_2025!A:A,1,0)</f>
        <v>SPRDAPNBKGRU01</v>
      </c>
    </row>
    <row r="358" spans="1:7" ht="11.25" customHeight="1">
      <c r="A358" t="s">
        <v>290</v>
      </c>
      <c r="B358" t="s">
        <v>61</v>
      </c>
      <c r="C358" t="s">
        <v>51</v>
      </c>
      <c r="D358" t="s">
        <v>85</v>
      </c>
      <c r="E358" t="s">
        <v>156</v>
      </c>
      <c r="F358" t="s">
        <v>75</v>
      </c>
      <c r="G358" t="str">
        <f>VLOOKUP(A:A,INVENTÁRIO_05_2025!A:A,1,0)</f>
        <v>SPRDSAPNASGRU01</v>
      </c>
    </row>
    <row r="359" spans="1:7" ht="11.25" customHeight="1">
      <c r="A359" t="s">
        <v>270</v>
      </c>
      <c r="B359" t="s">
        <v>61</v>
      </c>
      <c r="C359" t="s">
        <v>51</v>
      </c>
      <c r="D359" t="s">
        <v>271</v>
      </c>
      <c r="E359" t="s">
        <v>156</v>
      </c>
      <c r="F359" t="s">
        <v>75</v>
      </c>
      <c r="G359" t="str">
        <f>VLOOKUP(A:A,INVENTÁRIO_05_2025!A:A,1,0)</f>
        <v>SPRDAPDIPGRU01</v>
      </c>
    </row>
    <row r="360" spans="1:7" ht="11.25" customHeight="1">
      <c r="A360" t="s">
        <v>246</v>
      </c>
      <c r="B360" t="s">
        <v>61</v>
      </c>
      <c r="C360" t="s">
        <v>116</v>
      </c>
      <c r="D360" t="s">
        <v>247</v>
      </c>
      <c r="E360" t="s">
        <v>156</v>
      </c>
      <c r="F360" t="s">
        <v>75</v>
      </c>
      <c r="G360" t="str">
        <f>VLOOKUP(A:A,INVENTÁRIO_05_2025!A:A,1,0)</f>
        <v>SPRDAPBCBPGRU01</v>
      </c>
    </row>
    <row r="361" spans="1:7" ht="11.25" customHeight="1">
      <c r="A361" t="s">
        <v>248</v>
      </c>
      <c r="B361" t="s">
        <v>61</v>
      </c>
      <c r="C361" t="s">
        <v>116</v>
      </c>
      <c r="D361" t="s">
        <v>219</v>
      </c>
      <c r="E361" t="s">
        <v>156</v>
      </c>
      <c r="F361" t="s">
        <v>75</v>
      </c>
      <c r="G361" t="str">
        <f>VLOOKUP(A:A,INVENTÁRIO_05_2025!A:A,1,0)</f>
        <v>SPRDAPBCBPGRU02</v>
      </c>
    </row>
    <row r="362" spans="1:7" ht="11.25" customHeight="1">
      <c r="A362" t="s">
        <v>571</v>
      </c>
      <c r="B362" t="s">
        <v>61</v>
      </c>
      <c r="C362" t="s">
        <v>116</v>
      </c>
      <c r="D362" t="s">
        <v>572</v>
      </c>
      <c r="E362" t="s">
        <v>156</v>
      </c>
      <c r="F362" t="s">
        <v>75</v>
      </c>
      <c r="G362" t="str">
        <f>VLOOKUP(A:A,INVENTÁRIO_05_2025!A:A,1,0)</f>
        <v>SPRDAPCMSGRU10</v>
      </c>
    </row>
    <row r="363" spans="1:7" ht="11.25" customHeight="1">
      <c r="A363" t="s">
        <v>218</v>
      </c>
      <c r="B363" t="s">
        <v>61</v>
      </c>
      <c r="C363" t="s">
        <v>116</v>
      </c>
      <c r="D363" t="s">
        <v>219</v>
      </c>
      <c r="E363" t="s">
        <v>156</v>
      </c>
      <c r="F363" t="s">
        <v>75</v>
      </c>
      <c r="G363" t="str">
        <f>VLOOKUP(A:A,INVENTÁRIO_05_2025!A:A,1,0)</f>
        <v>SPRDAPESBGRU12</v>
      </c>
    </row>
    <row r="364" spans="1:7" ht="11.25" customHeight="1">
      <c r="A364" t="s">
        <v>632</v>
      </c>
      <c r="B364" t="s">
        <v>61</v>
      </c>
      <c r="C364" t="s">
        <v>116</v>
      </c>
      <c r="D364" t="s">
        <v>219</v>
      </c>
      <c r="E364" t="s">
        <v>156</v>
      </c>
      <c r="F364" t="s">
        <v>75</v>
      </c>
      <c r="G364" t="str">
        <f>VLOOKUP(A:A,INVENTÁRIO_05_2025!A:A,1,0)</f>
        <v>SPRDAPRIMAGRU01</v>
      </c>
    </row>
    <row r="365" spans="1:7" ht="11.25" customHeight="1">
      <c r="A365" t="s">
        <v>582</v>
      </c>
      <c r="B365" t="s">
        <v>61</v>
      </c>
      <c r="C365" t="s">
        <v>116</v>
      </c>
      <c r="D365" t="s">
        <v>572</v>
      </c>
      <c r="E365" t="s">
        <v>156</v>
      </c>
      <c r="F365" t="s">
        <v>75</v>
      </c>
      <c r="G365" t="str">
        <f>VLOOKUP(A:A,INVENTÁRIO_05_2025!A:A,1,0)</f>
        <v>SPRDBDHSQLGRU07</v>
      </c>
    </row>
    <row r="366" spans="1:7" ht="11.25" customHeight="1">
      <c r="A366" t="s">
        <v>583</v>
      </c>
      <c r="B366" t="s">
        <v>61</v>
      </c>
      <c r="C366" t="s">
        <v>116</v>
      </c>
      <c r="D366" t="s">
        <v>572</v>
      </c>
      <c r="E366" t="s">
        <v>156</v>
      </c>
      <c r="F366" t="s">
        <v>75</v>
      </c>
      <c r="G366" t="str">
        <f>VLOOKUP(A:A,INVENTÁRIO_05_2025!A:A,1,0)</f>
        <v>SPRDBDHSQLGRU09</v>
      </c>
    </row>
    <row r="367" spans="1:7" ht="11.25" customHeight="1">
      <c r="A367" t="s">
        <v>584</v>
      </c>
      <c r="B367" t="s">
        <v>61</v>
      </c>
      <c r="C367" t="s">
        <v>116</v>
      </c>
      <c r="D367" t="s">
        <v>188</v>
      </c>
      <c r="E367" t="s">
        <v>156</v>
      </c>
      <c r="F367" t="s">
        <v>75</v>
      </c>
      <c r="G367" t="str">
        <f>VLOOKUP(A:A,INVENTÁRIO_05_2025!A:A,1,0)</f>
        <v>SPRDBDHSQLGRU10</v>
      </c>
    </row>
    <row r="368" spans="1:7" ht="11.25" customHeight="1">
      <c r="A368" t="s">
        <v>633</v>
      </c>
      <c r="B368" t="s">
        <v>61</v>
      </c>
      <c r="C368" t="s">
        <v>116</v>
      </c>
      <c r="D368" t="s">
        <v>219</v>
      </c>
      <c r="E368" t="s">
        <v>156</v>
      </c>
      <c r="F368" t="s">
        <v>75</v>
      </c>
      <c r="G368" t="str">
        <f>VLOOKUP(A:A,INVENTÁRIO_05_2025!A:A,1,0)</f>
        <v>SPRDBDHSQLGRU12</v>
      </c>
    </row>
    <row r="369" spans="1:7" ht="11.25" customHeight="1">
      <c r="A369" t="s">
        <v>634</v>
      </c>
      <c r="B369" t="s">
        <v>61</v>
      </c>
      <c r="C369" t="s">
        <v>116</v>
      </c>
      <c r="D369" t="s">
        <v>219</v>
      </c>
      <c r="E369" t="s">
        <v>156</v>
      </c>
      <c r="F369" t="s">
        <v>75</v>
      </c>
      <c r="G369" t="str">
        <f>VLOOKUP(A:A,INVENTÁRIO_05_2025!A:A,1,0)</f>
        <v>SPRDBDHSQLGRU13</v>
      </c>
    </row>
    <row r="370" spans="1:7" ht="11.25" customHeight="1">
      <c r="A370" t="s">
        <v>635</v>
      </c>
      <c r="B370" t="s">
        <v>61</v>
      </c>
      <c r="C370" t="s">
        <v>116</v>
      </c>
      <c r="D370" t="s">
        <v>219</v>
      </c>
      <c r="E370" t="s">
        <v>156</v>
      </c>
      <c r="F370" t="s">
        <v>75</v>
      </c>
      <c r="G370" t="str">
        <f>VLOOKUP(A:A,INVENTÁRIO_05_2025!A:A,1,0)</f>
        <v>SPRDBDHSQLGRU14</v>
      </c>
    </row>
    <row r="371" spans="1:7" ht="11.25" customHeight="1">
      <c r="A371" t="s">
        <v>207</v>
      </c>
      <c r="B371" t="s">
        <v>61</v>
      </c>
      <c r="C371" t="s">
        <v>116</v>
      </c>
      <c r="D371" t="s">
        <v>136</v>
      </c>
      <c r="E371" t="s">
        <v>156</v>
      </c>
      <c r="F371" t="s">
        <v>75</v>
      </c>
      <c r="G371" t="str">
        <f>VLOOKUP(A:A,INVENTÁRIO_05_2025!A:A,1,0)</f>
        <v>PRDSQLSC020</v>
      </c>
    </row>
    <row r="372" spans="1:7" ht="11.25" customHeight="1">
      <c r="A372" t="s">
        <v>209</v>
      </c>
      <c r="B372" t="s">
        <v>61</v>
      </c>
      <c r="C372" t="s">
        <v>116</v>
      </c>
      <c r="D372" t="s">
        <v>210</v>
      </c>
      <c r="E372" t="s">
        <v>156</v>
      </c>
      <c r="F372" t="s">
        <v>75</v>
      </c>
      <c r="G372" t="str">
        <f>VLOOKUP(A:A,INVENTÁRIO_05_2025!A:A,1,0)</f>
        <v>SPRDAPAUDGRU01</v>
      </c>
    </row>
    <row r="373" spans="1:7" ht="11.25" customHeight="1">
      <c r="A373" t="s">
        <v>211</v>
      </c>
      <c r="B373" t="s">
        <v>61</v>
      </c>
      <c r="C373" t="s">
        <v>116</v>
      </c>
      <c r="D373" t="s">
        <v>136</v>
      </c>
      <c r="E373" t="s">
        <v>156</v>
      </c>
      <c r="F373" t="s">
        <v>75</v>
      </c>
      <c r="G373" t="str">
        <f>VLOOKUP(A:A,INVENTÁRIO_05_2025!A:A,1,0)</f>
        <v>SPRDAPBCCGRU01</v>
      </c>
    </row>
    <row r="374" spans="1:7" ht="11.25" customHeight="1">
      <c r="A374" t="s">
        <v>212</v>
      </c>
      <c r="B374" t="s">
        <v>61</v>
      </c>
      <c r="C374" t="s">
        <v>116</v>
      </c>
      <c r="D374" t="s">
        <v>136</v>
      </c>
      <c r="E374" t="s">
        <v>156</v>
      </c>
      <c r="F374" t="s">
        <v>75</v>
      </c>
      <c r="G374" t="str">
        <f>VLOOKUP(A:A,INVENTÁRIO_05_2025!A:A,1,0)</f>
        <v>SPRDAPBCCGRU02</v>
      </c>
    </row>
    <row r="375" spans="1:7" ht="11.25" customHeight="1">
      <c r="A375" t="s">
        <v>213</v>
      </c>
      <c r="B375" t="s">
        <v>61</v>
      </c>
      <c r="C375" t="s">
        <v>116</v>
      </c>
      <c r="D375" t="s">
        <v>136</v>
      </c>
      <c r="E375" t="s">
        <v>156</v>
      </c>
      <c r="F375" t="s">
        <v>75</v>
      </c>
      <c r="G375" t="str">
        <f>VLOOKUP(A:A,INVENTÁRIO_05_2025!A:A,1,0)</f>
        <v>SPRDAPBENGRU01</v>
      </c>
    </row>
    <row r="376" spans="1:7" ht="11.25" customHeight="1">
      <c r="A376" t="s">
        <v>251</v>
      </c>
      <c r="B376" t="s">
        <v>61</v>
      </c>
      <c r="C376" t="s">
        <v>116</v>
      </c>
      <c r="D376" t="s">
        <v>247</v>
      </c>
      <c r="E376" t="s">
        <v>156</v>
      </c>
      <c r="F376" t="s">
        <v>75</v>
      </c>
      <c r="G376" t="str">
        <f>VLOOKUP(A:A,INVENTÁRIO_05_2025!A:A,1,0)</f>
        <v>SPRDAPEDI7GRU01</v>
      </c>
    </row>
    <row r="377" spans="1:7" ht="11.25" customHeight="1">
      <c r="A377" t="s">
        <v>220</v>
      </c>
      <c r="B377" t="s">
        <v>61</v>
      </c>
      <c r="C377" t="s">
        <v>116</v>
      </c>
      <c r="D377" t="s">
        <v>136</v>
      </c>
      <c r="E377" t="s">
        <v>156</v>
      </c>
      <c r="F377" t="s">
        <v>75</v>
      </c>
      <c r="G377" t="str">
        <f>VLOOKUP(A:A,INVENTÁRIO_05_2025!A:A,1,0)</f>
        <v>SPRDAPFSGRU01</v>
      </c>
    </row>
    <row r="378" spans="1:7" ht="11.25" customHeight="1">
      <c r="A378" t="s">
        <v>252</v>
      </c>
      <c r="B378" t="s">
        <v>61</v>
      </c>
      <c r="C378" t="s">
        <v>116</v>
      </c>
      <c r="D378" t="s">
        <v>247</v>
      </c>
      <c r="E378" t="s">
        <v>156</v>
      </c>
      <c r="F378" t="s">
        <v>75</v>
      </c>
      <c r="G378" t="str">
        <f>VLOOKUP(A:A,INVENTÁRIO_05_2025!A:A,1,0)</f>
        <v>SPRDAPHSEGRU06</v>
      </c>
    </row>
    <row r="379" spans="1:7" ht="11.25" customHeight="1">
      <c r="A379" t="s">
        <v>243</v>
      </c>
      <c r="B379" t="s">
        <v>61</v>
      </c>
      <c r="C379" t="s">
        <v>116</v>
      </c>
      <c r="D379" t="s">
        <v>141</v>
      </c>
      <c r="E379" t="s">
        <v>156</v>
      </c>
      <c r="F379" t="s">
        <v>75</v>
      </c>
      <c r="G379" t="str">
        <f>VLOOKUP(A:A,INVENTÁRIO_05_2025!A:A,1,0)</f>
        <v>SPRDAPILMTGRU02</v>
      </c>
    </row>
    <row r="380" spans="1:7" ht="11.25" customHeight="1">
      <c r="A380" t="s">
        <v>479</v>
      </c>
      <c r="B380" t="s">
        <v>61</v>
      </c>
      <c r="C380" t="s">
        <v>116</v>
      </c>
      <c r="D380" t="s">
        <v>136</v>
      </c>
      <c r="E380" t="s">
        <v>156</v>
      </c>
      <c r="F380" t="s">
        <v>75</v>
      </c>
      <c r="G380" t="str">
        <f>VLOOKUP(A:A,INVENTÁRIO_05_2025!A:A,1,0)</f>
        <v>SPRDAPINVGRU09</v>
      </c>
    </row>
    <row r="381" spans="1:7" ht="11.25" customHeight="1">
      <c r="A381" t="s">
        <v>253</v>
      </c>
      <c r="B381" t="s">
        <v>61</v>
      </c>
      <c r="C381" t="s">
        <v>116</v>
      </c>
      <c r="D381" t="s">
        <v>247</v>
      </c>
      <c r="E381" t="s">
        <v>156</v>
      </c>
      <c r="F381" t="s">
        <v>75</v>
      </c>
      <c r="G381" t="str">
        <f>VLOOKUP(A:A,INVENTÁRIO_05_2025!A:A,1,0)</f>
        <v>SPRDAPJPGRU03</v>
      </c>
    </row>
    <row r="382" spans="1:7" ht="11.25" customHeight="1">
      <c r="A382" t="s">
        <v>254</v>
      </c>
      <c r="B382" t="s">
        <v>61</v>
      </c>
      <c r="C382" t="s">
        <v>116</v>
      </c>
      <c r="D382" t="s">
        <v>247</v>
      </c>
      <c r="E382" t="s">
        <v>156</v>
      </c>
      <c r="F382" t="s">
        <v>75</v>
      </c>
      <c r="G382" t="str">
        <f>VLOOKUP(A:A,INVENTÁRIO_05_2025!A:A,1,0)</f>
        <v>SPRDAPJPGRU04</v>
      </c>
    </row>
    <row r="383" spans="1:7" ht="11.25" customHeight="1">
      <c r="A383" t="s">
        <v>255</v>
      </c>
      <c r="B383" t="s">
        <v>61</v>
      </c>
      <c r="C383" t="s">
        <v>116</v>
      </c>
      <c r="D383" t="s">
        <v>247</v>
      </c>
      <c r="E383" t="s">
        <v>156</v>
      </c>
      <c r="F383" t="s">
        <v>75</v>
      </c>
      <c r="G383" t="str">
        <f>VLOOKUP(A:A,INVENTÁRIO_05_2025!A:A,1,0)</f>
        <v>SPRDAPJPGRU05</v>
      </c>
    </row>
    <row r="384" spans="1:7" ht="11.25" customHeight="1">
      <c r="A384" t="s">
        <v>229</v>
      </c>
      <c r="B384" t="s">
        <v>61</v>
      </c>
      <c r="C384" t="s">
        <v>116</v>
      </c>
      <c r="D384" t="s">
        <v>136</v>
      </c>
      <c r="E384" t="s">
        <v>156</v>
      </c>
      <c r="F384" t="s">
        <v>75</v>
      </c>
      <c r="G384" t="str">
        <f>VLOOKUP(A:A,INVENTÁRIO_05_2025!A:A,1,0)</f>
        <v>SPRDAPLGGRU03</v>
      </c>
    </row>
    <row r="385" spans="1:7" ht="11.25" customHeight="1">
      <c r="A385" t="s">
        <v>256</v>
      </c>
      <c r="B385" t="s">
        <v>61</v>
      </c>
      <c r="C385" t="s">
        <v>116</v>
      </c>
      <c r="D385" t="s">
        <v>247</v>
      </c>
      <c r="E385" t="s">
        <v>156</v>
      </c>
      <c r="F385" t="s">
        <v>75</v>
      </c>
      <c r="G385" t="str">
        <f>VLOOKUP(A:A,INVENTÁRIO_05_2025!A:A,1,0)</f>
        <v>SPRDAPPEAGRU01</v>
      </c>
    </row>
    <row r="386" spans="1:7" ht="11.25" customHeight="1">
      <c r="A386" t="s">
        <v>235</v>
      </c>
      <c r="B386" t="s">
        <v>61</v>
      </c>
      <c r="C386" t="s">
        <v>116</v>
      </c>
      <c r="D386" t="s">
        <v>572</v>
      </c>
      <c r="E386" t="s">
        <v>156</v>
      </c>
      <c r="F386" t="s">
        <v>75</v>
      </c>
      <c r="G386" t="str">
        <f>VLOOKUP(A:A,INVENTÁRIO_05_2025!A:A,1,0)</f>
        <v>SPRDBDHSQLGRU06</v>
      </c>
    </row>
    <row r="387" spans="1:7" ht="11.25" customHeight="1">
      <c r="A387" t="s">
        <v>257</v>
      </c>
      <c r="B387" t="s">
        <v>61</v>
      </c>
      <c r="C387" t="s">
        <v>116</v>
      </c>
      <c r="D387" t="s">
        <v>247</v>
      </c>
      <c r="E387" t="s">
        <v>156</v>
      </c>
      <c r="F387" t="s">
        <v>75</v>
      </c>
      <c r="G387" t="str">
        <f>VLOOKUP(A:A,INVENTÁRIO_05_2025!A:A,1,0)</f>
        <v>SPRDSKSQLGRU01</v>
      </c>
    </row>
    <row r="388" spans="1:7" ht="11.25" customHeight="1">
      <c r="A388" t="s">
        <v>258</v>
      </c>
      <c r="B388" t="s">
        <v>61</v>
      </c>
      <c r="C388" t="s">
        <v>116</v>
      </c>
      <c r="D388" t="s">
        <v>247</v>
      </c>
      <c r="E388" t="s">
        <v>156</v>
      </c>
      <c r="F388" t="s">
        <v>75</v>
      </c>
      <c r="G388" t="str">
        <f>VLOOKUP(A:A,INVENTÁRIO_05_2025!A:A,1,0)</f>
        <v>SPRDSQL021</v>
      </c>
    </row>
    <row r="389" spans="1:7" ht="11.25" customHeight="1">
      <c r="A389" t="s">
        <v>259</v>
      </c>
      <c r="B389" t="s">
        <v>61</v>
      </c>
      <c r="C389" t="s">
        <v>116</v>
      </c>
      <c r="D389" t="s">
        <v>247</v>
      </c>
      <c r="E389" t="s">
        <v>156</v>
      </c>
      <c r="F389" t="s">
        <v>75</v>
      </c>
      <c r="G389" t="e">
        <f>VLOOKUP(A:A,INVENTÁRIO_05_2025!A:A,1,0)</f>
        <v>#N/A</v>
      </c>
    </row>
    <row r="390" spans="1:7" ht="11.25" customHeight="1">
      <c r="A390" t="s">
        <v>260</v>
      </c>
      <c r="B390" t="s">
        <v>61</v>
      </c>
      <c r="C390" t="s">
        <v>116</v>
      </c>
      <c r="D390" t="s">
        <v>247</v>
      </c>
      <c r="E390" t="s">
        <v>156</v>
      </c>
      <c r="F390" t="s">
        <v>75</v>
      </c>
      <c r="G390" t="str">
        <f>VLOOKUP(A:A,INVENTÁRIO_05_2025!A:A,1,0)</f>
        <v>SPRDSQLLGGRU02</v>
      </c>
    </row>
    <row r="391" spans="1:7" ht="11.25" customHeight="1">
      <c r="A391" t="s">
        <v>261</v>
      </c>
      <c r="B391" t="s">
        <v>61</v>
      </c>
      <c r="C391" t="s">
        <v>116</v>
      </c>
      <c r="D391" t="s">
        <v>247</v>
      </c>
      <c r="E391" t="s">
        <v>156</v>
      </c>
      <c r="F391" t="s">
        <v>75</v>
      </c>
      <c r="G391" t="str">
        <f>VLOOKUP(A:A,INVENTÁRIO_05_2025!A:A,1,0)</f>
        <v>SPRDVCAMSGRU01</v>
      </c>
    </row>
    <row r="392" spans="1:7" ht="11.25" customHeight="1">
      <c r="A392" t="s">
        <v>262</v>
      </c>
      <c r="B392" t="s">
        <v>61</v>
      </c>
      <c r="C392" t="s">
        <v>116</v>
      </c>
      <c r="D392" t="s">
        <v>247</v>
      </c>
      <c r="E392" t="s">
        <v>156</v>
      </c>
      <c r="F392" t="s">
        <v>75</v>
      </c>
      <c r="G392" t="str">
        <f>VLOOKUP(A:A,INVENTÁRIO_05_2025!A:A,1,0)</f>
        <v>SPRDVCAMSGRU02</v>
      </c>
    </row>
    <row r="393" spans="1:7" ht="11.25" customHeight="1">
      <c r="A393" t="s">
        <v>263</v>
      </c>
      <c r="B393" t="s">
        <v>61</v>
      </c>
      <c r="C393" t="s">
        <v>116</v>
      </c>
      <c r="D393" t="s">
        <v>247</v>
      </c>
      <c r="E393" t="s">
        <v>156</v>
      </c>
      <c r="F393" t="s">
        <v>75</v>
      </c>
      <c r="G393" t="str">
        <f>VLOOKUP(A:A,INVENTÁRIO_05_2025!A:A,1,0)</f>
        <v>SPRDVCAPVGRU01</v>
      </c>
    </row>
    <row r="394" spans="1:7" ht="11.25" customHeight="1">
      <c r="A394" t="s">
        <v>238</v>
      </c>
      <c r="B394" t="s">
        <v>61</v>
      </c>
      <c r="C394" t="s">
        <v>116</v>
      </c>
      <c r="D394" t="s">
        <v>136</v>
      </c>
      <c r="E394" t="s">
        <v>156</v>
      </c>
      <c r="F394" t="s">
        <v>75</v>
      </c>
      <c r="G394" t="str">
        <f>VLOOKUP(A:A,INVENTÁRIO_05_2025!A:A,1,0)</f>
        <v>SPRDVCBKPGRU01</v>
      </c>
    </row>
    <row r="395" spans="1:7" ht="11.25" customHeight="1">
      <c r="A395" t="s">
        <v>239</v>
      </c>
      <c r="B395" t="s">
        <v>61</v>
      </c>
      <c r="C395" t="s">
        <v>116</v>
      </c>
      <c r="D395" t="s">
        <v>136</v>
      </c>
      <c r="E395" t="s">
        <v>156</v>
      </c>
      <c r="F395" t="s">
        <v>75</v>
      </c>
      <c r="G395" t="str">
        <f>VLOOKUP(A:A,INVENTÁRIO_05_2025!A:A,1,0)</f>
        <v>SPRDVCHSEGRU03</v>
      </c>
    </row>
    <row r="396" spans="1:7" ht="11.25" customHeight="1">
      <c r="A396" t="s">
        <v>264</v>
      </c>
      <c r="B396" t="s">
        <v>61</v>
      </c>
      <c r="C396" t="s">
        <v>116</v>
      </c>
      <c r="D396" t="s">
        <v>247</v>
      </c>
      <c r="E396" t="s">
        <v>156</v>
      </c>
      <c r="F396" t="s">
        <v>75</v>
      </c>
      <c r="G396" t="str">
        <f>VLOOKUP(A:A,INVENTÁRIO_05_2025!A:A,1,0)</f>
        <v>SPRDVCRMQGRU01</v>
      </c>
    </row>
    <row r="397" spans="1:7" ht="11.25" customHeight="1">
      <c r="A397" t="s">
        <v>265</v>
      </c>
      <c r="B397" t="s">
        <v>61</v>
      </c>
      <c r="C397" t="s">
        <v>116</v>
      </c>
      <c r="D397" t="s">
        <v>247</v>
      </c>
      <c r="E397" t="s">
        <v>156</v>
      </c>
      <c r="F397" t="s">
        <v>75</v>
      </c>
      <c r="G397" t="str">
        <f>VLOOKUP(A:A,INVENTÁRIO_05_2025!A:A,1,0)</f>
        <v>SPRDVCRPTGRU01</v>
      </c>
    </row>
    <row r="398" spans="1:7" ht="11.25" customHeight="1">
      <c r="A398" t="s">
        <v>267</v>
      </c>
      <c r="B398" t="s">
        <v>61</v>
      </c>
      <c r="C398" t="s">
        <v>116</v>
      </c>
      <c r="D398" t="s">
        <v>247</v>
      </c>
      <c r="E398" t="s">
        <v>156</v>
      </c>
      <c r="F398" t="s">
        <v>75</v>
      </c>
      <c r="G398" t="str">
        <f>VLOOKUP(A:A,INVENTÁRIO_05_2025!A:A,1,0)</f>
        <v>SPRDVCSQLGRU07</v>
      </c>
    </row>
    <row r="399" spans="1:7" ht="11.25" customHeight="1">
      <c r="A399" t="s">
        <v>268</v>
      </c>
      <c r="B399" t="s">
        <v>61</v>
      </c>
      <c r="C399" t="s">
        <v>116</v>
      </c>
      <c r="D399" t="s">
        <v>247</v>
      </c>
      <c r="E399" t="s">
        <v>156</v>
      </c>
      <c r="F399" t="s">
        <v>75</v>
      </c>
      <c r="G399" t="str">
        <f>VLOOKUP(A:A,INVENTÁRIO_05_2025!A:A,1,0)</f>
        <v>SPRDVCWEBGRU01</v>
      </c>
    </row>
    <row r="400" spans="1:7" ht="11.25" customHeight="1">
      <c r="A400" t="s">
        <v>269</v>
      </c>
      <c r="B400" t="s">
        <v>61</v>
      </c>
      <c r="C400" t="s">
        <v>116</v>
      </c>
      <c r="D400" t="s">
        <v>247</v>
      </c>
      <c r="E400" t="s">
        <v>156</v>
      </c>
      <c r="F400" t="s">
        <v>75</v>
      </c>
      <c r="G400" t="str">
        <f>VLOOKUP(A:A,INVENTÁRIO_05_2025!A:A,1,0)</f>
        <v>SPRDVCWEBGRU02</v>
      </c>
    </row>
    <row r="401" spans="1:7" ht="11.25" customHeight="1">
      <c r="A401" t="s">
        <v>240</v>
      </c>
      <c r="B401" t="s">
        <v>61</v>
      </c>
      <c r="C401" t="s">
        <v>116</v>
      </c>
      <c r="D401" t="s">
        <v>136</v>
      </c>
      <c r="E401" t="s">
        <v>156</v>
      </c>
      <c r="F401" t="s">
        <v>75</v>
      </c>
      <c r="G401" t="str">
        <f>VLOOKUP(A:A,INVENTÁRIO_05_2025!A:A,1,0)</f>
        <v>SPRDWBBENGRU01</v>
      </c>
    </row>
    <row r="402" spans="1:7" ht="11.25" customHeight="1">
      <c r="A402" t="s">
        <v>241</v>
      </c>
      <c r="B402" t="s">
        <v>61</v>
      </c>
      <c r="C402" t="s">
        <v>116</v>
      </c>
      <c r="D402" t="s">
        <v>242</v>
      </c>
      <c r="E402" t="s">
        <v>156</v>
      </c>
      <c r="F402" t="s">
        <v>75</v>
      </c>
      <c r="G402" t="str">
        <f>VLOOKUP(A:A,INVENTÁRIO_05_2025!A:A,1,0)</f>
        <v>SPRDADGRU04</v>
      </c>
    </row>
    <row r="403" spans="1:7" ht="11.25" customHeight="1">
      <c r="A403" t="s">
        <v>472</v>
      </c>
      <c r="B403" t="s">
        <v>61</v>
      </c>
      <c r="C403" t="s">
        <v>116</v>
      </c>
      <c r="D403" t="s">
        <v>242</v>
      </c>
      <c r="E403" t="s">
        <v>156</v>
      </c>
      <c r="F403" t="s">
        <v>75</v>
      </c>
      <c r="G403" t="str">
        <f>VLOOKUP(A:A,INVENTÁRIO_05_2025!A:A,1,0)</f>
        <v>SPRDAPIAMGRU06</v>
      </c>
    </row>
    <row r="404" spans="1:7" ht="11.25" customHeight="1">
      <c r="A404" t="s">
        <v>244</v>
      </c>
      <c r="B404" t="s">
        <v>61</v>
      </c>
      <c r="C404" t="s">
        <v>116</v>
      </c>
      <c r="D404" t="s">
        <v>242</v>
      </c>
      <c r="E404" t="s">
        <v>156</v>
      </c>
      <c r="F404" t="s">
        <v>75</v>
      </c>
      <c r="G404" t="str">
        <f>VLOOKUP(A:A,INVENTÁRIO_05_2025!A:A,1,0)</f>
        <v>SPRDAPJPGRU02</v>
      </c>
    </row>
    <row r="405" spans="1:7" ht="11.25" customHeight="1">
      <c r="A405" t="s">
        <v>208</v>
      </c>
      <c r="B405" t="s">
        <v>61</v>
      </c>
      <c r="C405" t="s">
        <v>116</v>
      </c>
      <c r="D405" t="s">
        <v>188</v>
      </c>
      <c r="E405" t="s">
        <v>156</v>
      </c>
      <c r="F405" t="s">
        <v>75</v>
      </c>
      <c r="G405" t="str">
        <f>VLOOKUP(A:A,INVENTÁRIO_05_2025!A:A,1,0)</f>
        <v>SPRDADGRU03</v>
      </c>
    </row>
    <row r="406" spans="1:7" ht="11.25" customHeight="1">
      <c r="A406" t="s">
        <v>214</v>
      </c>
      <c r="B406" t="s">
        <v>61</v>
      </c>
      <c r="C406" t="s">
        <v>116</v>
      </c>
      <c r="D406" t="s">
        <v>188</v>
      </c>
      <c r="E406" t="s">
        <v>156</v>
      </c>
      <c r="F406" t="s">
        <v>75</v>
      </c>
      <c r="G406" t="str">
        <f>VLOOKUP(A:A,INVENTÁRIO_05_2025!A:A,1,0)</f>
        <v>SPRDAPCCGRU03</v>
      </c>
    </row>
    <row r="407" spans="1:7" ht="11.25" customHeight="1">
      <c r="A407" t="s">
        <v>215</v>
      </c>
      <c r="B407" t="s">
        <v>61</v>
      </c>
      <c r="C407" t="s">
        <v>116</v>
      </c>
      <c r="D407" t="s">
        <v>188</v>
      </c>
      <c r="E407" t="s">
        <v>156</v>
      </c>
      <c r="F407" t="s">
        <v>75</v>
      </c>
      <c r="G407" t="str">
        <f>VLOOKUP(A:A,INVENTÁRIO_05_2025!A:A,1,0)</f>
        <v>SPRDAPCONVGRU01</v>
      </c>
    </row>
    <row r="408" spans="1:7" ht="11.25" customHeight="1">
      <c r="A408" t="s">
        <v>216</v>
      </c>
      <c r="B408" t="s">
        <v>61</v>
      </c>
      <c r="C408" t="s">
        <v>116</v>
      </c>
      <c r="D408" t="s">
        <v>188</v>
      </c>
      <c r="E408" t="s">
        <v>156</v>
      </c>
      <c r="F408" t="s">
        <v>75</v>
      </c>
      <c r="G408" t="str">
        <f>VLOOKUP(A:A,INVENTÁRIO_05_2025!A:A,1,0)</f>
        <v>SPRDAPEDIGRU01</v>
      </c>
    </row>
    <row r="409" spans="1:7" ht="11.25" customHeight="1">
      <c r="A409" t="s">
        <v>217</v>
      </c>
      <c r="B409" t="s">
        <v>61</v>
      </c>
      <c r="C409" t="s">
        <v>116</v>
      </c>
      <c r="D409" t="s">
        <v>188</v>
      </c>
      <c r="E409" t="s">
        <v>156</v>
      </c>
      <c r="F409" t="s">
        <v>75</v>
      </c>
      <c r="G409" t="str">
        <f>VLOOKUP(A:A,INVENTÁRIO_05_2025!A:A,1,0)</f>
        <v>SPRDAPESBGRU08</v>
      </c>
    </row>
    <row r="410" spans="1:7" ht="11.25" customHeight="1">
      <c r="A410" t="s">
        <v>221</v>
      </c>
      <c r="B410" t="s">
        <v>61</v>
      </c>
      <c r="C410" t="s">
        <v>116</v>
      </c>
      <c r="D410" t="s">
        <v>188</v>
      </c>
      <c r="E410" t="s">
        <v>156</v>
      </c>
      <c r="F410" t="s">
        <v>75</v>
      </c>
      <c r="G410" t="str">
        <f>VLOOKUP(A:A,INVENTÁRIO_05_2025!A:A,1,0)</f>
        <v>SPRDAPHSEGRU01</v>
      </c>
    </row>
    <row r="411" spans="1:7" ht="11.25" customHeight="1">
      <c r="A411" t="s">
        <v>222</v>
      </c>
      <c r="B411" t="s">
        <v>61</v>
      </c>
      <c r="C411" t="s">
        <v>116</v>
      </c>
      <c r="D411" t="s">
        <v>188</v>
      </c>
      <c r="E411" t="s">
        <v>156</v>
      </c>
      <c r="F411" t="s">
        <v>75</v>
      </c>
      <c r="G411" t="str">
        <f>VLOOKUP(A:A,INVENTÁRIO_05_2025!A:A,1,0)</f>
        <v>SPRDAPHSEGRU02</v>
      </c>
    </row>
    <row r="412" spans="1:7" ht="11.25" customHeight="1">
      <c r="A412" t="s">
        <v>471</v>
      </c>
      <c r="B412" t="s">
        <v>61</v>
      </c>
      <c r="C412" t="s">
        <v>116</v>
      </c>
      <c r="D412" t="s">
        <v>242</v>
      </c>
      <c r="E412" t="s">
        <v>156</v>
      </c>
      <c r="F412" t="s">
        <v>75</v>
      </c>
      <c r="G412" t="str">
        <f>VLOOKUP(A:A,INVENTÁRIO_05_2025!A:A,1,0)</f>
        <v>SPRDAPIAMGRU05</v>
      </c>
    </row>
    <row r="413" spans="1:7" ht="11.25" customHeight="1">
      <c r="A413" t="s">
        <v>473</v>
      </c>
      <c r="B413" t="s">
        <v>61</v>
      </c>
      <c r="C413" t="s">
        <v>116</v>
      </c>
      <c r="D413" t="s">
        <v>242</v>
      </c>
      <c r="E413" t="s">
        <v>156</v>
      </c>
      <c r="F413" t="s">
        <v>75</v>
      </c>
      <c r="G413" t="str">
        <f>VLOOKUP(A:A,INVENTÁRIO_05_2025!A:A,1,0)</f>
        <v>SPRDAPIAMGRU07</v>
      </c>
    </row>
    <row r="414" spans="1:7" ht="11.25" customHeight="1">
      <c r="A414" t="s">
        <v>474</v>
      </c>
      <c r="B414" t="s">
        <v>61</v>
      </c>
      <c r="C414" t="s">
        <v>116</v>
      </c>
      <c r="D414" t="s">
        <v>242</v>
      </c>
      <c r="E414" t="s">
        <v>156</v>
      </c>
      <c r="F414" t="s">
        <v>75</v>
      </c>
      <c r="G414" t="str">
        <f>VLOOKUP(A:A,INVENTÁRIO_05_2025!A:A,1,0)</f>
        <v>SPRDAPIAMGRU08</v>
      </c>
    </row>
    <row r="415" spans="1:7" ht="11.25" customHeight="1">
      <c r="A415" t="s">
        <v>475</v>
      </c>
      <c r="B415" t="s">
        <v>61</v>
      </c>
      <c r="C415" t="s">
        <v>116</v>
      </c>
      <c r="D415" t="s">
        <v>242</v>
      </c>
      <c r="E415" t="s">
        <v>156</v>
      </c>
      <c r="F415" t="s">
        <v>75</v>
      </c>
      <c r="G415" t="str">
        <f>VLOOKUP(A:A,INVENTÁRIO_05_2025!A:A,1,0)</f>
        <v>SPRDAPIAMGRU09</v>
      </c>
    </row>
    <row r="416" spans="1:7" ht="11.25" customHeight="1">
      <c r="A416" t="s">
        <v>476</v>
      </c>
      <c r="B416" t="s">
        <v>61</v>
      </c>
      <c r="C416" t="s">
        <v>116</v>
      </c>
      <c r="D416" t="s">
        <v>242</v>
      </c>
      <c r="E416" t="s">
        <v>156</v>
      </c>
      <c r="F416" t="s">
        <v>75</v>
      </c>
      <c r="G416" t="str">
        <f>VLOOKUP(A:A,INVENTÁRIO_05_2025!A:A,1,0)</f>
        <v>SPRDAPIAMGRU10</v>
      </c>
    </row>
    <row r="417" spans="1:7" ht="11.25" customHeight="1">
      <c r="A417" t="s">
        <v>477</v>
      </c>
      <c r="B417" t="s">
        <v>61</v>
      </c>
      <c r="C417" t="s">
        <v>116</v>
      </c>
      <c r="D417" t="s">
        <v>242</v>
      </c>
      <c r="E417" t="s">
        <v>156</v>
      </c>
      <c r="F417" t="s">
        <v>75</v>
      </c>
      <c r="G417" t="str">
        <f>VLOOKUP(A:A,INVENTÁRIO_05_2025!A:A,1,0)</f>
        <v>SPRDAPIAMGRU11</v>
      </c>
    </row>
    <row r="418" spans="1:7" ht="11.25" customHeight="1">
      <c r="A418" t="s">
        <v>223</v>
      </c>
      <c r="B418" t="s">
        <v>61</v>
      </c>
      <c r="C418" t="s">
        <v>116</v>
      </c>
      <c r="D418" t="s">
        <v>188</v>
      </c>
      <c r="E418" t="s">
        <v>156</v>
      </c>
      <c r="F418" t="s">
        <v>75</v>
      </c>
      <c r="G418" t="str">
        <f>VLOOKUP(A:A,INVENTÁRIO_05_2025!A:A,1,0)</f>
        <v>SPRDAPINVGRU01</v>
      </c>
    </row>
    <row r="419" spans="1:7" ht="11.25" customHeight="1">
      <c r="A419" t="s">
        <v>224</v>
      </c>
      <c r="B419" t="s">
        <v>61</v>
      </c>
      <c r="C419" t="s">
        <v>116</v>
      </c>
      <c r="D419" t="s">
        <v>188</v>
      </c>
      <c r="E419" t="s">
        <v>156</v>
      </c>
      <c r="F419" t="s">
        <v>75</v>
      </c>
      <c r="G419" t="str">
        <f>VLOOKUP(A:A,INVENTÁRIO_05_2025!A:A,1,0)</f>
        <v>SPRDAPINVGRU02</v>
      </c>
    </row>
    <row r="420" spans="1:7" ht="11.25" customHeight="1">
      <c r="A420" t="s">
        <v>225</v>
      </c>
      <c r="B420" t="s">
        <v>61</v>
      </c>
      <c r="C420" t="s">
        <v>116</v>
      </c>
      <c r="D420" t="s">
        <v>188</v>
      </c>
      <c r="E420" t="s">
        <v>156</v>
      </c>
      <c r="F420" t="s">
        <v>75</v>
      </c>
      <c r="G420" t="str">
        <f>VLOOKUP(A:A,INVENTÁRIO_05_2025!A:A,1,0)</f>
        <v>SPRDAPINVGRU03</v>
      </c>
    </row>
    <row r="421" spans="1:7" ht="11.25" customHeight="1">
      <c r="A421" t="s">
        <v>226</v>
      </c>
      <c r="B421" t="s">
        <v>61</v>
      </c>
      <c r="C421" t="s">
        <v>116</v>
      </c>
      <c r="D421" t="s">
        <v>188</v>
      </c>
      <c r="E421" t="s">
        <v>156</v>
      </c>
      <c r="F421" t="s">
        <v>75</v>
      </c>
      <c r="G421" t="str">
        <f>VLOOKUP(A:A,INVENTÁRIO_05_2025!A:A,1,0)</f>
        <v>SPRDAPINVGRU04</v>
      </c>
    </row>
    <row r="422" spans="1:7" ht="11.25" customHeight="1">
      <c r="A422" t="s">
        <v>227</v>
      </c>
      <c r="B422" t="s">
        <v>61</v>
      </c>
      <c r="C422" t="s">
        <v>116</v>
      </c>
      <c r="D422" t="s">
        <v>188</v>
      </c>
      <c r="E422" t="s">
        <v>156</v>
      </c>
      <c r="F422" t="s">
        <v>75</v>
      </c>
      <c r="G422" t="str">
        <f>VLOOKUP(A:A,INVENTÁRIO_05_2025!A:A,1,0)</f>
        <v>SPRDAPINVGRU07</v>
      </c>
    </row>
    <row r="423" spans="1:7" ht="11.25" customHeight="1">
      <c r="A423" t="s">
        <v>228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VLOOKUP(A:A,INVENTÁRIO_05_2025!A:A,1,0)</f>
        <v>SPRDAPLGGRU01</v>
      </c>
    </row>
    <row r="424" spans="1:7" ht="11.25" customHeight="1">
      <c r="A424" t="s">
        <v>230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VLOOKUP(A:A,INVENTÁRIO_05_2025!A:A,1,0)</f>
        <v>SPRDAPRADGRU01</v>
      </c>
    </row>
    <row r="425" spans="1:7" ht="11.25" customHeight="1">
      <c r="A425" t="s">
        <v>231</v>
      </c>
      <c r="B425" t="s">
        <v>61</v>
      </c>
      <c r="C425" t="s">
        <v>116</v>
      </c>
      <c r="D425" t="s">
        <v>188</v>
      </c>
      <c r="E425" t="s">
        <v>156</v>
      </c>
      <c r="F425" t="s">
        <v>75</v>
      </c>
      <c r="G425" t="str">
        <f>VLOOKUP(A:A,INVENTÁRIO_05_2025!A:A,1,0)</f>
        <v>SPRDAPSAFGRU02</v>
      </c>
    </row>
    <row r="426" spans="1:7" ht="11.25" customHeight="1">
      <c r="A426" t="s">
        <v>232</v>
      </c>
      <c r="B426" t="s">
        <v>61</v>
      </c>
      <c r="C426" t="s">
        <v>116</v>
      </c>
      <c r="D426" t="s">
        <v>188</v>
      </c>
      <c r="E426" t="s">
        <v>156</v>
      </c>
      <c r="F426" t="s">
        <v>75</v>
      </c>
      <c r="G426" t="str">
        <f>VLOOKUP(A:A,INVENTÁRIO_05_2025!A:A,1,0)</f>
        <v>SPRDAPTSGRU03</v>
      </c>
    </row>
    <row r="427" spans="1:7" ht="11.25" customHeight="1">
      <c r="A427" t="s">
        <v>233</v>
      </c>
      <c r="B427" t="s">
        <v>61</v>
      </c>
      <c r="C427" t="s">
        <v>116</v>
      </c>
      <c r="D427" t="s">
        <v>188</v>
      </c>
      <c r="E427" t="s">
        <v>156</v>
      </c>
      <c r="F427" t="s">
        <v>75</v>
      </c>
      <c r="G427" t="str">
        <f>VLOOKUP(A:A,INVENTÁRIO_05_2025!A:A,1,0)</f>
        <v>SPRDAPTSGRU04</v>
      </c>
    </row>
    <row r="428" spans="1:7" ht="11.25" customHeight="1">
      <c r="A428" t="s">
        <v>234</v>
      </c>
      <c r="B428" t="s">
        <v>61</v>
      </c>
      <c r="C428" t="s">
        <v>116</v>
      </c>
      <c r="D428" t="s">
        <v>188</v>
      </c>
      <c r="E428" t="s">
        <v>156</v>
      </c>
      <c r="F428" t="s">
        <v>75</v>
      </c>
      <c r="G428" t="str">
        <f>VLOOKUP(A:A,INVENTÁRIO_05_2025!A:A,1,0)</f>
        <v>SPRDAZADGRU01</v>
      </c>
    </row>
    <row r="429" spans="1:7" ht="11.25" customHeight="1">
      <c r="A429" t="s">
        <v>236</v>
      </c>
      <c r="B429" t="s">
        <v>61</v>
      </c>
      <c r="C429" t="s">
        <v>116</v>
      </c>
      <c r="D429" t="s">
        <v>188</v>
      </c>
      <c r="E429" t="s">
        <v>156</v>
      </c>
      <c r="F429" t="s">
        <v>75</v>
      </c>
      <c r="G429" t="str">
        <f>VLOOKUP(A:A,INVENTÁRIO_05_2025!A:A,1,0)</f>
        <v>SPRDSKDAUGRU02</v>
      </c>
    </row>
    <row r="430" spans="1:7" ht="11.25" customHeight="1">
      <c r="A430" t="s">
        <v>187</v>
      </c>
      <c r="B430" t="s">
        <v>61</v>
      </c>
      <c r="C430" t="s">
        <v>116</v>
      </c>
      <c r="D430" t="s">
        <v>188</v>
      </c>
      <c r="E430" t="s">
        <v>156</v>
      </c>
      <c r="F430" t="s">
        <v>75</v>
      </c>
      <c r="G430" t="str">
        <f>VLOOKUP(A:A,INVENTÁRIO_05_2025!A:A,1,0)</f>
        <v>SPRDSKDCGRU01</v>
      </c>
    </row>
    <row r="431" spans="1:7" ht="11.25" customHeight="1">
      <c r="A431" t="s">
        <v>189</v>
      </c>
      <c r="B431" t="s">
        <v>61</v>
      </c>
      <c r="C431" t="s">
        <v>116</v>
      </c>
      <c r="D431" t="s">
        <v>188</v>
      </c>
      <c r="E431" t="s">
        <v>156</v>
      </c>
      <c r="F431" t="s">
        <v>75</v>
      </c>
      <c r="G431" t="str">
        <f>VLOOKUP(A:A,INVENTÁRIO_05_2025!A:A,1,0)</f>
        <v>SPRDSKDCGRU02</v>
      </c>
    </row>
    <row r="432" spans="1:7" ht="11.25" customHeight="1">
      <c r="A432" t="s">
        <v>192</v>
      </c>
      <c r="B432" t="s">
        <v>61</v>
      </c>
      <c r="C432" t="s">
        <v>116</v>
      </c>
      <c r="D432" t="s">
        <v>188</v>
      </c>
      <c r="E432" t="s">
        <v>156</v>
      </c>
      <c r="F432" t="s">
        <v>75</v>
      </c>
      <c r="G432" t="str">
        <f>VLOOKUP(A:A,INVENTÁRIO_05_2025!A:A,1,0)</f>
        <v>SPRDSKPPCGRU01</v>
      </c>
    </row>
    <row r="433" spans="1:7" ht="11.25" customHeight="1">
      <c r="A433" t="s">
        <v>193</v>
      </c>
      <c r="B433" t="s">
        <v>61</v>
      </c>
      <c r="C433" t="s">
        <v>116</v>
      </c>
      <c r="D433" t="s">
        <v>188</v>
      </c>
      <c r="E433" t="s">
        <v>156</v>
      </c>
      <c r="F433" t="s">
        <v>75</v>
      </c>
      <c r="G433" t="str">
        <f>VLOOKUP(A:A,INVENTÁRIO_05_2025!A:A,1,0)</f>
        <v>SPRDSKPPCGRU02</v>
      </c>
    </row>
    <row r="434" spans="1:7" ht="11.25" customHeight="1">
      <c r="A434" t="s">
        <v>194</v>
      </c>
      <c r="B434" t="s">
        <v>61</v>
      </c>
      <c r="C434" t="s">
        <v>116</v>
      </c>
      <c r="D434" t="s">
        <v>188</v>
      </c>
      <c r="E434" t="s">
        <v>156</v>
      </c>
      <c r="F434" t="s">
        <v>75</v>
      </c>
      <c r="G434" t="str">
        <f>VLOOKUP(A:A,INVENTÁRIO_05_2025!A:A,1,0)</f>
        <v>SPRDSKPPCGRU03</v>
      </c>
    </row>
    <row r="435" spans="1:7" ht="11.25" customHeight="1">
      <c r="A435" t="s">
        <v>195</v>
      </c>
      <c r="B435" t="s">
        <v>61</v>
      </c>
      <c r="C435" t="s">
        <v>116</v>
      </c>
      <c r="D435" t="s">
        <v>188</v>
      </c>
      <c r="E435" t="s">
        <v>156</v>
      </c>
      <c r="F435" t="s">
        <v>75</v>
      </c>
      <c r="G435" t="str">
        <f>VLOOKUP(A:A,INVENTÁRIO_05_2025!A:A,1,0)</f>
        <v>SPRDSKPPCGRU04</v>
      </c>
    </row>
    <row r="436" spans="1:7" ht="11.25" customHeight="1">
      <c r="A436" t="s">
        <v>196</v>
      </c>
      <c r="B436" t="s">
        <v>61</v>
      </c>
      <c r="C436" t="s">
        <v>116</v>
      </c>
      <c r="D436" t="s">
        <v>188</v>
      </c>
      <c r="E436" t="s">
        <v>156</v>
      </c>
      <c r="F436" t="s">
        <v>75</v>
      </c>
      <c r="G436" t="str">
        <f>VLOOKUP(A:A,INVENTÁRIO_05_2025!A:A,1,0)</f>
        <v>SPRDSKPPCGRU05</v>
      </c>
    </row>
    <row r="437" spans="1:7" ht="11.25" customHeight="1">
      <c r="A437" t="s">
        <v>197</v>
      </c>
      <c r="B437" t="s">
        <v>61</v>
      </c>
      <c r="C437" t="s">
        <v>116</v>
      </c>
      <c r="D437" t="s">
        <v>188</v>
      </c>
      <c r="E437" t="s">
        <v>156</v>
      </c>
      <c r="F437" t="s">
        <v>75</v>
      </c>
      <c r="G437" t="str">
        <f>VLOOKUP(A:A,INVENTÁRIO_05_2025!A:A,1,0)</f>
        <v>SPRDSKPPCGRU06</v>
      </c>
    </row>
    <row r="438" spans="1:7" ht="11.25" customHeight="1">
      <c r="A438" t="s">
        <v>198</v>
      </c>
      <c r="B438" t="s">
        <v>61</v>
      </c>
      <c r="C438" t="s">
        <v>116</v>
      </c>
      <c r="D438" t="s">
        <v>188</v>
      </c>
      <c r="E438" t="s">
        <v>156</v>
      </c>
      <c r="F438" t="s">
        <v>75</v>
      </c>
      <c r="G438" t="str">
        <f>VLOOKUP(A:A,INVENTÁRIO_05_2025!A:A,1,0)</f>
        <v>SPRDSKPPCGRU07</v>
      </c>
    </row>
    <row r="439" spans="1:7" ht="11.25" customHeight="1">
      <c r="A439" t="s">
        <v>237</v>
      </c>
      <c r="B439" t="s">
        <v>61</v>
      </c>
      <c r="C439" t="s">
        <v>116</v>
      </c>
      <c r="D439" t="s">
        <v>188</v>
      </c>
      <c r="E439" t="s">
        <v>156</v>
      </c>
      <c r="F439" t="s">
        <v>75</v>
      </c>
      <c r="G439" t="str">
        <f>VLOOKUP(A:A,INVENTÁRIO_05_2025!A:A,1,0)</f>
        <v>SPRDSKPPCGRU08</v>
      </c>
    </row>
    <row r="440" spans="1:7" ht="11.25" customHeight="1">
      <c r="A440" t="s">
        <v>199</v>
      </c>
      <c r="B440" t="s">
        <v>61</v>
      </c>
      <c r="C440" t="s">
        <v>116</v>
      </c>
      <c r="D440" t="s">
        <v>188</v>
      </c>
      <c r="E440" t="s">
        <v>156</v>
      </c>
      <c r="F440" t="s">
        <v>75</v>
      </c>
      <c r="G440" t="str">
        <f>VLOOKUP(A:A,INVENTÁRIO_05_2025!A:A,1,0)</f>
        <v>SPRDSKPPCGRU09</v>
      </c>
    </row>
    <row r="441" spans="1:7" ht="11.25" customHeight="1">
      <c r="A441" t="s">
        <v>200</v>
      </c>
      <c r="B441" t="s">
        <v>61</v>
      </c>
      <c r="C441" t="s">
        <v>116</v>
      </c>
      <c r="D441" t="s">
        <v>188</v>
      </c>
      <c r="E441" t="s">
        <v>156</v>
      </c>
      <c r="F441" t="s">
        <v>75</v>
      </c>
      <c r="G441" t="str">
        <f>VLOOKUP(A:A,INVENTÁRIO_05_2025!A:A,1,0)</f>
        <v>SPRDSKPPCGRU10</v>
      </c>
    </row>
    <row r="442" spans="1:7" ht="11.25" customHeight="1">
      <c r="A442" t="s">
        <v>201</v>
      </c>
      <c r="B442" t="s">
        <v>61</v>
      </c>
      <c r="C442" t="s">
        <v>116</v>
      </c>
      <c r="D442" t="s">
        <v>188</v>
      </c>
      <c r="E442" t="s">
        <v>156</v>
      </c>
      <c r="F442" t="s">
        <v>75</v>
      </c>
      <c r="G442" t="str">
        <f>VLOOKUP(A:A,INVENTÁRIO_05_2025!A:A,1,0)</f>
        <v>SPRDSKPPCGRU11</v>
      </c>
    </row>
    <row r="443" spans="1:7" ht="11.25" customHeight="1">
      <c r="A443" t="s">
        <v>202</v>
      </c>
      <c r="B443" t="s">
        <v>61</v>
      </c>
      <c r="C443" t="s">
        <v>116</v>
      </c>
      <c r="D443" t="s">
        <v>188</v>
      </c>
      <c r="E443" t="s">
        <v>156</v>
      </c>
      <c r="F443" t="s">
        <v>75</v>
      </c>
      <c r="G443" t="str">
        <f>VLOOKUP(A:A,INVENTÁRIO_05_2025!A:A,1,0)</f>
        <v>SPRDSKPPCGRU12</v>
      </c>
    </row>
    <row r="444" spans="1:7" ht="11.25" customHeight="1">
      <c r="A444" t="s">
        <v>203</v>
      </c>
      <c r="B444" t="s">
        <v>61</v>
      </c>
      <c r="C444" t="s">
        <v>116</v>
      </c>
      <c r="D444" t="s">
        <v>188</v>
      </c>
      <c r="E444" t="s">
        <v>156</v>
      </c>
      <c r="F444" t="s">
        <v>75</v>
      </c>
      <c r="G444" t="str">
        <f>VLOOKUP(A:A,INVENTÁRIO_05_2025!A:A,1,0)</f>
        <v>SPRDSKPPCGRU13</v>
      </c>
    </row>
    <row r="445" spans="1:7" ht="11.25" customHeight="1">
      <c r="A445" t="s">
        <v>204</v>
      </c>
      <c r="B445" t="s">
        <v>61</v>
      </c>
      <c r="C445" t="s">
        <v>116</v>
      </c>
      <c r="D445" t="s">
        <v>188</v>
      </c>
      <c r="E445" t="s">
        <v>156</v>
      </c>
      <c r="F445" t="s">
        <v>75</v>
      </c>
      <c r="G445" t="str">
        <f>VLOOKUP(A:A,INVENTÁRIO_05_2025!A:A,1,0)</f>
        <v>SPRDSKPPCGRU14</v>
      </c>
    </row>
    <row r="446" spans="1:7" ht="11.25" customHeight="1">
      <c r="A446" t="s">
        <v>205</v>
      </c>
      <c r="B446" t="s">
        <v>61</v>
      </c>
      <c r="C446" t="s">
        <v>116</v>
      </c>
      <c r="D446" t="s">
        <v>188</v>
      </c>
      <c r="E446" t="s">
        <v>156</v>
      </c>
      <c r="F446" t="s">
        <v>75</v>
      </c>
      <c r="G446" t="str">
        <f>VLOOKUP(A:A,INVENTÁRIO_05_2025!A:A,1,0)</f>
        <v>SPRDSKPPCGRU15</v>
      </c>
    </row>
    <row r="447" spans="1:7" ht="11.25" customHeight="1">
      <c r="A447" t="s">
        <v>206</v>
      </c>
      <c r="B447" t="s">
        <v>61</v>
      </c>
      <c r="C447" t="s">
        <v>116</v>
      </c>
      <c r="D447" t="s">
        <v>188</v>
      </c>
      <c r="E447" t="s">
        <v>156</v>
      </c>
      <c r="F447" t="s">
        <v>75</v>
      </c>
      <c r="G447" t="str">
        <f>VLOOKUP(A:A,INVENTÁRIO_05_2025!A:A,1,0)</f>
        <v>SPRDSKPPCGRU16</v>
      </c>
    </row>
    <row r="448" spans="1:7" ht="11.25" customHeight="1">
      <c r="A448" t="s">
        <v>173</v>
      </c>
      <c r="B448" t="s">
        <v>61</v>
      </c>
      <c r="C448" t="s">
        <v>116</v>
      </c>
      <c r="D448" t="s">
        <v>174</v>
      </c>
      <c r="E448" t="s">
        <v>156</v>
      </c>
      <c r="F448" t="s">
        <v>75</v>
      </c>
      <c r="G448" t="str">
        <f>VLOOKUP(A:A,INVENTÁRIO_05_2025!A:A,1,0)</f>
        <v>SPRDAPDGFGRU02</v>
      </c>
    </row>
    <row r="449" spans="1:7" ht="11.25" customHeight="1">
      <c r="A449" t="s">
        <v>175</v>
      </c>
      <c r="B449" t="s">
        <v>61</v>
      </c>
      <c r="C449" t="s">
        <v>116</v>
      </c>
      <c r="D449" t="s">
        <v>174</v>
      </c>
      <c r="E449" t="s">
        <v>156</v>
      </c>
      <c r="F449" t="s">
        <v>75</v>
      </c>
      <c r="G449" t="str">
        <f>VLOOKUP(A:A,INVENTÁRIO_05_2025!A:A,1,0)</f>
        <v>SPRDAPDHCPGRU01</v>
      </c>
    </row>
    <row r="450" spans="1:7" ht="11.25" customHeight="1">
      <c r="A450" t="s">
        <v>176</v>
      </c>
      <c r="B450" t="s">
        <v>61</v>
      </c>
      <c r="C450" t="s">
        <v>116</v>
      </c>
      <c r="D450" t="s">
        <v>174</v>
      </c>
      <c r="E450" t="s">
        <v>156</v>
      </c>
      <c r="F450" t="s">
        <v>75</v>
      </c>
      <c r="G450" t="str">
        <f>VLOOKUP(A:A,INVENTÁRIO_05_2025!A:A,1,0)</f>
        <v>SPRDAPDHCPGRU02</v>
      </c>
    </row>
    <row r="451" spans="1:7" ht="11.25" customHeight="1">
      <c r="A451" t="s">
        <v>177</v>
      </c>
      <c r="B451" t="s">
        <v>61</v>
      </c>
      <c r="C451" t="s">
        <v>116</v>
      </c>
      <c r="D451" t="s">
        <v>174</v>
      </c>
      <c r="E451" t="s">
        <v>156</v>
      </c>
      <c r="F451" t="s">
        <v>75</v>
      </c>
      <c r="G451" t="str">
        <f>VLOOKUP(A:A,INVENTÁRIO_05_2025!A:A,1,0)</f>
        <v>SPRDAPEGTGRU01 - T3 EMB</v>
      </c>
    </row>
    <row r="452" spans="1:7" ht="11.25" customHeight="1">
      <c r="A452" t="s">
        <v>178</v>
      </c>
      <c r="B452" t="s">
        <v>61</v>
      </c>
      <c r="C452" t="s">
        <v>116</v>
      </c>
      <c r="D452" t="s">
        <v>174</v>
      </c>
      <c r="E452" t="s">
        <v>156</v>
      </c>
      <c r="F452" t="s">
        <v>75</v>
      </c>
      <c r="G452" t="str">
        <f>VLOOKUP(A:A,INVENTÁRIO_05_2025!A:A,1,0)</f>
        <v>SPRDAPEGTGRU02 - T2 EMB</v>
      </c>
    </row>
    <row r="453" spans="1:7" ht="11.25" customHeight="1">
      <c r="A453" t="s">
        <v>179</v>
      </c>
      <c r="B453" t="s">
        <v>61</v>
      </c>
      <c r="C453" t="s">
        <v>116</v>
      </c>
      <c r="D453" t="s">
        <v>174</v>
      </c>
      <c r="E453" t="s">
        <v>156</v>
      </c>
      <c r="F453" t="s">
        <v>75</v>
      </c>
      <c r="G453" t="str">
        <f>VLOOKUP(A:A,INVENTÁRIO_05_2025!A:A,1,0)</f>
        <v>SPRDAPEGTGRU03 - T3 DES</v>
      </c>
    </row>
    <row r="454" spans="1:7" ht="11.25" customHeight="1">
      <c r="A454" t="s">
        <v>180</v>
      </c>
      <c r="B454" t="s">
        <v>61</v>
      </c>
      <c r="C454" t="s">
        <v>116</v>
      </c>
      <c r="D454" t="s">
        <v>174</v>
      </c>
      <c r="E454" t="s">
        <v>156</v>
      </c>
      <c r="F454" t="s">
        <v>75</v>
      </c>
      <c r="G454" t="str">
        <f>VLOOKUP(A:A,INVENTÁRIO_05_2025!A:A,1,0)</f>
        <v>SPRDAPEGTGRU04 - T2 DES</v>
      </c>
    </row>
    <row r="455" spans="1:7" ht="11.25" customHeight="1">
      <c r="A455" t="s">
        <v>181</v>
      </c>
      <c r="B455" t="s">
        <v>61</v>
      </c>
      <c r="C455" t="s">
        <v>116</v>
      </c>
      <c r="D455" t="s">
        <v>174</v>
      </c>
      <c r="E455" t="s">
        <v>156</v>
      </c>
      <c r="F455" t="s">
        <v>75</v>
      </c>
      <c r="G455" t="str">
        <f>VLOOKUP(A:A,INVENTÁRIO_05_2025!A:A,1,0)</f>
        <v>SPRDAPEGTGRU05</v>
      </c>
    </row>
    <row r="456" spans="1:7" ht="11.25" customHeight="1">
      <c r="A456" t="s">
        <v>182</v>
      </c>
      <c r="B456" t="s">
        <v>61</v>
      </c>
      <c r="C456" t="s">
        <v>116</v>
      </c>
      <c r="D456" t="s">
        <v>174</v>
      </c>
      <c r="E456" t="s">
        <v>156</v>
      </c>
      <c r="F456" t="s">
        <v>75</v>
      </c>
      <c r="G456" t="str">
        <f>VLOOKUP(A:A,INVENTÁRIO_05_2025!A:A,1,0)</f>
        <v>SPRDAPEGTGRU06</v>
      </c>
    </row>
    <row r="457" spans="1:7" ht="11.25" customHeight="1">
      <c r="A457" t="s">
        <v>183</v>
      </c>
      <c r="B457" t="s">
        <v>61</v>
      </c>
      <c r="C457" t="s">
        <v>116</v>
      </c>
      <c r="D457" t="s">
        <v>174</v>
      </c>
      <c r="E457" t="s">
        <v>156</v>
      </c>
      <c r="F457" t="s">
        <v>75</v>
      </c>
      <c r="G457" t="str">
        <f>VLOOKUP(A:A,INVENTÁRIO_05_2025!A:A,1,0)</f>
        <v>SPRDAPIMCGRU01</v>
      </c>
    </row>
    <row r="458" spans="1:7" ht="11.25" customHeight="1">
      <c r="A458" t="s">
        <v>184</v>
      </c>
      <c r="B458" t="s">
        <v>61</v>
      </c>
      <c r="C458" t="s">
        <v>116</v>
      </c>
      <c r="D458" t="s">
        <v>174</v>
      </c>
      <c r="E458" t="s">
        <v>156</v>
      </c>
      <c r="F458" t="s">
        <v>75</v>
      </c>
      <c r="G458" t="str">
        <f>VLOOKUP(A:A,INVENTÁRIO_05_2025!A:A,1,0)</f>
        <v>SPRDAPRDGGRU01</v>
      </c>
    </row>
    <row r="459" spans="1:7" ht="11.25" customHeight="1">
      <c r="A459" t="s">
        <v>185</v>
      </c>
      <c r="B459" t="s">
        <v>61</v>
      </c>
      <c r="C459" t="s">
        <v>116</v>
      </c>
      <c r="D459" t="s">
        <v>174</v>
      </c>
      <c r="E459" t="s">
        <v>156</v>
      </c>
      <c r="F459" t="s">
        <v>75</v>
      </c>
      <c r="G459" t="str">
        <f>VLOOKUP(A:A,INVENTÁRIO_05_2025!A:A,1,0)</f>
        <v>SPRDAPRPGRU08</v>
      </c>
    </row>
    <row r="460" spans="1:7" ht="11.25" customHeight="1">
      <c r="A460" t="s">
        <v>186</v>
      </c>
      <c r="B460" t="s">
        <v>61</v>
      </c>
      <c r="C460" t="s">
        <v>116</v>
      </c>
      <c r="D460" t="s">
        <v>174</v>
      </c>
      <c r="E460" t="s">
        <v>156</v>
      </c>
      <c r="F460" t="s">
        <v>75</v>
      </c>
      <c r="G460" t="str">
        <f>VLOOKUP(A:A,INVENTÁRIO_05_2025!A:A,1,0)</f>
        <v>SPRDAPSAPGRU01</v>
      </c>
    </row>
    <row r="461" spans="1:7" ht="11.25" customHeight="1">
      <c r="A461" t="s">
        <v>452</v>
      </c>
      <c r="B461" t="s">
        <v>61</v>
      </c>
      <c r="C461" t="s">
        <v>116</v>
      </c>
      <c r="D461" t="s">
        <v>174</v>
      </c>
      <c r="E461" t="s">
        <v>156</v>
      </c>
      <c r="F461" t="s">
        <v>75</v>
      </c>
      <c r="G461" t="str">
        <f>VLOOKUP(A:A,INVENTÁRIO_05_2025!A:A,1,0)</f>
        <v>SPRDSHPINTGRU04</v>
      </c>
    </row>
    <row r="462" spans="1:7" ht="11.25" customHeight="1">
      <c r="A462" t="s">
        <v>453</v>
      </c>
      <c r="B462" t="s">
        <v>61</v>
      </c>
      <c r="C462" t="s">
        <v>116</v>
      </c>
      <c r="D462" t="s">
        <v>174</v>
      </c>
      <c r="E462" t="s">
        <v>156</v>
      </c>
      <c r="F462" t="s">
        <v>75</v>
      </c>
      <c r="G462" t="str">
        <f>VLOOKUP(A:A,INVENTÁRIO_05_2025!A:A,1,0)</f>
        <v>SPRDSHPINTGRU05</v>
      </c>
    </row>
    <row r="463" spans="1:7" ht="11.25" customHeight="1">
      <c r="A463" t="s">
        <v>162</v>
      </c>
      <c r="B463" t="s">
        <v>61</v>
      </c>
      <c r="C463" t="s">
        <v>116</v>
      </c>
      <c r="D463" t="s">
        <v>163</v>
      </c>
      <c r="E463" t="s">
        <v>156</v>
      </c>
      <c r="F463" t="s">
        <v>75</v>
      </c>
      <c r="G463" t="str">
        <f>VLOOKUP(A:A,INVENTÁRIO_05_2025!A:A,1,0)</f>
        <v>CCTVGRU20</v>
      </c>
    </row>
    <row r="464" spans="1:7" ht="11.25" customHeight="1">
      <c r="A464" t="s">
        <v>164</v>
      </c>
      <c r="B464" t="s">
        <v>61</v>
      </c>
      <c r="C464" t="s">
        <v>116</v>
      </c>
      <c r="D464" t="s">
        <v>163</v>
      </c>
      <c r="E464" t="s">
        <v>156</v>
      </c>
      <c r="F464" t="s">
        <v>75</v>
      </c>
      <c r="G464" t="str">
        <f>VLOOKUP(A:A,INVENTÁRIO_05_2025!A:A,1,0)</f>
        <v>SAD2-GRU</v>
      </c>
    </row>
    <row r="465" spans="1:7" ht="11.25" customHeight="1">
      <c r="A465" t="s">
        <v>165</v>
      </c>
      <c r="B465" t="s">
        <v>61</v>
      </c>
      <c r="C465" t="s">
        <v>116</v>
      </c>
      <c r="D465" t="s">
        <v>163</v>
      </c>
      <c r="E465" t="s">
        <v>156</v>
      </c>
      <c r="F465" t="s">
        <v>75</v>
      </c>
      <c r="G465" t="str">
        <f>VLOOKUP(A:A,INVENTÁRIO_05_2025!A:A,1,0)</f>
        <v>SFTP1-GRU</v>
      </c>
    </row>
    <row r="466" spans="1:7" ht="11.25" customHeight="1">
      <c r="A466" t="s">
        <v>166</v>
      </c>
      <c r="B466" t="s">
        <v>61</v>
      </c>
      <c r="C466" t="s">
        <v>116</v>
      </c>
      <c r="D466" t="s">
        <v>163</v>
      </c>
      <c r="E466" t="s">
        <v>156</v>
      </c>
      <c r="F466" t="s">
        <v>75</v>
      </c>
      <c r="G466" t="str">
        <f>VLOOKUP(A:A,INVENTÁRIO_05_2025!A:A,1,0)</f>
        <v>SPRDADGRU02</v>
      </c>
    </row>
    <row r="467" spans="1:7" ht="11.25" customHeight="1">
      <c r="A467" t="s">
        <v>167</v>
      </c>
      <c r="B467" t="s">
        <v>61</v>
      </c>
      <c r="C467" t="s">
        <v>116</v>
      </c>
      <c r="D467" t="s">
        <v>163</v>
      </c>
      <c r="E467" t="s">
        <v>156</v>
      </c>
      <c r="F467" t="s">
        <v>75</v>
      </c>
      <c r="G467" t="str">
        <f>VLOOKUP(A:A,INVENTÁRIO_05_2025!A:A,1,0)</f>
        <v>SPRDAPCADGRU01</v>
      </c>
    </row>
    <row r="468" spans="1:7" ht="11.25" customHeight="1">
      <c r="A468" t="s">
        <v>168</v>
      </c>
      <c r="B468" t="s">
        <v>61</v>
      </c>
      <c r="C468" t="s">
        <v>116</v>
      </c>
      <c r="D468" t="s">
        <v>163</v>
      </c>
      <c r="E468" t="s">
        <v>156</v>
      </c>
      <c r="F468" t="s">
        <v>75</v>
      </c>
      <c r="G468" t="str">
        <f>VLOOKUP(A:A,INVENTÁRIO_05_2025!A:A,1,0)</f>
        <v>SPRDAPNAPGRU01</v>
      </c>
    </row>
    <row r="469" spans="1:7" ht="11.25" customHeight="1">
      <c r="A469" t="s">
        <v>169</v>
      </c>
      <c r="B469" t="s">
        <v>61</v>
      </c>
      <c r="C469" t="s">
        <v>116</v>
      </c>
      <c r="D469" t="s">
        <v>163</v>
      </c>
      <c r="E469" t="s">
        <v>156</v>
      </c>
      <c r="F469" t="s">
        <v>75</v>
      </c>
      <c r="G469" t="str">
        <f>VLOOKUP(A:A,INVENTÁRIO_05_2025!A:A,1,0)</f>
        <v>SPRDAPPTCAGRU01</v>
      </c>
    </row>
    <row r="470" spans="1:7" ht="11.25" customHeight="1">
      <c r="A470" t="s">
        <v>170</v>
      </c>
      <c r="B470" t="s">
        <v>61</v>
      </c>
      <c r="C470" t="s">
        <v>116</v>
      </c>
      <c r="D470" t="s">
        <v>163</v>
      </c>
      <c r="E470" t="s">
        <v>156</v>
      </c>
      <c r="F470" t="s">
        <v>75</v>
      </c>
      <c r="G470" t="str">
        <f>VLOOKUP(A:A,INVENTÁRIO_05_2025!A:A,1,0)</f>
        <v>SPRDAPPVGRU02</v>
      </c>
    </row>
    <row r="471" spans="1:7" ht="11.25" customHeight="1">
      <c r="A471" t="s">
        <v>171</v>
      </c>
      <c r="B471" t="s">
        <v>61</v>
      </c>
      <c r="C471" t="s">
        <v>116</v>
      </c>
      <c r="D471" t="s">
        <v>163</v>
      </c>
      <c r="E471" t="s">
        <v>156</v>
      </c>
      <c r="F471" t="s">
        <v>75</v>
      </c>
      <c r="G471" t="str">
        <f>VLOOKUP(A:A,INVENTÁRIO_05_2025!A:A,1,0)</f>
        <v>SSERV1-GRU</v>
      </c>
    </row>
    <row r="472" spans="1:7" ht="11.25" customHeight="1">
      <c r="A472" t="s">
        <v>190</v>
      </c>
      <c r="B472" t="s">
        <v>61</v>
      </c>
      <c r="C472" t="s">
        <v>116</v>
      </c>
      <c r="D472" t="s">
        <v>191</v>
      </c>
      <c r="E472" t="s">
        <v>156</v>
      </c>
      <c r="F472" t="s">
        <v>75</v>
      </c>
      <c r="G472" t="str">
        <f>VLOOKUP(A:A,INVENTÁRIO_05_2025!A:A,1,0)</f>
        <v>SPRDSKESBGRU01</v>
      </c>
    </row>
    <row r="473" spans="1:7" ht="11.25" customHeight="1">
      <c r="A473" t="s">
        <v>272</v>
      </c>
      <c r="B473" t="s">
        <v>61</v>
      </c>
      <c r="C473" t="s">
        <v>51</v>
      </c>
      <c r="D473" t="s">
        <v>273</v>
      </c>
      <c r="E473" t="s">
        <v>156</v>
      </c>
      <c r="F473" t="s">
        <v>75</v>
      </c>
      <c r="G473" t="str">
        <f>VLOOKUP(A:A,INVENTÁRIO_05_2025!A:A,1,0)</f>
        <v>SPRDAPNLBGRU01</v>
      </c>
    </row>
    <row r="474" spans="1:7" ht="11.25" customHeight="1">
      <c r="A474" t="s">
        <v>274</v>
      </c>
      <c r="B474" t="s">
        <v>61</v>
      </c>
      <c r="C474" t="s">
        <v>51</v>
      </c>
      <c r="D474" t="s">
        <v>273</v>
      </c>
      <c r="E474" t="s">
        <v>156</v>
      </c>
      <c r="F474" t="s">
        <v>75</v>
      </c>
      <c r="G474" t="str">
        <f>VLOOKUP(A:A,INVENTÁRIO_05_2025!A:A,1,0)</f>
        <v>SPRDAPNLBGRU02</v>
      </c>
    </row>
    <row r="475" spans="1:7" ht="11.25" customHeight="1">
      <c r="A475" t="s">
        <v>160</v>
      </c>
      <c r="B475" t="s">
        <v>61</v>
      </c>
      <c r="C475" t="s">
        <v>51</v>
      </c>
      <c r="D475" t="s">
        <v>161</v>
      </c>
      <c r="E475" t="s">
        <v>156</v>
      </c>
      <c r="F475" t="s">
        <v>75</v>
      </c>
      <c r="G475" t="str">
        <f>VLOOKUP(A:A,INVENTÁRIO_05_2025!A:A,1,0)</f>
        <v>SPRDAPINSGRU01</v>
      </c>
    </row>
    <row r="476" spans="1:7" ht="11.25" customHeight="1">
      <c r="A476" t="s">
        <v>284</v>
      </c>
      <c r="B476" t="s">
        <v>61</v>
      </c>
      <c r="C476" t="s">
        <v>51</v>
      </c>
      <c r="D476" t="s">
        <v>285</v>
      </c>
      <c r="E476" t="s">
        <v>156</v>
      </c>
      <c r="F476" t="s">
        <v>75</v>
      </c>
      <c r="G476" t="str">
        <f>VLOOKUP(A:A,INVENTÁRIO_05_2025!A:A,1,0)</f>
        <v>SPRDAPSSGRU01</v>
      </c>
    </row>
    <row r="477" spans="1:7" ht="11.25" customHeight="1">
      <c r="A477" t="s">
        <v>286</v>
      </c>
      <c r="B477" t="s">
        <v>61</v>
      </c>
      <c r="C477" t="s">
        <v>51</v>
      </c>
      <c r="D477" t="s">
        <v>285</v>
      </c>
      <c r="E477" t="s">
        <v>156</v>
      </c>
      <c r="F477" t="s">
        <v>75</v>
      </c>
      <c r="G477" t="str">
        <f>VLOOKUP(A:A,INVENTÁRIO_05_2025!A:A,1,0)</f>
        <v>SPRDAPSSGRU02</v>
      </c>
    </row>
    <row r="478" spans="1:7" ht="11.25" customHeight="1">
      <c r="A478" t="s">
        <v>157</v>
      </c>
      <c r="B478" t="s">
        <v>61</v>
      </c>
      <c r="C478" t="s">
        <v>51</v>
      </c>
      <c r="D478" t="s">
        <v>158</v>
      </c>
      <c r="E478" t="s">
        <v>156</v>
      </c>
      <c r="F478" t="s">
        <v>75</v>
      </c>
      <c r="G478" t="str">
        <f>VLOOKUP(A:A,INVENTÁRIO_05_2025!A:A,1,0)</f>
        <v>SPRDSIEM01</v>
      </c>
    </row>
    <row r="479" spans="1:7" ht="11.25" customHeight="1">
      <c r="A479" t="s">
        <v>159</v>
      </c>
      <c r="B479" t="s">
        <v>61</v>
      </c>
      <c r="C479" t="s">
        <v>51</v>
      </c>
      <c r="D479" t="s">
        <v>158</v>
      </c>
      <c r="E479" t="s">
        <v>156</v>
      </c>
      <c r="F479" t="s">
        <v>75</v>
      </c>
      <c r="G479" t="str">
        <f>VLOOKUP(A:A,INVENTÁRIO_05_2025!A:A,1,0)</f>
        <v>SPRDSIEM02</v>
      </c>
    </row>
    <row r="480" spans="1:7" ht="11.25" customHeight="1">
      <c r="A480" t="s">
        <v>154</v>
      </c>
      <c r="B480" t="s">
        <v>61</v>
      </c>
      <c r="C480" t="s">
        <v>51</v>
      </c>
      <c r="D480" t="s">
        <v>155</v>
      </c>
      <c r="E480" t="s">
        <v>156</v>
      </c>
      <c r="F480" t="s">
        <v>75</v>
      </c>
      <c r="G480" t="str">
        <f>VLOOKUP(A:A,INVENTÁRIO_05_2025!A:A,1,0)</f>
        <v>SPRDAPSSAGRU01</v>
      </c>
    </row>
    <row r="481" spans="1:7" ht="11.25" customHeight="1">
      <c r="A481" t="s">
        <v>279</v>
      </c>
      <c r="B481" t="s">
        <v>61</v>
      </c>
      <c r="C481" t="s">
        <v>51</v>
      </c>
      <c r="D481" t="s">
        <v>280</v>
      </c>
      <c r="E481" t="s">
        <v>156</v>
      </c>
      <c r="F481" t="s">
        <v>75</v>
      </c>
      <c r="G481" t="str">
        <f>VLOOKUP(A:A,INVENTÁRIO_05_2025!A:A,1,0)</f>
        <v>SPRDAPEVFWGRU01</v>
      </c>
    </row>
    <row r="482" spans="1:7" ht="11.25" customHeight="1">
      <c r="A482" t="s">
        <v>299</v>
      </c>
      <c r="B482" t="s">
        <v>61</v>
      </c>
      <c r="C482" t="s">
        <v>51</v>
      </c>
      <c r="D482" t="s">
        <v>295</v>
      </c>
      <c r="E482" t="s">
        <v>156</v>
      </c>
      <c r="F482" t="s">
        <v>75</v>
      </c>
      <c r="G482" t="str">
        <f>VLOOKUP(A:A,INVENTÁRIO_05_2025!A:A,1,0)</f>
        <v>SPRDAPIHSGRU03</v>
      </c>
    </row>
    <row r="483" spans="1:7" ht="11.25" customHeight="1">
      <c r="A483" t="s">
        <v>245</v>
      </c>
      <c r="B483" t="s">
        <v>50</v>
      </c>
      <c r="C483" t="s">
        <v>116</v>
      </c>
      <c r="D483" t="s">
        <v>242</v>
      </c>
      <c r="E483" t="s">
        <v>156</v>
      </c>
      <c r="F483" t="s">
        <v>75</v>
      </c>
      <c r="G483" t="str">
        <f>VLOOKUP(A:A,INVENTÁRIO_05_2025!A:A,1,0)</f>
        <v>SPRDAPJPGRUXX</v>
      </c>
    </row>
    <row r="484" spans="1:7" ht="11.25" customHeight="1">
      <c r="A484" t="s">
        <v>281</v>
      </c>
      <c r="B484" t="s">
        <v>61</v>
      </c>
      <c r="C484" t="s">
        <v>51</v>
      </c>
      <c r="D484" t="s">
        <v>280</v>
      </c>
      <c r="E484" t="s">
        <v>156</v>
      </c>
      <c r="F484" t="s">
        <v>75</v>
      </c>
      <c r="G484" t="str">
        <f>VLOOKUP(A:A,INVENTÁRIO_05_2025!A:A,1,0)</f>
        <v>SPRDAPSMSGRU02</v>
      </c>
    </row>
    <row r="485" spans="1:7" ht="11.25" customHeight="1">
      <c r="A485" t="s">
        <v>636</v>
      </c>
      <c r="B485" t="s">
        <v>50</v>
      </c>
      <c r="C485" t="s">
        <v>116</v>
      </c>
      <c r="D485" t="s">
        <v>219</v>
      </c>
      <c r="E485" t="s">
        <v>156</v>
      </c>
      <c r="F485" t="s">
        <v>75</v>
      </c>
      <c r="G485" t="e">
        <f>VLOOKUP(A:A,INVENTÁRIO_05_2025!A:A,1,0)</f>
        <v>#N/A</v>
      </c>
    </row>
    <row r="486" spans="1:7" ht="11.25" customHeight="1">
      <c r="A486" t="s">
        <v>266</v>
      </c>
      <c r="B486" t="s">
        <v>50</v>
      </c>
      <c r="C486" t="s">
        <v>116</v>
      </c>
      <c r="D486" t="s">
        <v>247</v>
      </c>
      <c r="E486" t="s">
        <v>156</v>
      </c>
      <c r="F486" t="s">
        <v>75</v>
      </c>
      <c r="G486" t="str">
        <f>VLOOKUP(A:A,INVENTÁRIO_05_2025!A:A,1,0)</f>
        <v>SPRDVCSQLGRU06</v>
      </c>
    </row>
    <row r="487" spans="1:7" ht="11.25" customHeight="1">
      <c r="A487" t="s">
        <v>172</v>
      </c>
      <c r="B487" t="s">
        <v>50</v>
      </c>
      <c r="C487" t="s">
        <v>116</v>
      </c>
      <c r="D487" t="s">
        <v>163</v>
      </c>
      <c r="E487" t="s">
        <v>156</v>
      </c>
      <c r="F487" t="s">
        <v>75</v>
      </c>
      <c r="G487" t="e">
        <f>VLOOKUP(A:A,INVENTÁRIO_05_2025!A:A,1,0)</f>
        <v>#N/A</v>
      </c>
    </row>
    <row r="488" spans="1:7" ht="11.25" customHeight="1">
      <c r="A488" t="s">
        <v>556</v>
      </c>
      <c r="B488" t="s">
        <v>50</v>
      </c>
      <c r="C488" t="s">
        <v>51</v>
      </c>
      <c r="D488" t="s">
        <v>109</v>
      </c>
      <c r="E488" t="s">
        <v>156</v>
      </c>
      <c r="F488" t="s">
        <v>560</v>
      </c>
      <c r="G488" t="str">
        <f>VLOOKUP(A:A,INVENTÁRIO_05_2025!A:A,1,0)</f>
        <v>Unknown 41</v>
      </c>
    </row>
  </sheetData>
  <autoFilter ref="A1:G488"/>
  <conditionalFormatting sqref="A1:A1048576">
    <cfRule type="duplicateValues" dxfId="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B2:N38"/>
  <sheetViews>
    <sheetView showGridLines="0" showRowColHeaders="0" topLeftCell="B20" zoomScale="85" zoomScaleNormal="85" workbookViewId="0">
      <selection activeCell="B2" sqref="B2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49" t="s">
        <v>640</v>
      </c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2" t="s">
        <v>1</v>
      </c>
      <c r="C4" s="53"/>
      <c r="D4" s="4"/>
      <c r="E4" s="52" t="s">
        <v>2</v>
      </c>
      <c r="F4" s="53"/>
      <c r="G4" s="4"/>
      <c r="H4" s="52" t="s">
        <v>3</v>
      </c>
      <c r="I4" s="53"/>
      <c r="K4" s="52" t="s">
        <v>4</v>
      </c>
      <c r="L4" s="53"/>
    </row>
    <row r="5" spans="2:12">
      <c r="B5" s="5" t="s">
        <v>5</v>
      </c>
      <c r="C5" s="6">
        <f>COUNTIFS(INVENTÁRIO_05_2025!C:C,"Linux",INVENTÁRIO_05_2025!E:E,"Virtual")</f>
        <v>106</v>
      </c>
      <c r="D5" s="7"/>
      <c r="E5" s="5" t="s">
        <v>6</v>
      </c>
      <c r="F5" s="6">
        <f>COUNTIFS(INVENTÁRIO_05_2025!C:C,"Linux",INVENTÁRIO_05_2025!E:E,"Fisico")</f>
        <v>50</v>
      </c>
      <c r="G5" s="7"/>
      <c r="H5" s="5" t="s">
        <v>5</v>
      </c>
      <c r="I5" s="6">
        <f>COUNTIFS(INVENTÁRIO_05_2025!C:C,"Windows",INVENTÁRIO_05_2025!E:E,"Virtual")</f>
        <v>283</v>
      </c>
      <c r="K5" s="5" t="s">
        <v>6</v>
      </c>
      <c r="L5" s="6">
        <f>COUNTIFS(INVENTÁRIO_05_2025!C:C,"Windows",INVENTÁRIO_05_2025!E:E,"Fisico")</f>
        <v>49</v>
      </c>
    </row>
    <row r="6" spans="2:12">
      <c r="B6" s="5" t="s">
        <v>7</v>
      </c>
      <c r="C6" s="6">
        <f>COUNTIFS(INVENTÁRIO_05_2025!B:B,"poweredOff",INVENTÁRIO_05_2025!C:C,"Linux",INVENTÁRIO_05_2025!E:E,"Virtual")</f>
        <v>11</v>
      </c>
      <c r="D6" s="7"/>
      <c r="E6" s="5" t="s">
        <v>7</v>
      </c>
      <c r="F6" s="6">
        <f>COUNTIFS(INVENTÁRIO_05_2025!B:B,"poweredOff",INVENTÁRIO_05_2025!C:C,"Linux",INVENTÁRIO_05_2025!E:E,"Fisico")</f>
        <v>4</v>
      </c>
      <c r="G6" s="7"/>
      <c r="H6" s="5" t="s">
        <v>7</v>
      </c>
      <c r="I6" s="6">
        <f>COUNTIFS(INVENTÁRIO_05_2025!B:B,"poweredOff",INVENTÁRIO_05_2025!C:C,"Windows",INVENTÁRIO_05_2025!E:E,"Virtual")</f>
        <v>16</v>
      </c>
      <c r="K6" s="5" t="s">
        <v>7</v>
      </c>
      <c r="L6" s="6">
        <f>COUNTIFS(INVENTÁRIO_05_2025!B:B,"poweredOff",INVENTÁRIO_05_2025!C:C,"Windows",INVENTÁRIO_05_2025!E:E,"Fisico")</f>
        <v>28</v>
      </c>
    </row>
    <row r="7" spans="2:12">
      <c r="B7" s="5" t="s">
        <v>8</v>
      </c>
      <c r="C7" s="6">
        <f>COUNTIFS(INVENTÁRIO_05_2025!B:B,"poweredOn",INVENTÁRIO_05_2025!C:C,"Linux",INVENTÁRIO_05_2025!E:E,"Virtual")</f>
        <v>95</v>
      </c>
      <c r="D7" s="7"/>
      <c r="E7" s="5" t="s">
        <v>8</v>
      </c>
      <c r="F7" s="6">
        <f>COUNTIFS(INVENTÁRIO_05_2025!B:B,"poweredOn",INVENTÁRIO_05_2025!C:C,"Linux",INVENTÁRIO_05_2025!E:E,"Fisico")</f>
        <v>46</v>
      </c>
      <c r="G7" s="7"/>
      <c r="H7" s="5" t="s">
        <v>8</v>
      </c>
      <c r="I7" s="6">
        <f>COUNTIFS(INVENTÁRIO_05_2025!B:B,"poweredOn",INVENTÁRIO_05_2025!C:C,"Windows",INVENTÁRIO_05_2025!E:E,"Virtual")</f>
        <v>267</v>
      </c>
      <c r="K7" s="5" t="s">
        <v>8</v>
      </c>
      <c r="L7" s="6">
        <f>COUNTIFS(INVENTÁRIO_05_2025!B:B,"poweredOn",INVENTÁRIO_05_2025!C:C,"Windows",INVENTÁRIO_05_2025!E:E,"Fisico")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COUNTIFS(INVENTÁRIO_05_2025!C:C,"Linux",INVENTÁRIO_05_2025!D:D,"*RedHat 9*",INVENTÁRIO_05_2025!E:E,"Virtual")</f>
        <v>16</v>
      </c>
      <c r="D9" s="7"/>
      <c r="E9" s="5" t="s">
        <v>9</v>
      </c>
      <c r="F9" s="6">
        <f>COUNTIFS(INVENTÁRIO_05_2025!C:C,"Linux",INVENTÁRIO_05_2025!D:D,"*RedHat 9*",INVENTÁRIO_05_2025!E:E,"Fisico")</f>
        <v>0</v>
      </c>
      <c r="G9" s="7"/>
      <c r="H9" s="5" t="s">
        <v>10</v>
      </c>
      <c r="I9" s="6">
        <f>COUNTIFS(INVENTÁRIO_05_2025!C:C,"Windows",INVENTÁRIO_05_2025!D:D,"*2022*",INVENTÁRIO_05_2025!E:E,"Virtual")</f>
        <v>29</v>
      </c>
      <c r="K9" s="5" t="s">
        <v>10</v>
      </c>
      <c r="L9" s="6">
        <f>COUNTIFS(INVENTÁRIO_05_2025!C:C,"Windows",INVENTÁRIO_05_2025!D:D,"*2022*",INVENTÁRIO_05_2025!E:E,"Fisico")</f>
        <v>22</v>
      </c>
    </row>
    <row r="10" spans="2:12">
      <c r="B10" s="5" t="s">
        <v>11</v>
      </c>
      <c r="C10" s="6">
        <f>COUNTIFS(INVENTÁRIO_05_2025!C:C,"Linux",INVENTÁRIO_05_2025!D:D,"*RedHat 8*",INVENTÁRIO_05_2025!E:E,"Virtual")</f>
        <v>9</v>
      </c>
      <c r="D10" s="7"/>
      <c r="E10" s="5" t="s">
        <v>11</v>
      </c>
      <c r="F10" s="6">
        <f>COUNTIFS(INVENTÁRIO_05_2025!C:C,"Linux",INVENTÁRIO_05_2025!D:D,"*RedHat 8*",INVENTÁRIO_05_2025!E:E,"Fisico")</f>
        <v>2</v>
      </c>
      <c r="G10" s="7"/>
      <c r="H10" s="5" t="s">
        <v>12</v>
      </c>
      <c r="I10" s="6">
        <f>COUNTIFS(INVENTÁRIO_05_2025!C:C,"Windows",INVENTÁRIO_05_2025!D:D,"*2019*",INVENTÁRIO_05_2025!E:E,"Virtual")</f>
        <v>50</v>
      </c>
      <c r="K10" s="5" t="s">
        <v>12</v>
      </c>
      <c r="L10" s="6">
        <f>COUNTIFS(INVENTÁRIO_05_2025!C:C,"Windows",INVENTÁRIO_05_2025!D:D,"*2019*",INVENTÁRIO_05_2025!E:E,"Fisico")</f>
        <v>14</v>
      </c>
    </row>
    <row r="11" spans="2:12">
      <c r="B11" s="5" t="s">
        <v>13</v>
      </c>
      <c r="C11" s="6">
        <f>COUNTIFS(INVENTÁRIO_05_2025!C:C,"Linux",INVENTÁRIO_05_2025!D:D,"*RedHat 7*",INVENTÁRIO_05_2025!E:E,"Virtual")</f>
        <v>10</v>
      </c>
      <c r="D11" s="7"/>
      <c r="E11" s="5" t="s">
        <v>13</v>
      </c>
      <c r="F11" s="6">
        <f>COUNTIFS(INVENTÁRIO_05_2025!C:C,"Linux",INVENTÁRIO_05_2025!D:D,"*RedHat 7*",INVENTÁRIO_05_2025!E:E,"Fisico")</f>
        <v>1</v>
      </c>
      <c r="G11" s="7"/>
      <c r="H11" s="5" t="s">
        <v>14</v>
      </c>
      <c r="I11" s="6">
        <f>COUNTIFS(INVENTÁRIO_05_2025!C:C,"Windows",INVENTÁRIO_05_2025!D:D,"*2016*",INVENTÁRIO_05_2025!E:E,"Virtual")</f>
        <v>76</v>
      </c>
      <c r="K11" s="5" t="s">
        <v>14</v>
      </c>
      <c r="L11" s="6">
        <f>COUNTIFS(INVENTÁRIO_05_2025!C:C,"Windows",INVENTÁRIO_05_2025!D:D,"*2016*",INVENTÁRIO_05_2025!E:E,"Fisico")</f>
        <v>0</v>
      </c>
    </row>
    <row r="12" spans="2:12">
      <c r="B12" s="5" t="s">
        <v>15</v>
      </c>
      <c r="C12" s="6">
        <f>COUNTIFS(INVENTÁRIO_05_2025!C:C,"Linux",INVENTÁRIO_05_2025!D:D,"*RedHat 6*",INVENTÁRIO_05_2025!E:E,"Virtual")</f>
        <v>10</v>
      </c>
      <c r="D12" s="7"/>
      <c r="E12" s="5" t="s">
        <v>15</v>
      </c>
      <c r="F12" s="6">
        <f>COUNTIFS(INVENTÁRIO_05_2025!C:C,"Linux",INVENTÁRIO_05_2025!D:D,"*RedHat 6*",INVENTÁRIO_05_2025!E:E,"Fisico")</f>
        <v>23</v>
      </c>
      <c r="G12" s="7"/>
      <c r="H12" s="5" t="s">
        <v>16</v>
      </c>
      <c r="I12" s="6">
        <f>COUNTIFS(INVENTÁRIO_05_2025!C:C,"Windows",INVENTÁRIO_05_2025!D:D,"*2012*",INVENTÁRIO_05_2025!E:E,"Virtual")</f>
        <v>51</v>
      </c>
      <c r="K12" s="5" t="s">
        <v>16</v>
      </c>
      <c r="L12" s="6">
        <f>COUNTIFS(INVENTÁRIO_05_2025!C:C,"Windows",INVENTÁRIO_05_2025!D:D,"*2012*",INVENTÁRIO_05_2025!E:E,"Fisico")</f>
        <v>7</v>
      </c>
    </row>
    <row r="13" spans="2:12">
      <c r="B13" s="5" t="s">
        <v>17</v>
      </c>
      <c r="C13" s="6">
        <f>COUNTIFS(INVENTÁRIO_05_2025!C:C,"Linux",INVENTÁRIO_05_2025!D:D,"*RedHat 5*",INVENTÁRIO_05_2025!E:E,"Virtual")</f>
        <v>0</v>
      </c>
      <c r="D13" s="7"/>
      <c r="E13" s="5" t="s">
        <v>17</v>
      </c>
      <c r="F13" s="6">
        <f>COUNTIFS(INVENTÁRIO_05_2025!C:C,"Linux",INVENTÁRIO_05_2025!D:D,"*RedHat 5*",INVENTÁRIO_05_2025!E:E,"Fisico")</f>
        <v>1</v>
      </c>
      <c r="G13" s="7"/>
      <c r="H13" s="5" t="s">
        <v>18</v>
      </c>
      <c r="I13" s="6">
        <f>COUNTIFS(INVENTÁRIO_05_2025!C:C,"Windows",INVENTÁRIO_05_2025!D:D,"*2008*",INVENTÁRIO_05_2025!E:E,"Virtual")</f>
        <v>69</v>
      </c>
      <c r="K13" s="5" t="s">
        <v>18</v>
      </c>
      <c r="L13" s="6">
        <f>COUNTIFS(INVENTÁRIO_05_2025!C:C,"Windows",INVENTÁRIO_05_2025!D:D,"*2008*",INVENTÁRIO_05_2025!E:E,"Fisico")</f>
        <v>6</v>
      </c>
    </row>
    <row r="14" spans="2:12">
      <c r="B14" s="5" t="s">
        <v>19</v>
      </c>
      <c r="C14" s="6">
        <f>COUNTIFS(INVENTÁRIO_05_2025!C:C,"Linux",INVENTÁRIO_05_2025!D:D,"*Ubuntu*",INVENTÁRIO_05_2025!E:E,"Virtual")</f>
        <v>30</v>
      </c>
      <c r="D14" s="7"/>
      <c r="E14" s="5" t="s">
        <v>19</v>
      </c>
      <c r="F14" s="6">
        <f>COUNTIFS(INVENTÁRIO_05_2025!C:C,"Linux",INVENTÁRIO_05_2025!D:D,"*Ubuntu*",INVENTÁRIO_05_2025!E:E,"Fisico")</f>
        <v>1</v>
      </c>
      <c r="G14" s="7"/>
      <c r="H14" s="5" t="s">
        <v>20</v>
      </c>
      <c r="I14" s="6">
        <f>COUNTIFS(INVENTÁRIO_05_2025!C:C,"Windows",INVENTÁRIO_05_2025!D:D,"*10*",INVENTÁRIO_05_2025!E:E,"Virtual")</f>
        <v>3</v>
      </c>
      <c r="K14" s="5" t="s">
        <v>20</v>
      </c>
      <c r="L14" s="6">
        <f>COUNTIFS(INVENTÁRIO_05_2025!C:C,"Windows",INVENTÁRIO_05_2025!D:D,"*10*",INVENTÁRIO_05_2025!E:E,"Fisico")</f>
        <v>0</v>
      </c>
    </row>
    <row r="15" spans="2:12">
      <c r="B15" s="5" t="s">
        <v>21</v>
      </c>
      <c r="C15" s="6">
        <f>COUNTIFS(INVENTÁRIO_05_2025!C:C,"Linux",INVENTÁRIO_05_2025!D:D,"*Centos*",INVENTÁRIO_05_2025!E:E,"Virtual")</f>
        <v>6</v>
      </c>
      <c r="D15" s="7"/>
      <c r="E15" s="5" t="s">
        <v>21</v>
      </c>
      <c r="F15" s="6">
        <f>COUNTIFS(INVENTÁRIO_05_2025!C:C,"Linux",INVENTÁRIO_05_2025!D:D,"*Centos*",INVENTÁRIO_05_2025!E:E,"Fisico")</f>
        <v>0</v>
      </c>
      <c r="G15" s="7"/>
      <c r="H15" s="5" t="s">
        <v>22</v>
      </c>
      <c r="I15" s="6">
        <f>COUNTIFS(INVENTÁRIO_05_2025!C:C,"Windows",INVENTÁRIO_05_2025!D:D,"*Windows 8*",INVENTÁRIO_05_2025!E:E,"Virtual")</f>
        <v>1</v>
      </c>
      <c r="K15" s="5" t="s">
        <v>22</v>
      </c>
      <c r="L15" s="6">
        <f>COUNTIFS(INVENTÁRIO_05_2025!C:C,"Windows",INVENTÁRIO_05_2025!D:D,"*Windows 8*",INVENTÁRIO_05_2025!E:E,"Fisico")</f>
        <v>0</v>
      </c>
    </row>
    <row r="16" spans="2:12">
      <c r="B16" s="5" t="s">
        <v>23</v>
      </c>
      <c r="C16" s="6">
        <f>COUNTIFS(INVENTÁRIO_05_2025!C:C,"Linux",INVENTÁRIO_05_2025!D:D,"*Debian*",INVENTÁRIO_05_2025!E:E,"Virtual")</f>
        <v>6</v>
      </c>
      <c r="D16" s="7"/>
      <c r="E16" s="5" t="s">
        <v>23</v>
      </c>
      <c r="F16" s="6">
        <f>COUNTIFS(INVENTÁRIO_05_2025!C:C,"Linux",INVENTÁRIO_05_2025!D:D,"*Debian*",INVENTÁRIO_05_2025!E:E,"Fisico")</f>
        <v>0</v>
      </c>
      <c r="G16" s="7"/>
      <c r="H16" s="12" t="s">
        <v>24</v>
      </c>
      <c r="I16" s="13">
        <f>COUNTIFS(INVENTÁRIO_05_2025!C:C,"Windows",INVENTÁRIO_05_2025!D:D,"*7*",INVENTÁRIO_05_2025!E:E,"Virtual")</f>
        <v>4</v>
      </c>
      <c r="K16" s="12" t="s">
        <v>24</v>
      </c>
      <c r="L16" s="13">
        <f>COUNTIFS(INVENTÁRIO_05_2025!C:C,"Windows",INVENTÁRIO_05_2025!D:D,"*7*",INVENTÁRIO_05_2025!E:E,"Fisico")</f>
        <v>0</v>
      </c>
    </row>
    <row r="17" spans="2:12">
      <c r="B17" s="5" t="s">
        <v>25</v>
      </c>
      <c r="C17" s="6">
        <f>COUNTIFS(INVENTÁRIO_05_2025!C:C,"Linux",INVENTÁRIO_05_2025!D:D,"*Suse*",INVENTÁRIO_05_2025!E:E,"Virtual")</f>
        <v>9</v>
      </c>
      <c r="D17" s="7"/>
      <c r="E17" s="5" t="s">
        <v>25</v>
      </c>
      <c r="F17" s="6">
        <f>COUNTIFS(INVENTÁRIO_05_2025!C:C,"Linux",INVENTÁRIO_05_2025!D:D,"*Suse*",INVENTÁRIO_05_2025!E:E,"Fisico")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96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2" t="s">
        <v>28</v>
      </c>
      <c r="C22" s="53"/>
      <c r="E22" s="54" t="s">
        <v>611</v>
      </c>
      <c r="F22" s="55"/>
      <c r="H22" s="54" t="s">
        <v>30</v>
      </c>
      <c r="I22" s="55"/>
      <c r="K22" s="52" t="s">
        <v>612</v>
      </c>
      <c r="L22" s="53"/>
    </row>
    <row r="23" spans="2:12">
      <c r="B23" s="8" t="s">
        <v>10</v>
      </c>
      <c r="C23" s="9">
        <f>I9+L9</f>
        <v>51</v>
      </c>
      <c r="E23" s="30" t="s">
        <v>641</v>
      </c>
      <c r="F23" s="31"/>
      <c r="H23" s="30" t="s">
        <v>642</v>
      </c>
      <c r="I23" s="31"/>
      <c r="K23" s="8" t="s">
        <v>32</v>
      </c>
      <c r="L23" s="9">
        <f>L25+L24</f>
        <v>488</v>
      </c>
    </row>
    <row r="24" spans="2:12">
      <c r="B24" s="8" t="s">
        <v>12</v>
      </c>
      <c r="C24" s="9">
        <f>I10+L10</f>
        <v>64</v>
      </c>
      <c r="E24" s="32" t="s">
        <v>643</v>
      </c>
      <c r="F24" s="33"/>
      <c r="H24" s="32" t="s">
        <v>406</v>
      </c>
      <c r="I24" s="33"/>
      <c r="K24" s="8" t="s">
        <v>33</v>
      </c>
      <c r="L24" s="9">
        <f>C5+F5</f>
        <v>156</v>
      </c>
    </row>
    <row r="25" spans="2:12">
      <c r="B25" s="8" t="s">
        <v>14</v>
      </c>
      <c r="C25" s="9">
        <f>I11</f>
        <v>76</v>
      </c>
      <c r="E25" s="32" t="s">
        <v>644</v>
      </c>
      <c r="F25" s="33"/>
      <c r="H25" s="32" t="s">
        <v>645</v>
      </c>
      <c r="I25" s="33"/>
      <c r="K25" s="8" t="s">
        <v>34</v>
      </c>
      <c r="L25" s="9">
        <f>L5+I5</f>
        <v>332</v>
      </c>
    </row>
    <row r="26" spans="2:12">
      <c r="B26" s="8" t="s">
        <v>18</v>
      </c>
      <c r="C26" s="9">
        <f>I13+L13</f>
        <v>75</v>
      </c>
      <c r="E26" s="32" t="s">
        <v>646</v>
      </c>
      <c r="F26" s="33"/>
      <c r="H26" s="32" t="s">
        <v>647</v>
      </c>
      <c r="I26" s="33"/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58</v>
      </c>
      <c r="E27" s="32" t="s">
        <v>648</v>
      </c>
      <c r="F27" s="33"/>
      <c r="H27" s="32" t="s">
        <v>463</v>
      </c>
      <c r="I27" s="33"/>
      <c r="K27" s="8" t="s">
        <v>5</v>
      </c>
      <c r="L27" s="9">
        <f>C5+I5</f>
        <v>389</v>
      </c>
    </row>
    <row r="28" spans="2:12">
      <c r="B28" s="8" t="s">
        <v>35</v>
      </c>
      <c r="C28" s="9">
        <f>C9+C10+C11+C12+C13+F9+F10+F11+F12+F13</f>
        <v>72</v>
      </c>
      <c r="E28" s="32" t="s">
        <v>649</v>
      </c>
      <c r="F28" s="33"/>
      <c r="H28" s="32" t="s">
        <v>492</v>
      </c>
      <c r="I28" s="33"/>
      <c r="K28" s="8" t="s">
        <v>37</v>
      </c>
      <c r="L28" s="9">
        <f>C7+F7+I7+L7</f>
        <v>429</v>
      </c>
    </row>
    <row r="29" spans="2:12">
      <c r="B29" s="8" t="s">
        <v>36</v>
      </c>
      <c r="C29" s="9">
        <f>C14+F14</f>
        <v>31</v>
      </c>
      <c r="E29" s="32" t="s">
        <v>650</v>
      </c>
      <c r="F29" s="33"/>
      <c r="H29" s="32" t="s">
        <v>506</v>
      </c>
      <c r="I29" s="33"/>
      <c r="K29" s="8" t="s">
        <v>39</v>
      </c>
      <c r="L29" s="9">
        <f>C6+F6+I6+L6</f>
        <v>59</v>
      </c>
    </row>
    <row r="30" spans="2:12">
      <c r="B30" s="8" t="s">
        <v>38</v>
      </c>
      <c r="C30" s="9">
        <f>C15+F15</f>
        <v>6</v>
      </c>
      <c r="E30" s="32" t="s">
        <v>651</v>
      </c>
      <c r="F30" s="33"/>
      <c r="H30" s="32" t="s">
        <v>507</v>
      </c>
      <c r="I30" s="33"/>
      <c r="K30" s="8" t="s">
        <v>621</v>
      </c>
      <c r="L30" s="9">
        <v>14</v>
      </c>
    </row>
    <row r="31" spans="2:12">
      <c r="B31" s="8" t="s">
        <v>40</v>
      </c>
      <c r="C31" s="9">
        <f>C17+F17</f>
        <v>9</v>
      </c>
      <c r="E31" s="32" t="s">
        <v>652</v>
      </c>
      <c r="F31" s="33"/>
      <c r="H31" s="32" t="s">
        <v>653</v>
      </c>
      <c r="I31" s="33"/>
      <c r="K31" s="8" t="s">
        <v>623</v>
      </c>
      <c r="L31" s="9">
        <v>13</v>
      </c>
    </row>
    <row r="32" spans="2:12" ht="18" thickBot="1">
      <c r="B32" s="14" t="s">
        <v>654</v>
      </c>
      <c r="C32" s="11">
        <f>C19+F19+I14+I15+I16+C16+F16</f>
        <v>46</v>
      </c>
      <c r="E32" s="32" t="s">
        <v>655</v>
      </c>
      <c r="F32" s="33"/>
      <c r="H32" s="32" t="s">
        <v>620</v>
      </c>
      <c r="I32" s="33"/>
    </row>
    <row r="33" spans="5:14">
      <c r="E33" s="32" t="s">
        <v>656</v>
      </c>
      <c r="F33" s="33"/>
      <c r="H33" s="32" t="s">
        <v>657</v>
      </c>
      <c r="I33" s="33"/>
    </row>
    <row r="34" spans="5:14">
      <c r="E34" s="32" t="s">
        <v>658</v>
      </c>
      <c r="F34" s="33"/>
      <c r="H34" s="32" t="s">
        <v>636</v>
      </c>
      <c r="I34" s="33"/>
    </row>
    <row r="35" spans="5:14">
      <c r="E35" s="32" t="s">
        <v>659</v>
      </c>
      <c r="F35" s="33"/>
      <c r="H35" s="32" t="s">
        <v>660</v>
      </c>
      <c r="I35" s="33"/>
    </row>
    <row r="36" spans="5:14" ht="18" thickBot="1">
      <c r="E36" s="34" t="s">
        <v>661</v>
      </c>
      <c r="F36" s="35"/>
      <c r="H36" s="34"/>
      <c r="I36" s="35"/>
    </row>
    <row r="37" spans="5:14">
      <c r="M37" s="7"/>
      <c r="N37" s="7"/>
    </row>
    <row r="38" spans="5:14">
      <c r="M38" s="7"/>
      <c r="N38" s="7"/>
    </row>
  </sheetData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H489"/>
  <sheetViews>
    <sheetView zoomScaleNormal="100" workbookViewId="0">
      <pane ySplit="1" topLeftCell="A3" activePane="bottomLeft" state="frozen"/>
      <selection pane="bottomLeft" activeCell="D3" sqref="D3"/>
    </sheetView>
  </sheetViews>
  <sheetFormatPr defaultColWidth="9" defaultRowHeight="11.25" customHeight="1"/>
  <cols>
    <col min="1" max="1" width="35.69921875" customWidth="1"/>
    <col min="2" max="2" width="17" customWidth="1"/>
    <col min="3" max="3" width="9.59765625" bestFit="1" customWidth="1"/>
    <col min="4" max="4" width="39.296875" bestFit="1" customWidth="1"/>
    <col min="5" max="5" width="17.8984375" customWidth="1"/>
    <col min="6" max="6" width="22.69921875" bestFit="1" customWidth="1"/>
    <col min="7" max="7" width="26.296875" customWidth="1"/>
    <col min="8" max="8" width="44.296875" bestFit="1" customWidth="1"/>
  </cols>
  <sheetData>
    <row r="1" spans="1:8" ht="11.25" customHeight="1">
      <c r="A1" t="s">
        <v>43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663</v>
      </c>
      <c r="H1" t="s">
        <v>664</v>
      </c>
    </row>
    <row r="2" spans="1:8" ht="13.8">
      <c r="A2" t="s">
        <v>325</v>
      </c>
      <c r="B2" t="s">
        <v>50</v>
      </c>
      <c r="C2" t="s">
        <v>51</v>
      </c>
      <c r="D2" t="s">
        <v>326</v>
      </c>
      <c r="E2" t="s">
        <v>156</v>
      </c>
      <c r="F2" t="s">
        <v>560</v>
      </c>
      <c r="G2" t="str">
        <f>VLOOKUP(A:A,INVENTÁRIO_04_2025!A:A,1,0)</f>
        <v>SPRDAPCSCOGRU02</v>
      </c>
      <c r="H2" t="e">
        <f>VLOOKUP(A:A,INVENTÁRIO_06_2025!A:A,1,0)</f>
        <v>#N/A</v>
      </c>
    </row>
    <row r="3" spans="1:8" ht="13.8">
      <c r="A3" t="s">
        <v>344</v>
      </c>
      <c r="B3" t="s">
        <v>61</v>
      </c>
      <c r="C3" t="s">
        <v>116</v>
      </c>
      <c r="D3" t="s">
        <v>345</v>
      </c>
      <c r="E3" t="s">
        <v>156</v>
      </c>
      <c r="F3" t="s">
        <v>560</v>
      </c>
      <c r="G3" t="str">
        <f>VLOOKUP(A:A,INVENTÁRIO_04_2025!A:A,1,0)</f>
        <v>GRU-VMSLOT-AMS</v>
      </c>
      <c r="H3" t="e">
        <f>VLOOKUP(A:A,INVENTÁRIO_06_2025!A:A,1,0)</f>
        <v>#N/A</v>
      </c>
    </row>
    <row r="4" spans="1:8" ht="13.8">
      <c r="A4" t="s">
        <v>346</v>
      </c>
      <c r="B4" t="s">
        <v>50</v>
      </c>
      <c r="C4" t="s">
        <v>116</v>
      </c>
      <c r="D4" t="s">
        <v>347</v>
      </c>
      <c r="E4" t="s">
        <v>156</v>
      </c>
      <c r="F4" t="s">
        <v>560</v>
      </c>
      <c r="G4" t="str">
        <f>VLOOKUP(A:A,INVENTÁRIO_04_2025!A:A,1,0)</f>
        <v>GRU-CCURE-01</v>
      </c>
      <c r="H4" t="e">
        <f>VLOOKUP(A:A,INVENTÁRIO_06_2025!A:A,1,0)</f>
        <v>#N/A</v>
      </c>
    </row>
    <row r="5" spans="1:8" ht="13.8">
      <c r="A5" t="s">
        <v>397</v>
      </c>
      <c r="B5" t="s">
        <v>50</v>
      </c>
      <c r="C5" t="s">
        <v>116</v>
      </c>
      <c r="D5" t="s">
        <v>163</v>
      </c>
      <c r="E5" t="s">
        <v>156</v>
      </c>
      <c r="F5" t="s">
        <v>560</v>
      </c>
      <c r="G5" t="str">
        <f>VLOOKUP(A:A,INVENTÁRIO_04_2025!A:A,1,0)</f>
        <v>SPRDCCTVGRU19.gru.local</v>
      </c>
      <c r="H5" t="e">
        <f>VLOOKUP(A:A,INVENTÁRIO_06_2025!A:A,1,0)</f>
        <v>#N/A</v>
      </c>
    </row>
    <row r="6" spans="1:8" ht="13.8">
      <c r="A6" t="s">
        <v>398</v>
      </c>
      <c r="B6" t="s">
        <v>50</v>
      </c>
      <c r="C6" t="s">
        <v>116</v>
      </c>
      <c r="D6" t="s">
        <v>163</v>
      </c>
      <c r="E6" t="s">
        <v>156</v>
      </c>
      <c r="F6" t="s">
        <v>560</v>
      </c>
      <c r="G6" t="str">
        <f>VLOOKUP(A:A,INVENTÁRIO_04_2025!A:A,1,0)</f>
        <v>SPRDCCTVGRU22</v>
      </c>
      <c r="H6" t="e">
        <f>VLOOKUP(A:A,INVENTÁRIO_06_2025!A:A,1,0)</f>
        <v>#N/A</v>
      </c>
    </row>
    <row r="7" spans="1:8" ht="13.8">
      <c r="A7" t="s">
        <v>399</v>
      </c>
      <c r="B7" t="s">
        <v>50</v>
      </c>
      <c r="C7" t="s">
        <v>116</v>
      </c>
      <c r="D7" t="s">
        <v>163</v>
      </c>
      <c r="E7" t="s">
        <v>156</v>
      </c>
      <c r="F7" t="s">
        <v>560</v>
      </c>
      <c r="G7" t="str">
        <f>VLOOKUP(A:A,INVENTÁRIO_04_2025!A:A,1,0)</f>
        <v>SPRDCCTVGRU23</v>
      </c>
      <c r="H7" t="e">
        <f>VLOOKUP(A:A,INVENTÁRIO_06_2025!A:A,1,0)</f>
        <v>#N/A</v>
      </c>
    </row>
    <row r="8" spans="1:8" ht="13.8">
      <c r="A8" t="s">
        <v>515</v>
      </c>
      <c r="B8" t="s">
        <v>50</v>
      </c>
      <c r="C8" t="s">
        <v>51</v>
      </c>
      <c r="D8" t="s">
        <v>516</v>
      </c>
      <c r="E8" t="s">
        <v>156</v>
      </c>
      <c r="F8" t="s">
        <v>560</v>
      </c>
      <c r="G8" t="str">
        <f>VLOOKUP(A:A,INVENTÁRIO_04_2025!A:A,1,0)</f>
        <v>SPRDAPCSCOGRU01</v>
      </c>
      <c r="H8" t="e">
        <f>VLOOKUP(A:A,INVENTÁRIO_06_2025!A:A,1,0)</f>
        <v>#N/A</v>
      </c>
    </row>
    <row r="9" spans="1:8" ht="13.8">
      <c r="A9" t="s">
        <v>519</v>
      </c>
      <c r="B9" t="s">
        <v>50</v>
      </c>
      <c r="C9" t="s">
        <v>51</v>
      </c>
      <c r="D9" t="s">
        <v>85</v>
      </c>
      <c r="E9" t="s">
        <v>156</v>
      </c>
      <c r="F9" t="s">
        <v>560</v>
      </c>
      <c r="G9" t="str">
        <f>VLOOKUP(A:A,INVENTÁRIO_04_2025!A:A,1,0)</f>
        <v>CLONE_SQASAPECCGRU01</v>
      </c>
      <c r="H9" t="e">
        <f>VLOOKUP(A:A,INVENTÁRIO_06_2025!A:A,1,0)</f>
        <v>#N/A</v>
      </c>
    </row>
    <row r="10" spans="1:8" ht="13.8">
      <c r="A10" t="s">
        <v>520</v>
      </c>
      <c r="B10" t="s">
        <v>61</v>
      </c>
      <c r="C10" t="s">
        <v>51</v>
      </c>
      <c r="D10" t="s">
        <v>85</v>
      </c>
      <c r="E10" t="s">
        <v>156</v>
      </c>
      <c r="F10" t="s">
        <v>560</v>
      </c>
      <c r="G10" t="str">
        <f>VLOOKUP(A:A,INVENTÁRIO_04_2025!A:A,1,0)</f>
        <v>SATI-PF</v>
      </c>
      <c r="H10" t="e">
        <f>VLOOKUP(A:A,INVENTÁRIO_06_2025!A:A,1,0)</f>
        <v>#N/A</v>
      </c>
    </row>
    <row r="11" spans="1:8" ht="13.8">
      <c r="A11" t="s">
        <v>521</v>
      </c>
      <c r="B11" t="s">
        <v>61</v>
      </c>
      <c r="C11" t="s">
        <v>51</v>
      </c>
      <c r="D11" t="s">
        <v>85</v>
      </c>
      <c r="E11" t="s">
        <v>156</v>
      </c>
      <c r="F11" t="s">
        <v>560</v>
      </c>
      <c r="G11" t="str">
        <f>VLOOKUP(A:A,INVENTÁRIO_04_2025!A:A,1,0)</f>
        <v>SDESAPNWGRU01</v>
      </c>
      <c r="H11" t="e">
        <f>VLOOKUP(A:A,INVENTÁRIO_06_2025!A:A,1,0)</f>
        <v>#N/A</v>
      </c>
    </row>
    <row r="12" spans="1:8" ht="13.8">
      <c r="A12" t="s">
        <v>665</v>
      </c>
      <c r="B12" t="s">
        <v>50</v>
      </c>
      <c r="C12" t="s">
        <v>51</v>
      </c>
      <c r="D12" t="s">
        <v>109</v>
      </c>
      <c r="E12" t="s">
        <v>156</v>
      </c>
      <c r="F12" t="s">
        <v>560</v>
      </c>
      <c r="G12" t="e">
        <f>VLOOKUP(A:A,INVENTÁRIO_04_2025!A:A,1,0)</f>
        <v>#N/A</v>
      </c>
      <c r="H12" t="e">
        <f>VLOOKUP(A:A,INVENTÁRIO_06_2025!A:A,1,0)</f>
        <v>#N/A</v>
      </c>
    </row>
    <row r="13" spans="1:8" ht="13.8">
      <c r="A13" t="s">
        <v>666</v>
      </c>
      <c r="B13" t="s">
        <v>61</v>
      </c>
      <c r="C13" t="s">
        <v>51</v>
      </c>
      <c r="D13" t="s">
        <v>109</v>
      </c>
      <c r="E13" t="s">
        <v>156</v>
      </c>
      <c r="F13" t="s">
        <v>560</v>
      </c>
      <c r="G13" t="e">
        <f>VLOOKUP(A:A,INVENTÁRIO_04_2025!A:A,1,0)</f>
        <v>#N/A</v>
      </c>
      <c r="H13" t="e">
        <f>VLOOKUP(A:A,INVENTÁRIO_06_2025!A:A,1,0)</f>
        <v>#N/A</v>
      </c>
    </row>
    <row r="14" spans="1:8" ht="13.8">
      <c r="A14" t="s">
        <v>533</v>
      </c>
      <c r="B14" t="s">
        <v>61</v>
      </c>
      <c r="C14" t="s">
        <v>51</v>
      </c>
      <c r="D14" t="s">
        <v>109</v>
      </c>
      <c r="E14" t="s">
        <v>156</v>
      </c>
      <c r="F14" t="s">
        <v>560</v>
      </c>
      <c r="G14" t="str">
        <f>VLOOKUP(A:A,INVENTÁRIO_04_2025!A:A,1,0)</f>
        <v>SSP0200</v>
      </c>
      <c r="H14" t="e">
        <f>VLOOKUP(A:A,INVENTÁRIO_06_2025!A:A,1,0)</f>
        <v>#N/A</v>
      </c>
    </row>
    <row r="15" spans="1:8" ht="13.8">
      <c r="A15" t="s">
        <v>556</v>
      </c>
      <c r="B15" t="s">
        <v>50</v>
      </c>
      <c r="C15" t="s">
        <v>51</v>
      </c>
      <c r="D15" t="s">
        <v>109</v>
      </c>
      <c r="E15" t="s">
        <v>156</v>
      </c>
      <c r="F15" t="s">
        <v>560</v>
      </c>
      <c r="G15" t="str">
        <f>VLOOKUP(A:A,INVENTÁRIO_04_2025!A:A,1,0)</f>
        <v>Unknown 41</v>
      </c>
      <c r="H15" t="e">
        <f>VLOOKUP(A:A,INVENTÁRIO_06_2025!A:A,1,0)</f>
        <v>#N/A</v>
      </c>
    </row>
    <row r="16" spans="1:8" ht="13.8">
      <c r="A16" t="s">
        <v>617</v>
      </c>
      <c r="B16" t="s">
        <v>50</v>
      </c>
      <c r="C16" t="s">
        <v>51</v>
      </c>
      <c r="D16" t="s">
        <v>295</v>
      </c>
      <c r="E16" t="s">
        <v>156</v>
      </c>
      <c r="F16" t="s">
        <v>560</v>
      </c>
      <c r="G16" t="str">
        <f>VLOOKUP(A:A,INVENTÁRIO_04_2025!A:A,1,0)</f>
        <v>SHOMAPCUPSGRU01</v>
      </c>
      <c r="H16" t="e">
        <f>VLOOKUP(A:A,INVENTÁRIO_06_2025!A:A,1,0)</f>
        <v>#N/A</v>
      </c>
    </row>
    <row r="17" spans="1:8" ht="13.8">
      <c r="A17" t="s">
        <v>622</v>
      </c>
      <c r="B17" t="s">
        <v>50</v>
      </c>
      <c r="C17" t="s">
        <v>51</v>
      </c>
      <c r="D17" t="s">
        <v>295</v>
      </c>
      <c r="E17" t="s">
        <v>156</v>
      </c>
      <c r="F17" t="s">
        <v>560</v>
      </c>
      <c r="G17" t="str">
        <f>VLOOKUP(A:A,INVENTÁRIO_04_2025!A:A,1,0)</f>
        <v>TP_REDHAT9.4_16102024</v>
      </c>
      <c r="H17" t="e">
        <f>VLOOKUP(A:A,INVENTÁRIO_06_2025!A:A,1,0)</f>
        <v>#N/A</v>
      </c>
    </row>
    <row r="18" spans="1:8" ht="13.8">
      <c r="A18" t="s">
        <v>667</v>
      </c>
      <c r="B18" t="s">
        <v>50</v>
      </c>
      <c r="C18" t="s">
        <v>51</v>
      </c>
      <c r="D18" t="s">
        <v>114</v>
      </c>
      <c r="E18" t="s">
        <v>156</v>
      </c>
      <c r="F18" t="s">
        <v>560</v>
      </c>
      <c r="G18" t="e">
        <f>VLOOKUP(A:A,INVENTÁRIO_04_2025!A:A,1,0)</f>
        <v>#N/A</v>
      </c>
      <c r="H18" t="e">
        <f>VLOOKUP(A:A,INVENTÁRIO_06_2025!A:A,1,0)</f>
        <v>#N/A</v>
      </c>
    </row>
    <row r="19" spans="1:8" ht="13.8">
      <c r="A19" t="s">
        <v>668</v>
      </c>
      <c r="B19" t="s">
        <v>50</v>
      </c>
      <c r="C19" t="s">
        <v>51</v>
      </c>
      <c r="D19" t="s">
        <v>114</v>
      </c>
      <c r="E19" t="s">
        <v>156</v>
      </c>
      <c r="F19" t="s">
        <v>560</v>
      </c>
      <c r="G19" t="e">
        <f>VLOOKUP(A:A,INVENTÁRIO_04_2025!A:A,1,0)</f>
        <v>#N/A</v>
      </c>
      <c r="H19" t="e">
        <f>VLOOKUP(A:A,INVENTÁRIO_06_2025!A:A,1,0)</f>
        <v>#N/A</v>
      </c>
    </row>
    <row r="20" spans="1:8" ht="13.8">
      <c r="A20" t="s">
        <v>624</v>
      </c>
      <c r="B20" t="s">
        <v>50</v>
      </c>
      <c r="C20" t="s">
        <v>51</v>
      </c>
      <c r="D20" t="s">
        <v>114</v>
      </c>
      <c r="E20" t="s">
        <v>156</v>
      </c>
      <c r="F20" t="s">
        <v>560</v>
      </c>
      <c r="G20" t="str">
        <f>VLOOKUP(A:A,INVENTÁRIO_04_2025!A:A,1,0)</f>
        <v>TP_UBUNTU_24</v>
      </c>
      <c r="H20" t="e">
        <f>VLOOKUP(A:A,INVENTÁRIO_06_2025!A:A,1,0)</f>
        <v>#N/A</v>
      </c>
    </row>
    <row r="21" spans="1:8" ht="13.8">
      <c r="A21" t="s">
        <v>363</v>
      </c>
      <c r="B21" t="s">
        <v>50</v>
      </c>
      <c r="C21" t="s">
        <v>116</v>
      </c>
      <c r="D21" t="s">
        <v>117</v>
      </c>
      <c r="E21" t="s">
        <v>156</v>
      </c>
      <c r="F21" t="s">
        <v>560</v>
      </c>
      <c r="G21" t="str">
        <f>VLOOKUP(A:A,INVENTÁRIO_04_2025!A:A,1,0)</f>
        <v>SPRDAPDOCGRU01</v>
      </c>
      <c r="H21" t="e">
        <f>VLOOKUP(A:A,INVENTÁRIO_06_2025!A:A,1,0)</f>
        <v>#N/A</v>
      </c>
    </row>
    <row r="22" spans="1:8" ht="13.8">
      <c r="A22" t="s">
        <v>388</v>
      </c>
      <c r="B22" t="s">
        <v>61</v>
      </c>
      <c r="C22" t="s">
        <v>116</v>
      </c>
      <c r="D22" t="s">
        <v>117</v>
      </c>
      <c r="E22" t="s">
        <v>156</v>
      </c>
      <c r="F22" t="s">
        <v>560</v>
      </c>
      <c r="G22" t="str">
        <f>VLOOKUP(A:A,INVENTÁRIO_04_2025!A:A,1,0)</f>
        <v>SPRDAPSCOGRU01</v>
      </c>
      <c r="H22" t="e">
        <f>VLOOKUP(A:A,INVENTÁRIO_06_2025!A:A,1,0)</f>
        <v>#N/A</v>
      </c>
    </row>
    <row r="23" spans="1:8" ht="13.8">
      <c r="A23" t="s">
        <v>389</v>
      </c>
      <c r="B23" t="s">
        <v>61</v>
      </c>
      <c r="C23" t="s">
        <v>116</v>
      </c>
      <c r="D23" t="s">
        <v>117</v>
      </c>
      <c r="E23" t="s">
        <v>156</v>
      </c>
      <c r="F23" t="s">
        <v>560</v>
      </c>
      <c r="G23" t="str">
        <f>VLOOKUP(A:A,INVENTÁRIO_04_2025!A:A,1,0)</f>
        <v>SPRDAPSCOGRU02</v>
      </c>
      <c r="H23" t="e">
        <f>VLOOKUP(A:A,INVENTÁRIO_06_2025!A:A,1,0)</f>
        <v>#N/A</v>
      </c>
    </row>
    <row r="24" spans="1:8" ht="13.8">
      <c r="A24" t="s">
        <v>396</v>
      </c>
      <c r="B24" t="s">
        <v>50</v>
      </c>
      <c r="C24" t="s">
        <v>116</v>
      </c>
      <c r="D24" t="s">
        <v>117</v>
      </c>
      <c r="E24" t="s">
        <v>156</v>
      </c>
      <c r="F24" t="s">
        <v>560</v>
      </c>
      <c r="G24" t="str">
        <f>VLOOKUP(A:A,INVENTÁRIO_04_2025!A:A,1,0)</f>
        <v>SPRDBDSNAGRU01</v>
      </c>
      <c r="H24" t="e">
        <f>VLOOKUP(A:A,INVENTÁRIO_06_2025!A:A,1,0)</f>
        <v>#N/A</v>
      </c>
    </row>
    <row r="25" spans="1:8" ht="13.8">
      <c r="A25" t="s">
        <v>349</v>
      </c>
      <c r="B25" t="s">
        <v>61</v>
      </c>
      <c r="C25" t="s">
        <v>116</v>
      </c>
      <c r="D25" t="s">
        <v>122</v>
      </c>
      <c r="E25" t="s">
        <v>156</v>
      </c>
      <c r="F25" t="s">
        <v>560</v>
      </c>
      <c r="G25" t="str">
        <f>VLOOKUP(A:A,INVENTÁRIO_04_2025!A:A,1,0)</f>
        <v>SAPL2-GRU</v>
      </c>
      <c r="H25" t="e">
        <f>VLOOKUP(A:A,INVENTÁRIO_06_2025!A:A,1,0)</f>
        <v>#N/A</v>
      </c>
    </row>
    <row r="26" spans="1:8" ht="13.8">
      <c r="A26" t="s">
        <v>355</v>
      </c>
      <c r="B26" t="s">
        <v>61</v>
      </c>
      <c r="C26" t="s">
        <v>116</v>
      </c>
      <c r="D26" t="s">
        <v>122</v>
      </c>
      <c r="E26" t="s">
        <v>156</v>
      </c>
      <c r="F26" t="s">
        <v>560</v>
      </c>
      <c r="G26" t="str">
        <f>VLOOKUP(A:A,INVENTÁRIO_04_2025!A:A,1,0)</f>
        <v>SHOMINTELI1-GRU</v>
      </c>
      <c r="H26" t="e">
        <f>VLOOKUP(A:A,INVENTÁRIO_06_2025!A:A,1,0)</f>
        <v>#N/A</v>
      </c>
    </row>
    <row r="27" spans="1:8" ht="13.8">
      <c r="A27" t="s">
        <v>357</v>
      </c>
      <c r="B27" t="s">
        <v>61</v>
      </c>
      <c r="C27" t="s">
        <v>116</v>
      </c>
      <c r="D27" t="s">
        <v>122</v>
      </c>
      <c r="E27" t="s">
        <v>156</v>
      </c>
      <c r="F27" t="s">
        <v>560</v>
      </c>
      <c r="G27" t="str">
        <f>VLOOKUP(A:A,INVENTÁRIO_04_2025!A:A,1,0)</f>
        <v>SINTELI1-GRU</v>
      </c>
      <c r="H27" t="e">
        <f>VLOOKUP(A:A,INVENTÁRIO_06_2025!A:A,1,0)</f>
        <v>#N/A</v>
      </c>
    </row>
    <row r="28" spans="1:8" ht="13.8">
      <c r="A28" t="s">
        <v>359</v>
      </c>
      <c r="B28" t="s">
        <v>61</v>
      </c>
      <c r="C28" t="s">
        <v>116</v>
      </c>
      <c r="D28" t="s">
        <v>122</v>
      </c>
      <c r="E28" t="s">
        <v>156</v>
      </c>
      <c r="F28" t="s">
        <v>560</v>
      </c>
      <c r="G28" t="str">
        <f>VLOOKUP(A:A,INVENTÁRIO_04_2025!A:A,1,0)</f>
        <v>SPRDAPAOGRU03</v>
      </c>
      <c r="H28" t="e">
        <f>VLOOKUP(A:A,INVENTÁRIO_06_2025!A:A,1,0)</f>
        <v>#N/A</v>
      </c>
    </row>
    <row r="29" spans="1:8" ht="13.8">
      <c r="A29" t="s">
        <v>360</v>
      </c>
      <c r="B29" t="s">
        <v>61</v>
      </c>
      <c r="C29" t="s">
        <v>116</v>
      </c>
      <c r="D29" t="s">
        <v>122</v>
      </c>
      <c r="E29" t="s">
        <v>156</v>
      </c>
      <c r="F29" t="s">
        <v>560</v>
      </c>
      <c r="G29" t="str">
        <f>VLOOKUP(A:A,INVENTÁRIO_04_2025!A:A,1,0)</f>
        <v>SPRDAPAOGRU04</v>
      </c>
      <c r="H29" t="e">
        <f>VLOOKUP(A:A,INVENTÁRIO_06_2025!A:A,1,0)</f>
        <v>#N/A</v>
      </c>
    </row>
    <row r="30" spans="1:8" ht="13.8">
      <c r="A30" t="s">
        <v>217</v>
      </c>
      <c r="B30" t="s">
        <v>61</v>
      </c>
      <c r="C30" t="s">
        <v>116</v>
      </c>
      <c r="D30" t="s">
        <v>425</v>
      </c>
      <c r="E30" t="s">
        <v>156</v>
      </c>
      <c r="F30" t="s">
        <v>75</v>
      </c>
      <c r="G30" t="str">
        <f>VLOOKUP(A:A,INVENTÁRIO_04_2025!A:A,1,0)</f>
        <v>SPRDAPESBGRU08</v>
      </c>
      <c r="H30" t="e">
        <f>VLOOKUP(A:A,INVENTÁRIO_06_2025!A:A,1,0)</f>
        <v>#N/A</v>
      </c>
    </row>
    <row r="31" spans="1:8" ht="13.8">
      <c r="A31" t="s">
        <v>669</v>
      </c>
      <c r="B31" t="s">
        <v>61</v>
      </c>
      <c r="C31" t="s">
        <v>116</v>
      </c>
      <c r="D31" t="s">
        <v>136</v>
      </c>
      <c r="E31" t="s">
        <v>156</v>
      </c>
      <c r="F31" t="s">
        <v>560</v>
      </c>
      <c r="G31" t="e">
        <f>VLOOKUP(A:A,INVENTÁRIO_04_2025!A:A,1,0)</f>
        <v>#N/A</v>
      </c>
      <c r="H31" t="e">
        <f>VLOOKUP(A:A,INVENTÁRIO_06_2025!A:A,1,0)</f>
        <v>#N/A</v>
      </c>
    </row>
    <row r="32" spans="1:8" ht="13.8">
      <c r="A32" t="s">
        <v>670</v>
      </c>
      <c r="B32" t="s">
        <v>61</v>
      </c>
      <c r="C32" t="s">
        <v>116</v>
      </c>
      <c r="D32" t="s">
        <v>136</v>
      </c>
      <c r="E32" t="s">
        <v>156</v>
      </c>
      <c r="F32" t="s">
        <v>560</v>
      </c>
      <c r="G32" t="e">
        <f>VLOOKUP(A:A,INVENTÁRIO_04_2025!A:A,1,0)</f>
        <v>#N/A</v>
      </c>
      <c r="H32" t="e">
        <f>VLOOKUP(A:A,INVENTÁRIO_06_2025!A:A,1,0)</f>
        <v>#N/A</v>
      </c>
    </row>
    <row r="33" spans="1:8" ht="13.8">
      <c r="A33" t="s">
        <v>468</v>
      </c>
      <c r="B33" t="s">
        <v>61</v>
      </c>
      <c r="C33" t="s">
        <v>116</v>
      </c>
      <c r="D33" t="s">
        <v>153</v>
      </c>
      <c r="E33" t="s">
        <v>156</v>
      </c>
      <c r="F33" t="s">
        <v>560</v>
      </c>
      <c r="G33" t="str">
        <f>VLOOKUP(A:A,INVENTÁRIO_04_2025!A:A,1,0)</f>
        <v>SPRDAPETESGRU01</v>
      </c>
      <c r="H33" t="e">
        <f>VLOOKUP(A:A,INVENTÁRIO_06_2025!A:A,1,0)</f>
        <v>#N/A</v>
      </c>
    </row>
    <row r="34" spans="1:8" ht="13.8">
      <c r="A34" t="s">
        <v>509</v>
      </c>
      <c r="B34" t="s">
        <v>61</v>
      </c>
      <c r="C34" t="s">
        <v>116</v>
      </c>
      <c r="D34" t="s">
        <v>153</v>
      </c>
      <c r="E34" t="s">
        <v>156</v>
      </c>
      <c r="F34" t="s">
        <v>560</v>
      </c>
      <c r="G34" t="str">
        <f>VLOOKUP(A:A,INVENTÁRIO_04_2025!A:A,1,0)</f>
        <v>SPRDTSQGRU03</v>
      </c>
      <c r="H34" t="e">
        <f>VLOOKUP(A:A,INVENTÁRIO_06_2025!A:A,1,0)</f>
        <v>#N/A</v>
      </c>
    </row>
    <row r="35" spans="1:8" ht="13.8">
      <c r="A35" t="s">
        <v>343</v>
      </c>
      <c r="B35" t="s">
        <v>61</v>
      </c>
      <c r="C35" t="s">
        <v>116</v>
      </c>
      <c r="D35" t="s">
        <v>341</v>
      </c>
      <c r="E35" t="s">
        <v>156</v>
      </c>
      <c r="F35" t="s">
        <v>560</v>
      </c>
      <c r="G35" t="str">
        <f>VLOOKUP(A:A,INVENTÁRIO_04_2025!A:A,1,0)</f>
        <v>SVEDI2-GRU</v>
      </c>
      <c r="H35" t="str">
        <f>VLOOKUP(A:A,INVENTÁRIO_06_2025!A:A,1,0)</f>
        <v>SVEDI2-GRU</v>
      </c>
    </row>
    <row r="36" spans="1:8" ht="13.8">
      <c r="A36" t="s">
        <v>408</v>
      </c>
      <c r="B36" t="s">
        <v>61</v>
      </c>
      <c r="C36" t="s">
        <v>116</v>
      </c>
      <c r="D36" t="s">
        <v>117</v>
      </c>
      <c r="E36" t="s">
        <v>156</v>
      </c>
      <c r="F36" t="s">
        <v>560</v>
      </c>
      <c r="G36" t="str">
        <f>VLOOKUP(A:A,INVENTÁRIO_04_2025!A:A,1,0)</f>
        <v>STESAPPVGRU01</v>
      </c>
      <c r="H36" t="str">
        <f>VLOOKUP(A:A,INVENTÁRIO_06_2025!A:A,1,0)</f>
        <v>STESAPPVGRU01</v>
      </c>
    </row>
    <row r="37" spans="1:8" ht="13.8">
      <c r="A37" t="s">
        <v>454</v>
      </c>
      <c r="B37" t="s">
        <v>61</v>
      </c>
      <c r="C37" t="s">
        <v>116</v>
      </c>
      <c r="D37" t="s">
        <v>126</v>
      </c>
      <c r="E37" t="s">
        <v>156</v>
      </c>
      <c r="F37" t="s">
        <v>560</v>
      </c>
      <c r="G37" t="str">
        <f>VLOOKUP(A:A,INVENTÁRIO_04_2025!A:A,1,0)</f>
        <v>STESAPCLLGRU01</v>
      </c>
      <c r="H37" t="str">
        <f>VLOOKUP(A:A,INVENTÁRIO_06_2025!A:A,1,0)</f>
        <v>STESAPCLLGRU01</v>
      </c>
    </row>
    <row r="38" spans="1:8" ht="13.8">
      <c r="A38" t="s">
        <v>407</v>
      </c>
      <c r="B38" t="s">
        <v>61</v>
      </c>
      <c r="C38" t="s">
        <v>116</v>
      </c>
      <c r="D38" t="s">
        <v>163</v>
      </c>
      <c r="E38" t="s">
        <v>156</v>
      </c>
      <c r="F38" t="s">
        <v>560</v>
      </c>
      <c r="G38" t="str">
        <f>VLOOKUP(A:A,INVENTÁRIO_04_2025!A:A,1,0)</f>
        <v>SSHAREPOINT2-GRU</v>
      </c>
      <c r="H38" t="str">
        <f>VLOOKUP(A:A,INVENTÁRIO_06_2025!A:A,1,0)</f>
        <v>SSHAREPOINT2-GRU</v>
      </c>
    </row>
    <row r="39" spans="1:8" ht="13.8">
      <c r="A39" t="s">
        <v>171</v>
      </c>
      <c r="B39" t="s">
        <v>61</v>
      </c>
      <c r="C39" t="s">
        <v>116</v>
      </c>
      <c r="D39" t="s">
        <v>122</v>
      </c>
      <c r="E39" t="s">
        <v>156</v>
      </c>
      <c r="F39" t="s">
        <v>75</v>
      </c>
      <c r="G39" t="str">
        <f>VLOOKUP(A:A,INVENTÁRIO_04_2025!A:A,1,0)</f>
        <v>SSERV1-GRU</v>
      </c>
      <c r="H39" t="str">
        <f>VLOOKUP(A:A,INVENTÁRIO_06_2025!A:A,1,0)</f>
        <v>SSERV1-GRU</v>
      </c>
    </row>
    <row r="40" spans="1:8" ht="13.8">
      <c r="A40" t="s">
        <v>527</v>
      </c>
      <c r="B40" t="s">
        <v>61</v>
      </c>
      <c r="C40" t="s">
        <v>51</v>
      </c>
      <c r="D40" t="s">
        <v>85</v>
      </c>
      <c r="E40" t="s">
        <v>156</v>
      </c>
      <c r="F40" t="s">
        <v>560</v>
      </c>
      <c r="G40" t="str">
        <f>VLOOKUP(A:A,INVENTÁRIO_04_2025!A:A,1,0)</f>
        <v>SQASAPECGRU01</v>
      </c>
      <c r="H40" t="str">
        <f>VLOOKUP(A:A,INVENTÁRIO_06_2025!A:A,1,0)</f>
        <v>SQASAPECGRU01</v>
      </c>
    </row>
    <row r="41" spans="1:8" ht="13.8">
      <c r="A41" t="s">
        <v>324</v>
      </c>
      <c r="B41" t="s">
        <v>61</v>
      </c>
      <c r="C41" t="s">
        <v>51</v>
      </c>
      <c r="D41" t="s">
        <v>114</v>
      </c>
      <c r="E41" t="s">
        <v>156</v>
      </c>
      <c r="F41" t="s">
        <v>75</v>
      </c>
      <c r="G41" t="str">
        <f>VLOOKUP(A:A,INVENTÁRIO_04_2025!A:A,1,0)</f>
        <v>SPRDZBGRU05</v>
      </c>
      <c r="H41" t="str">
        <f>VLOOKUP(A:A,INVENTÁRIO_06_2025!A:A,1,0)</f>
        <v>SPRDZBGRU05</v>
      </c>
    </row>
    <row r="42" spans="1:8" ht="13.8">
      <c r="A42" t="s">
        <v>323</v>
      </c>
      <c r="B42" t="s">
        <v>61</v>
      </c>
      <c r="C42" t="s">
        <v>51</v>
      </c>
      <c r="D42" t="s">
        <v>114</v>
      </c>
      <c r="E42" t="s">
        <v>156</v>
      </c>
      <c r="F42" t="s">
        <v>75</v>
      </c>
      <c r="G42" t="str">
        <f>VLOOKUP(A:A,INVENTÁRIO_04_2025!A:A,1,0)</f>
        <v>SPRDZBGRU04</v>
      </c>
      <c r="H42" t="str">
        <f>VLOOKUP(A:A,INVENTÁRIO_06_2025!A:A,1,0)</f>
        <v>SPRDZBGRU04</v>
      </c>
    </row>
    <row r="43" spans="1:8" ht="13.8">
      <c r="A43" t="s">
        <v>322</v>
      </c>
      <c r="B43" t="s">
        <v>61</v>
      </c>
      <c r="C43" t="s">
        <v>51</v>
      </c>
      <c r="D43" t="s">
        <v>114</v>
      </c>
      <c r="E43" t="s">
        <v>156</v>
      </c>
      <c r="F43" t="s">
        <v>75</v>
      </c>
      <c r="G43" t="str">
        <f>VLOOKUP(A:A,INVENTÁRIO_04_2025!A:A,1,0)</f>
        <v>SPRDZBGRU03</v>
      </c>
      <c r="H43" t="str">
        <f>VLOOKUP(A:A,INVENTÁRIO_06_2025!A:A,1,0)</f>
        <v>SPRDZBGRU03</v>
      </c>
    </row>
    <row r="44" spans="1:8" ht="13.8">
      <c r="A44" t="s">
        <v>321</v>
      </c>
      <c r="B44" t="s">
        <v>61</v>
      </c>
      <c r="C44" t="s">
        <v>51</v>
      </c>
      <c r="D44" t="s">
        <v>114</v>
      </c>
      <c r="E44" t="s">
        <v>156</v>
      </c>
      <c r="F44" t="s">
        <v>75</v>
      </c>
      <c r="G44" t="str">
        <f>VLOOKUP(A:A,INVENTÁRIO_04_2025!A:A,1,0)</f>
        <v>SPRDZBGRU02</v>
      </c>
      <c r="H44" t="str">
        <f>VLOOKUP(A:A,INVENTÁRIO_06_2025!A:A,1,0)</f>
        <v>SPRDZBGRU02</v>
      </c>
    </row>
    <row r="45" spans="1:8" ht="13.8">
      <c r="A45" t="s">
        <v>320</v>
      </c>
      <c r="B45" t="s">
        <v>61</v>
      </c>
      <c r="C45" t="s">
        <v>51</v>
      </c>
      <c r="D45" t="s">
        <v>114</v>
      </c>
      <c r="E45" t="s">
        <v>156</v>
      </c>
      <c r="F45" t="s">
        <v>75</v>
      </c>
      <c r="G45" t="str">
        <f>VLOOKUP(A:A,INVENTÁRIO_04_2025!A:A,1,0)</f>
        <v>SPRDZBGRU01</v>
      </c>
      <c r="H45" t="str">
        <f>VLOOKUP(A:A,INVENTÁRIO_06_2025!A:A,1,0)</f>
        <v>SPRDZBGRU01</v>
      </c>
    </row>
    <row r="46" spans="1:8" ht="13.8">
      <c r="A46" t="s">
        <v>240</v>
      </c>
      <c r="B46" t="s">
        <v>61</v>
      </c>
      <c r="C46" t="s">
        <v>116</v>
      </c>
      <c r="D46" t="s">
        <v>136</v>
      </c>
      <c r="E46" t="s">
        <v>156</v>
      </c>
      <c r="F46" t="s">
        <v>75</v>
      </c>
      <c r="G46" t="str">
        <f>VLOOKUP(A:A,INVENTÁRIO_04_2025!A:A,1,0)</f>
        <v>SPRDWBBENGRU01</v>
      </c>
      <c r="H46" t="str">
        <f>VLOOKUP(A:A,INVENTÁRIO_06_2025!A:A,1,0)</f>
        <v>SPRDWBBENGRU01</v>
      </c>
    </row>
    <row r="47" spans="1:8" ht="13.8">
      <c r="A47" t="s">
        <v>287</v>
      </c>
      <c r="B47" t="s">
        <v>61</v>
      </c>
      <c r="C47" t="s">
        <v>51</v>
      </c>
      <c r="D47" t="s">
        <v>288</v>
      </c>
      <c r="E47" t="s">
        <v>156</v>
      </c>
      <c r="F47" t="s">
        <v>75</v>
      </c>
      <c r="G47" t="str">
        <f>VLOOKUP(A:A,INVENTÁRIO_04_2025!A:A,1,0)</f>
        <v>sprdvxrmgru01</v>
      </c>
      <c r="H47" t="str">
        <f>VLOOKUP(A:A,INVENTÁRIO_06_2025!A:A,1,0)</f>
        <v>sprdvxrmgru01</v>
      </c>
    </row>
    <row r="48" spans="1:8" ht="13.8">
      <c r="A48" t="s">
        <v>73</v>
      </c>
      <c r="B48" t="s">
        <v>61</v>
      </c>
      <c r="C48" t="s">
        <v>51</v>
      </c>
      <c r="D48" t="s">
        <v>62</v>
      </c>
      <c r="E48" t="s">
        <v>53</v>
      </c>
      <c r="F48" t="s">
        <v>58</v>
      </c>
      <c r="G48" t="str">
        <f>VLOOKUP(A:A,INVENTÁRIO_04_2025!A:A,1,0)</f>
        <v>SPRDVMSAPGRU04</v>
      </c>
      <c r="H48" t="str">
        <f>VLOOKUP(A:A,INVENTÁRIO_06_2025!A:A,1,0)</f>
        <v>SPRDVMSAPGRU04</v>
      </c>
    </row>
    <row r="49" spans="1:8" ht="13.8">
      <c r="A49" t="s">
        <v>72</v>
      </c>
      <c r="B49" t="s">
        <v>61</v>
      </c>
      <c r="C49" t="s">
        <v>51</v>
      </c>
      <c r="D49" t="s">
        <v>62</v>
      </c>
      <c r="E49" t="s">
        <v>53</v>
      </c>
      <c r="F49" t="s">
        <v>58</v>
      </c>
      <c r="G49" t="str">
        <f>VLOOKUP(A:A,INVENTÁRIO_04_2025!A:A,1,0)</f>
        <v>SPRDVMSAPGRU03</v>
      </c>
      <c r="H49" t="str">
        <f>VLOOKUP(A:A,INVENTÁRIO_06_2025!A:A,1,0)</f>
        <v>SPRDVMSAPGRU03</v>
      </c>
    </row>
    <row r="50" spans="1:8" ht="13.8">
      <c r="A50" t="s">
        <v>71</v>
      </c>
      <c r="B50" t="s">
        <v>61</v>
      </c>
      <c r="C50" t="s">
        <v>51</v>
      </c>
      <c r="D50" t="s">
        <v>62</v>
      </c>
      <c r="E50" t="s">
        <v>53</v>
      </c>
      <c r="F50" t="s">
        <v>56</v>
      </c>
      <c r="G50" t="str">
        <f>VLOOKUP(A:A,INVENTÁRIO_04_2025!A:A,1,0)</f>
        <v>SPRDVMSAPGRU02</v>
      </c>
      <c r="H50" t="str">
        <f>VLOOKUP(A:A,INVENTÁRIO_06_2025!A:A,1,0)</f>
        <v>SPRDVMSAPGRU02</v>
      </c>
    </row>
    <row r="51" spans="1:8" ht="13.8">
      <c r="A51" t="s">
        <v>70</v>
      </c>
      <c r="B51" t="s">
        <v>61</v>
      </c>
      <c r="C51" t="s">
        <v>51</v>
      </c>
      <c r="D51" t="s">
        <v>62</v>
      </c>
      <c r="E51" t="s">
        <v>53</v>
      </c>
      <c r="F51" t="s">
        <v>56</v>
      </c>
      <c r="G51" t="str">
        <f>VLOOKUP(A:A,INVENTÁRIO_04_2025!A:A,1,0)</f>
        <v>SPRDVMSAPGRU01</v>
      </c>
      <c r="H51" t="str">
        <f>VLOOKUP(A:A,INVENTÁRIO_06_2025!A:A,1,0)</f>
        <v>SPRDVMSAPGRU01</v>
      </c>
    </row>
    <row r="52" spans="1:8" ht="13.8">
      <c r="A52" t="s">
        <v>69</v>
      </c>
      <c r="B52" t="s">
        <v>61</v>
      </c>
      <c r="C52" t="s">
        <v>51</v>
      </c>
      <c r="D52" t="s">
        <v>62</v>
      </c>
      <c r="E52" t="s">
        <v>53</v>
      </c>
      <c r="F52" t="s">
        <v>67</v>
      </c>
      <c r="G52" t="str">
        <f>VLOOKUP(A:A,INVENTÁRIO_04_2025!A:A,1,0)</f>
        <v>SPRDVMGRU06</v>
      </c>
      <c r="H52" t="str">
        <f>VLOOKUP(A:A,INVENTÁRIO_06_2025!A:A,1,0)</f>
        <v>SPRDVMGRU06</v>
      </c>
    </row>
    <row r="53" spans="1:8" ht="13.8">
      <c r="A53" t="s">
        <v>65</v>
      </c>
      <c r="B53" t="s">
        <v>61</v>
      </c>
      <c r="C53" t="s">
        <v>51</v>
      </c>
      <c r="D53" t="s">
        <v>62</v>
      </c>
      <c r="E53" t="s">
        <v>53</v>
      </c>
      <c r="F53" t="s">
        <v>63</v>
      </c>
      <c r="G53" t="str">
        <f>VLOOKUP(A:A,INVENTÁRIO_04_2025!A:A,1,0)</f>
        <v>SPRDVMGRU05</v>
      </c>
      <c r="H53" t="str">
        <f>VLOOKUP(A:A,INVENTÁRIO_06_2025!A:A,1,0)</f>
        <v>SPRDVMGRU05</v>
      </c>
    </row>
    <row r="54" spans="1:8" ht="13.8">
      <c r="A54" t="s">
        <v>68</v>
      </c>
      <c r="B54" t="s">
        <v>61</v>
      </c>
      <c r="C54" t="s">
        <v>51</v>
      </c>
      <c r="D54" t="s">
        <v>62</v>
      </c>
      <c r="E54" t="s">
        <v>53</v>
      </c>
      <c r="F54" t="s">
        <v>67</v>
      </c>
      <c r="G54" t="str">
        <f>VLOOKUP(A:A,INVENTÁRIO_04_2025!A:A,1,0)</f>
        <v>SPRDVMGRU04</v>
      </c>
      <c r="H54" t="str">
        <f>VLOOKUP(A:A,INVENTÁRIO_06_2025!A:A,1,0)</f>
        <v>SPRDVMGRU04</v>
      </c>
    </row>
    <row r="55" spans="1:8" ht="13.8">
      <c r="A55" t="s">
        <v>66</v>
      </c>
      <c r="B55" t="s">
        <v>61</v>
      </c>
      <c r="C55" t="s">
        <v>51</v>
      </c>
      <c r="D55" t="s">
        <v>62</v>
      </c>
      <c r="E55" t="s">
        <v>53</v>
      </c>
      <c r="F55" t="s">
        <v>67</v>
      </c>
      <c r="G55" t="str">
        <f>VLOOKUP(A:A,INVENTÁRIO_04_2025!A:A,1,0)</f>
        <v>SPRDVMGRU03</v>
      </c>
      <c r="H55" t="str">
        <f>VLOOKUP(A:A,INVENTÁRIO_06_2025!A:A,1,0)</f>
        <v>SPRDVMGRU03</v>
      </c>
    </row>
    <row r="56" spans="1:8" ht="13.8">
      <c r="A56" t="s">
        <v>64</v>
      </c>
      <c r="B56" t="s">
        <v>61</v>
      </c>
      <c r="C56" t="s">
        <v>51</v>
      </c>
      <c r="D56" t="s">
        <v>62</v>
      </c>
      <c r="E56" t="s">
        <v>53</v>
      </c>
      <c r="F56" t="s">
        <v>63</v>
      </c>
      <c r="G56" t="str">
        <f>VLOOKUP(A:A,INVENTÁRIO_04_2025!A:A,1,0)</f>
        <v>SPRDVMGRU02</v>
      </c>
      <c r="H56" t="str">
        <f>VLOOKUP(A:A,INVENTÁRIO_06_2025!A:A,1,0)</f>
        <v>SPRDVMGRU02</v>
      </c>
    </row>
    <row r="57" spans="1:8" ht="13.8">
      <c r="A57" t="s">
        <v>60</v>
      </c>
      <c r="B57" t="s">
        <v>61</v>
      </c>
      <c r="C57" t="s">
        <v>51</v>
      </c>
      <c r="D57" t="s">
        <v>62</v>
      </c>
      <c r="E57" t="s">
        <v>53</v>
      </c>
      <c r="F57" t="s">
        <v>63</v>
      </c>
      <c r="G57" t="str">
        <f>VLOOKUP(A:A,INVENTÁRIO_04_2025!A:A,1,0)</f>
        <v>SPRDVMGRU01</v>
      </c>
      <c r="H57" t="str">
        <f>VLOOKUP(A:A,INVENTÁRIO_06_2025!A:A,1,0)</f>
        <v>SPRDVMGRU01</v>
      </c>
    </row>
    <row r="58" spans="1:8" ht="13.8">
      <c r="A58" t="s">
        <v>269</v>
      </c>
      <c r="B58" t="s">
        <v>50</v>
      </c>
      <c r="C58" t="s">
        <v>116</v>
      </c>
      <c r="D58" t="s">
        <v>136</v>
      </c>
      <c r="E58" t="s">
        <v>156</v>
      </c>
      <c r="F58" t="s">
        <v>75</v>
      </c>
      <c r="G58" t="str">
        <f>VLOOKUP(A:A,INVENTÁRIO_04_2025!A:A,1,0)</f>
        <v>SPRDVCWEBGRU02</v>
      </c>
      <c r="H58" t="str">
        <f>VLOOKUP(A:A,INVENTÁRIO_06_2025!A:A,1,0)</f>
        <v>SPRDVCWEBGRU02</v>
      </c>
    </row>
    <row r="59" spans="1:8" ht="13.8">
      <c r="A59" t="s">
        <v>268</v>
      </c>
      <c r="B59" t="s">
        <v>61</v>
      </c>
      <c r="C59" t="s">
        <v>116</v>
      </c>
      <c r="D59" t="s">
        <v>136</v>
      </c>
      <c r="E59" t="s">
        <v>156</v>
      </c>
      <c r="F59" t="s">
        <v>75</v>
      </c>
      <c r="G59" t="str">
        <f>VLOOKUP(A:A,INVENTÁRIO_04_2025!A:A,1,0)</f>
        <v>SPRDVCWEBGRU01</v>
      </c>
      <c r="H59" t="str">
        <f>VLOOKUP(A:A,INVENTÁRIO_06_2025!A:A,1,0)</f>
        <v>SPRDVCWEBGRU01</v>
      </c>
    </row>
    <row r="60" spans="1:8" ht="13.8">
      <c r="A60" t="s">
        <v>267</v>
      </c>
      <c r="B60" t="s">
        <v>61</v>
      </c>
      <c r="C60" t="s">
        <v>116</v>
      </c>
      <c r="D60" t="s">
        <v>136</v>
      </c>
      <c r="E60" t="s">
        <v>156</v>
      </c>
      <c r="F60" t="s">
        <v>75</v>
      </c>
      <c r="G60" t="str">
        <f>VLOOKUP(A:A,INVENTÁRIO_04_2025!A:A,1,0)</f>
        <v>SPRDVCSQLGRU07</v>
      </c>
      <c r="H60" t="str">
        <f>VLOOKUP(A:A,INVENTÁRIO_06_2025!A:A,1,0)</f>
        <v>SPRDVCSQLGRU07</v>
      </c>
    </row>
    <row r="61" spans="1:8" ht="13.8">
      <c r="A61" t="s">
        <v>266</v>
      </c>
      <c r="B61" t="s">
        <v>50</v>
      </c>
      <c r="C61" t="s">
        <v>116</v>
      </c>
      <c r="D61" t="s">
        <v>247</v>
      </c>
      <c r="E61" t="s">
        <v>156</v>
      </c>
      <c r="F61" t="s">
        <v>75</v>
      </c>
      <c r="G61" t="str">
        <f>VLOOKUP(A:A,INVENTÁRIO_04_2025!A:A,1,0)</f>
        <v>SPRDVCSQLGRU06</v>
      </c>
      <c r="H61" t="str">
        <f>VLOOKUP(A:A,INVENTÁRIO_06_2025!A:A,1,0)</f>
        <v>SPRDVCSQLGRU06</v>
      </c>
    </row>
    <row r="62" spans="1:8" ht="13.8">
      <c r="A62" t="s">
        <v>282</v>
      </c>
      <c r="B62" t="s">
        <v>61</v>
      </c>
      <c r="C62" t="s">
        <v>51</v>
      </c>
      <c r="D62" t="s">
        <v>283</v>
      </c>
      <c r="E62" t="s">
        <v>156</v>
      </c>
      <c r="F62" t="s">
        <v>75</v>
      </c>
      <c r="G62" t="str">
        <f>VLOOKUP(A:A,INVENTÁRIO_04_2025!A:A,1,0)</f>
        <v>sprdvcsagru01</v>
      </c>
      <c r="H62" t="str">
        <f>VLOOKUP(A:A,INVENTÁRIO_06_2025!A:A,1,0)</f>
        <v>sprdvcsagru01</v>
      </c>
    </row>
    <row r="63" spans="1:8" ht="13.8">
      <c r="A63" t="s">
        <v>265</v>
      </c>
      <c r="B63" t="s">
        <v>61</v>
      </c>
      <c r="C63" t="s">
        <v>116</v>
      </c>
      <c r="D63" t="s">
        <v>136</v>
      </c>
      <c r="E63" t="s">
        <v>156</v>
      </c>
      <c r="F63" t="s">
        <v>75</v>
      </c>
      <c r="G63" t="str">
        <f>VLOOKUP(A:A,INVENTÁRIO_04_2025!A:A,1,0)</f>
        <v>SPRDVCRPTGRU01</v>
      </c>
      <c r="H63" t="str">
        <f>VLOOKUP(A:A,INVENTÁRIO_06_2025!A:A,1,0)</f>
        <v>SPRDVCRPTGRU01</v>
      </c>
    </row>
    <row r="64" spans="1:8" ht="11.25" customHeight="1">
      <c r="A64" t="s">
        <v>264</v>
      </c>
      <c r="B64" t="s">
        <v>61</v>
      </c>
      <c r="C64" t="s">
        <v>116</v>
      </c>
      <c r="D64" t="s">
        <v>136</v>
      </c>
      <c r="E64" t="s">
        <v>156</v>
      </c>
      <c r="F64" t="s">
        <v>75</v>
      </c>
      <c r="G64" t="str">
        <f>VLOOKUP(A:A,INVENTÁRIO_04_2025!A:A,1,0)</f>
        <v>SPRDVCRMQGRU01</v>
      </c>
      <c r="H64" t="str">
        <f>VLOOKUP(A:A,INVENTÁRIO_06_2025!A:A,1,0)</f>
        <v>SPRDVCRMQGRU01</v>
      </c>
    </row>
    <row r="65" spans="1:8" ht="11.25" customHeight="1">
      <c r="A65" t="s">
        <v>511</v>
      </c>
      <c r="B65" t="s">
        <v>61</v>
      </c>
      <c r="C65" t="s">
        <v>116</v>
      </c>
      <c r="D65" t="s">
        <v>136</v>
      </c>
      <c r="E65" t="s">
        <v>156</v>
      </c>
      <c r="F65" t="s">
        <v>560</v>
      </c>
      <c r="G65" t="str">
        <f>VLOOKUP(A:A,INVENTÁRIO_04_2025!A:A,1,0)</f>
        <v>SPRDVCHSEGRU05</v>
      </c>
      <c r="H65" t="str">
        <f>VLOOKUP(A:A,INVENTÁRIO_06_2025!A:A,1,0)</f>
        <v>SPRDVCHSEGRU05</v>
      </c>
    </row>
    <row r="66" spans="1:8" ht="11.25" customHeight="1">
      <c r="A66" t="s">
        <v>510</v>
      </c>
      <c r="B66" t="s">
        <v>61</v>
      </c>
      <c r="C66" t="s">
        <v>116</v>
      </c>
      <c r="D66" t="s">
        <v>136</v>
      </c>
      <c r="E66" t="s">
        <v>156</v>
      </c>
      <c r="F66" t="s">
        <v>560</v>
      </c>
      <c r="G66" t="str">
        <f>VLOOKUP(A:A,INVENTÁRIO_04_2025!A:A,1,0)</f>
        <v>SPRDVCHSEGRU04</v>
      </c>
      <c r="H66" t="str">
        <f>VLOOKUP(A:A,INVENTÁRIO_06_2025!A:A,1,0)</f>
        <v>SPRDVCHSEGRU04</v>
      </c>
    </row>
    <row r="67" spans="1:8" ht="11.25" customHeight="1">
      <c r="A67" t="s">
        <v>239</v>
      </c>
      <c r="B67" t="s">
        <v>61</v>
      </c>
      <c r="C67" t="s">
        <v>116</v>
      </c>
      <c r="D67" t="s">
        <v>136</v>
      </c>
      <c r="E67" t="s">
        <v>156</v>
      </c>
      <c r="F67" t="s">
        <v>75</v>
      </c>
      <c r="G67" t="str">
        <f>VLOOKUP(A:A,INVENTÁRIO_04_2025!A:A,1,0)</f>
        <v>SPRDVCHSEGRU03</v>
      </c>
      <c r="H67" t="str">
        <f>VLOOKUP(A:A,INVENTÁRIO_06_2025!A:A,1,0)</f>
        <v>SPRDVCHSEGRU03</v>
      </c>
    </row>
    <row r="68" spans="1:8" ht="11.25" customHeight="1">
      <c r="A68" t="s">
        <v>275</v>
      </c>
      <c r="B68" t="s">
        <v>61</v>
      </c>
      <c r="C68" t="s">
        <v>51</v>
      </c>
      <c r="D68" t="s">
        <v>276</v>
      </c>
      <c r="E68" t="s">
        <v>156</v>
      </c>
      <c r="F68" t="s">
        <v>75</v>
      </c>
      <c r="G68" t="str">
        <f>VLOOKUP(A:A,INVENTÁRIO_04_2025!A:A,1,0)</f>
        <v>SPRDVCCHOGRU01</v>
      </c>
      <c r="H68" t="str">
        <f>VLOOKUP(A:A,INVENTÁRIO_06_2025!A:A,1,0)</f>
        <v>SPRDVCCHOGRU01</v>
      </c>
    </row>
    <row r="69" spans="1:8" ht="11.25" customHeight="1">
      <c r="A69" t="s">
        <v>238</v>
      </c>
      <c r="B69" t="s">
        <v>61</v>
      </c>
      <c r="C69" t="s">
        <v>116</v>
      </c>
      <c r="D69" t="s">
        <v>136</v>
      </c>
      <c r="E69" t="s">
        <v>156</v>
      </c>
      <c r="F69" t="s">
        <v>75</v>
      </c>
      <c r="G69" t="str">
        <f>VLOOKUP(A:A,INVENTÁRIO_04_2025!A:A,1,0)</f>
        <v>SPRDVCBKPGRU01</v>
      </c>
      <c r="H69" t="str">
        <f>VLOOKUP(A:A,INVENTÁRIO_06_2025!A:A,1,0)</f>
        <v>SPRDVCBKPGRU01</v>
      </c>
    </row>
    <row r="70" spans="1:8" ht="11.25" customHeight="1">
      <c r="A70" t="s">
        <v>263</v>
      </c>
      <c r="B70" t="s">
        <v>61</v>
      </c>
      <c r="C70" t="s">
        <v>116</v>
      </c>
      <c r="D70" t="s">
        <v>136</v>
      </c>
      <c r="E70" t="s">
        <v>156</v>
      </c>
      <c r="F70" t="s">
        <v>75</v>
      </c>
      <c r="G70" t="str">
        <f>VLOOKUP(A:A,INVENTÁRIO_04_2025!A:A,1,0)</f>
        <v>SPRDVCAPVGRU01</v>
      </c>
      <c r="H70" t="str">
        <f>VLOOKUP(A:A,INVENTÁRIO_06_2025!A:A,1,0)</f>
        <v>SPRDVCAPVGRU01</v>
      </c>
    </row>
    <row r="71" spans="1:8" ht="11.25" customHeight="1">
      <c r="A71" t="s">
        <v>262</v>
      </c>
      <c r="B71" t="s">
        <v>61</v>
      </c>
      <c r="C71" t="s">
        <v>116</v>
      </c>
      <c r="D71" t="s">
        <v>136</v>
      </c>
      <c r="E71" t="s">
        <v>156</v>
      </c>
      <c r="F71" t="s">
        <v>75</v>
      </c>
      <c r="G71" t="str">
        <f>VLOOKUP(A:A,INVENTÁRIO_04_2025!A:A,1,0)</f>
        <v>SPRDVCAMSGRU02</v>
      </c>
      <c r="H71" t="str">
        <f>VLOOKUP(A:A,INVENTÁRIO_06_2025!A:A,1,0)</f>
        <v>SPRDVCAMSGRU02</v>
      </c>
    </row>
    <row r="72" spans="1:8" ht="11.25" customHeight="1">
      <c r="A72" t="s">
        <v>261</v>
      </c>
      <c r="B72" t="s">
        <v>61</v>
      </c>
      <c r="C72" t="s">
        <v>116</v>
      </c>
      <c r="D72" t="s">
        <v>136</v>
      </c>
      <c r="E72" t="s">
        <v>156</v>
      </c>
      <c r="F72" t="s">
        <v>75</v>
      </c>
      <c r="G72" t="str">
        <f>VLOOKUP(A:A,INVENTÁRIO_04_2025!A:A,1,0)</f>
        <v>SPRDVCAMSGRU01</v>
      </c>
      <c r="H72" t="str">
        <f>VLOOKUP(A:A,INVENTÁRIO_06_2025!A:A,1,0)</f>
        <v>SPRDVCAMSGRU01</v>
      </c>
    </row>
    <row r="73" spans="1:8" ht="11.25" customHeight="1">
      <c r="A73" t="s">
        <v>508</v>
      </c>
      <c r="B73" t="s">
        <v>61</v>
      </c>
      <c r="C73" t="s">
        <v>116</v>
      </c>
      <c r="D73" t="s">
        <v>153</v>
      </c>
      <c r="E73" t="s">
        <v>156</v>
      </c>
      <c r="F73" t="s">
        <v>560</v>
      </c>
      <c r="G73" t="str">
        <f>VLOOKUP(A:A,INVENTÁRIO_04_2025!A:A,1,0)</f>
        <v>SPRDTSQGRU02</v>
      </c>
      <c r="H73" t="str">
        <f>VLOOKUP(A:A,INVENTÁRIO_06_2025!A:A,1,0)</f>
        <v>SPRDTSQGRU02</v>
      </c>
    </row>
    <row r="74" spans="1:8" ht="11.25" customHeight="1">
      <c r="A74" t="s">
        <v>152</v>
      </c>
      <c r="B74" t="s">
        <v>61</v>
      </c>
      <c r="C74" t="s">
        <v>116</v>
      </c>
      <c r="D74" t="s">
        <v>153</v>
      </c>
      <c r="E74" t="s">
        <v>53</v>
      </c>
      <c r="F74" t="s">
        <v>56</v>
      </c>
      <c r="G74" t="str">
        <f>VLOOKUP(A:A,INVENTÁRIO_04_2025!A:A,1,0)</f>
        <v>SPRDTSQGRU01</v>
      </c>
      <c r="H74" t="str">
        <f>VLOOKUP(A:A,INVENTÁRIO_06_2025!A:A,1,0)</f>
        <v>SPRDTSQGRU01</v>
      </c>
    </row>
    <row r="75" spans="1:8" ht="11.25" customHeight="1">
      <c r="A75" t="s">
        <v>152</v>
      </c>
      <c r="B75" t="s">
        <v>61</v>
      </c>
      <c r="C75" t="s">
        <v>116</v>
      </c>
      <c r="D75" t="s">
        <v>153</v>
      </c>
      <c r="E75" t="s">
        <v>156</v>
      </c>
      <c r="F75" t="s">
        <v>560</v>
      </c>
      <c r="G75" t="str">
        <f>VLOOKUP(A:A,INVENTÁRIO_04_2025!A:A,1,0)</f>
        <v>SPRDTSQGRU01</v>
      </c>
      <c r="H75" t="str">
        <f>VLOOKUP(A:A,INVENTÁRIO_06_2025!A:A,1,0)</f>
        <v>SPRDTSQGRU01</v>
      </c>
    </row>
    <row r="76" spans="1:8" ht="11.25" customHeight="1">
      <c r="A76" t="s">
        <v>260</v>
      </c>
      <c r="B76" t="s">
        <v>61</v>
      </c>
      <c r="C76" t="s">
        <v>116</v>
      </c>
      <c r="D76" t="s">
        <v>136</v>
      </c>
      <c r="E76" t="s">
        <v>156</v>
      </c>
      <c r="F76" t="s">
        <v>560</v>
      </c>
      <c r="G76" t="str">
        <f>VLOOKUP(A:A,INVENTÁRIO_04_2025!A:A,1,0)</f>
        <v>SPRDSQLLGGRU02</v>
      </c>
      <c r="H76" t="str">
        <f>VLOOKUP(A:A,INVENTÁRIO_06_2025!A:A,1,0)</f>
        <v>SPRDSQLLGGRU02</v>
      </c>
    </row>
    <row r="77" spans="1:8" ht="11.25" customHeight="1">
      <c r="A77" t="s">
        <v>260</v>
      </c>
      <c r="B77" t="s">
        <v>61</v>
      </c>
      <c r="C77" t="s">
        <v>116</v>
      </c>
      <c r="D77" t="s">
        <v>136</v>
      </c>
      <c r="E77" t="s">
        <v>156</v>
      </c>
      <c r="F77" t="s">
        <v>75</v>
      </c>
      <c r="G77" t="str">
        <f>VLOOKUP(A:A,INVENTÁRIO_04_2025!A:A,1,0)</f>
        <v>SPRDSQLLGGRU02</v>
      </c>
      <c r="H77" t="str">
        <f>VLOOKUP(A:A,INVENTÁRIO_06_2025!A:A,1,0)</f>
        <v>SPRDSQLLGGRU02</v>
      </c>
    </row>
    <row r="78" spans="1:8" ht="11.25" customHeight="1">
      <c r="A78" t="s">
        <v>505</v>
      </c>
      <c r="B78" t="s">
        <v>61</v>
      </c>
      <c r="C78" t="s">
        <v>116</v>
      </c>
      <c r="D78" t="s">
        <v>419</v>
      </c>
      <c r="E78" t="s">
        <v>156</v>
      </c>
      <c r="F78" t="s">
        <v>560</v>
      </c>
      <c r="G78" t="str">
        <f>VLOOKUP(A:A,INVENTÁRIO_04_2025!A:A,1,0)</f>
        <v>SPRDSQLGRU18</v>
      </c>
      <c r="H78" t="str">
        <f>VLOOKUP(A:A,INVENTÁRIO_06_2025!A:A,1,0)</f>
        <v>SPRDSQLGRU18</v>
      </c>
    </row>
    <row r="79" spans="1:8" ht="11.25" customHeight="1">
      <c r="A79" t="s">
        <v>504</v>
      </c>
      <c r="B79" t="s">
        <v>61</v>
      </c>
      <c r="C79" t="s">
        <v>116</v>
      </c>
      <c r="D79" t="s">
        <v>242</v>
      </c>
      <c r="E79" t="s">
        <v>156</v>
      </c>
      <c r="F79" t="s">
        <v>560</v>
      </c>
      <c r="G79" t="str">
        <f>VLOOKUP(A:A,INVENTÁRIO_04_2025!A:A,1,0)</f>
        <v>SPRDSQLGRU17_2024102145001679_NAO_LIGAR</v>
      </c>
      <c r="H79" t="str">
        <f>VLOOKUP(A:A,INVENTÁRIO_06_2025!A:A,1,0)</f>
        <v>SPRDSQLGRU17_2024102145001679_NAO_LIGAR</v>
      </c>
    </row>
    <row r="80" spans="1:8" ht="11.25" customHeight="1">
      <c r="A80" t="s">
        <v>127</v>
      </c>
      <c r="B80" t="s">
        <v>50</v>
      </c>
      <c r="C80" t="s">
        <v>116</v>
      </c>
      <c r="D80" t="s">
        <v>126</v>
      </c>
      <c r="E80" t="s">
        <v>53</v>
      </c>
      <c r="F80" t="s">
        <v>67</v>
      </c>
      <c r="G80" t="str">
        <f>VLOOKUP(A:A,INVENTÁRIO_04_2025!A:A,1,0)</f>
        <v>SPRDSQLGRU11</v>
      </c>
      <c r="H80" t="str">
        <f>VLOOKUP(A:A,INVENTÁRIO_06_2025!A:A,1,0)</f>
        <v>SPRDSQLGRU11</v>
      </c>
    </row>
    <row r="81" spans="1:8" ht="11.25" customHeight="1">
      <c r="A81" t="s">
        <v>125</v>
      </c>
      <c r="B81" t="s">
        <v>61</v>
      </c>
      <c r="C81" t="s">
        <v>116</v>
      </c>
      <c r="D81" t="s">
        <v>126</v>
      </c>
      <c r="E81" t="s">
        <v>53</v>
      </c>
      <c r="F81" t="s">
        <v>63</v>
      </c>
      <c r="G81" t="str">
        <f>VLOOKUP(A:A,INVENTÁRIO_04_2025!A:A,1,0)</f>
        <v>SPRDSQLGRU10</v>
      </c>
      <c r="H81" t="str">
        <f>VLOOKUP(A:A,INVENTÁRIO_06_2025!A:A,1,0)</f>
        <v>SPRDSQLGRU10</v>
      </c>
    </row>
    <row r="82" spans="1:8" ht="11.25" customHeight="1">
      <c r="A82" t="s">
        <v>405</v>
      </c>
      <c r="B82" t="s">
        <v>61</v>
      </c>
      <c r="C82" t="s">
        <v>116</v>
      </c>
      <c r="D82" t="s">
        <v>117</v>
      </c>
      <c r="E82" t="s">
        <v>156</v>
      </c>
      <c r="F82" t="s">
        <v>560</v>
      </c>
      <c r="G82" t="str">
        <f>VLOOKUP(A:A,INVENTÁRIO_04_2025!A:A,1,0)</f>
        <v>SPRDSQLGRU09</v>
      </c>
      <c r="H82" t="str">
        <f>VLOOKUP(A:A,INVENTÁRIO_06_2025!A:A,1,0)</f>
        <v>SPRDSQLGRU09</v>
      </c>
    </row>
    <row r="83" spans="1:8" ht="11.25" customHeight="1">
      <c r="A83" t="s">
        <v>404</v>
      </c>
      <c r="B83" t="s">
        <v>61</v>
      </c>
      <c r="C83" t="s">
        <v>116</v>
      </c>
      <c r="D83" t="s">
        <v>117</v>
      </c>
      <c r="E83" t="s">
        <v>156</v>
      </c>
      <c r="F83" t="s">
        <v>560</v>
      </c>
      <c r="G83" t="str">
        <f>VLOOKUP(A:A,INVENTÁRIO_04_2025!A:A,1,0)</f>
        <v>SPRDSQLGRU07</v>
      </c>
      <c r="H83" t="str">
        <f>VLOOKUP(A:A,INVENTÁRIO_06_2025!A:A,1,0)</f>
        <v>SPRDSQLGRU07</v>
      </c>
    </row>
    <row r="84" spans="1:8" ht="11.25" customHeight="1">
      <c r="A84" t="s">
        <v>403</v>
      </c>
      <c r="B84" t="s">
        <v>61</v>
      </c>
      <c r="C84" t="s">
        <v>116</v>
      </c>
      <c r="D84" t="s">
        <v>117</v>
      </c>
      <c r="E84" t="s">
        <v>156</v>
      </c>
      <c r="F84" t="s">
        <v>560</v>
      </c>
      <c r="G84" t="str">
        <f>VLOOKUP(A:A,INVENTÁRIO_04_2025!A:A,1,0)</f>
        <v>SPRDSQLGRU02</v>
      </c>
      <c r="H84" t="str">
        <f>VLOOKUP(A:A,INVENTÁRIO_06_2025!A:A,1,0)</f>
        <v>SPRDSQLGRU02</v>
      </c>
    </row>
    <row r="85" spans="1:8" ht="11.25" customHeight="1">
      <c r="A85" t="s">
        <v>402</v>
      </c>
      <c r="B85" t="s">
        <v>50</v>
      </c>
      <c r="C85" t="s">
        <v>116</v>
      </c>
      <c r="D85" t="s">
        <v>163</v>
      </c>
      <c r="E85" t="s">
        <v>156</v>
      </c>
      <c r="F85" t="s">
        <v>560</v>
      </c>
      <c r="G85" t="str">
        <f>VLOOKUP(A:A,INVENTÁRIO_04_2025!A:A,1,0)</f>
        <v>SPRDSQLGRU01_NÂOLIGAR_2024071045001124</v>
      </c>
      <c r="H85" t="str">
        <f>VLOOKUP(A:A,INVENTÁRIO_06_2025!A:A,1,0)</f>
        <v>SPRDSQLGRU01_NÂOLIGAR_2024071045001124</v>
      </c>
    </row>
    <row r="86" spans="1:8" ht="11.25" customHeight="1">
      <c r="A86" t="s">
        <v>258</v>
      </c>
      <c r="B86" t="s">
        <v>61</v>
      </c>
      <c r="C86" t="s">
        <v>116</v>
      </c>
      <c r="D86" t="s">
        <v>136</v>
      </c>
      <c r="E86" t="s">
        <v>156</v>
      </c>
      <c r="F86" t="s">
        <v>75</v>
      </c>
      <c r="G86" t="str">
        <f>VLOOKUP(A:A,INVENTÁRIO_04_2025!A:A,1,0)</f>
        <v>SPRDSQL021</v>
      </c>
      <c r="H86" t="str">
        <f>VLOOKUP(A:A,INVENTÁRIO_06_2025!A:A,1,0)</f>
        <v>SPRDSQL021</v>
      </c>
    </row>
    <row r="87" spans="1:8" ht="11.25" customHeight="1">
      <c r="A87" t="s">
        <v>257</v>
      </c>
      <c r="B87" t="s">
        <v>61</v>
      </c>
      <c r="C87" t="s">
        <v>116</v>
      </c>
      <c r="D87" t="s">
        <v>136</v>
      </c>
      <c r="E87" t="s">
        <v>156</v>
      </c>
      <c r="F87" t="s">
        <v>75</v>
      </c>
      <c r="G87" t="str">
        <f>VLOOKUP(A:A,INVENTÁRIO_04_2025!A:A,1,0)</f>
        <v>SPRDSKSQLGRU01</v>
      </c>
      <c r="H87" t="str">
        <f>VLOOKUP(A:A,INVENTÁRIO_06_2025!A:A,1,0)</f>
        <v>SPRDSKSQLGRU01</v>
      </c>
    </row>
    <row r="88" spans="1:8" ht="11.25" customHeight="1">
      <c r="A88" t="s">
        <v>513</v>
      </c>
      <c r="B88" t="s">
        <v>61</v>
      </c>
      <c r="C88" t="s">
        <v>51</v>
      </c>
      <c r="D88" t="s">
        <v>278</v>
      </c>
      <c r="E88" t="s">
        <v>156</v>
      </c>
      <c r="F88" t="s">
        <v>560</v>
      </c>
      <c r="G88" t="str">
        <f>VLOOKUP(A:A,INVENTÁRIO_04_2025!A:A,1,0)</f>
        <v>SPRDSKQRCGRU01</v>
      </c>
      <c r="H88" t="str">
        <f>VLOOKUP(A:A,INVENTÁRIO_06_2025!A:A,1,0)</f>
        <v>SPRDSKQRCGRU01</v>
      </c>
    </row>
    <row r="89" spans="1:8" ht="11.25" customHeight="1">
      <c r="A89" t="s">
        <v>206</v>
      </c>
      <c r="B89" t="s">
        <v>61</v>
      </c>
      <c r="C89" t="s">
        <v>116</v>
      </c>
      <c r="D89" t="s">
        <v>188</v>
      </c>
      <c r="E89" t="s">
        <v>156</v>
      </c>
      <c r="F89" t="s">
        <v>75</v>
      </c>
      <c r="G89" t="str">
        <f>VLOOKUP(A:A,INVENTÁRIO_04_2025!A:A,1,0)</f>
        <v>SPRDSKPPCGRU16</v>
      </c>
      <c r="H89" t="str">
        <f>VLOOKUP(A:A,INVENTÁRIO_06_2025!A:A,1,0)</f>
        <v>SPRDSKPPCGRU16</v>
      </c>
    </row>
    <row r="90" spans="1:8" ht="11.25" customHeight="1">
      <c r="A90" t="s">
        <v>205</v>
      </c>
      <c r="B90" t="s">
        <v>61</v>
      </c>
      <c r="C90" t="s">
        <v>116</v>
      </c>
      <c r="D90" t="s">
        <v>188</v>
      </c>
      <c r="E90" t="s">
        <v>156</v>
      </c>
      <c r="F90" t="s">
        <v>75</v>
      </c>
      <c r="G90" t="str">
        <f>VLOOKUP(A:A,INVENTÁRIO_04_2025!A:A,1,0)</f>
        <v>SPRDSKPPCGRU15</v>
      </c>
      <c r="H90" t="str">
        <f>VLOOKUP(A:A,INVENTÁRIO_06_2025!A:A,1,0)</f>
        <v>SPRDSKPPCGRU15</v>
      </c>
    </row>
    <row r="91" spans="1:8" ht="11.25" customHeight="1">
      <c r="A91" t="s">
        <v>204</v>
      </c>
      <c r="B91" t="s">
        <v>61</v>
      </c>
      <c r="C91" t="s">
        <v>116</v>
      </c>
      <c r="D91" t="s">
        <v>188</v>
      </c>
      <c r="E91" t="s">
        <v>156</v>
      </c>
      <c r="F91" t="s">
        <v>75</v>
      </c>
      <c r="G91" t="str">
        <f>VLOOKUP(A:A,INVENTÁRIO_04_2025!A:A,1,0)</f>
        <v>SPRDSKPPCGRU14</v>
      </c>
      <c r="H91" t="str">
        <f>VLOOKUP(A:A,INVENTÁRIO_06_2025!A:A,1,0)</f>
        <v>SPRDSKPPCGRU14</v>
      </c>
    </row>
    <row r="92" spans="1:8" ht="11.25" customHeight="1">
      <c r="A92" t="s">
        <v>203</v>
      </c>
      <c r="B92" t="s">
        <v>61</v>
      </c>
      <c r="C92" t="s">
        <v>116</v>
      </c>
      <c r="D92" t="s">
        <v>188</v>
      </c>
      <c r="E92" t="s">
        <v>156</v>
      </c>
      <c r="F92" t="s">
        <v>75</v>
      </c>
      <c r="G92" t="str">
        <f>VLOOKUP(A:A,INVENTÁRIO_04_2025!A:A,1,0)</f>
        <v>SPRDSKPPCGRU13</v>
      </c>
      <c r="H92" t="str">
        <f>VLOOKUP(A:A,INVENTÁRIO_06_2025!A:A,1,0)</f>
        <v>SPRDSKPPCGRU13</v>
      </c>
    </row>
    <row r="93" spans="1:8" ht="11.25" customHeight="1">
      <c r="A93" t="s">
        <v>202</v>
      </c>
      <c r="B93" t="s">
        <v>61</v>
      </c>
      <c r="C93" t="s">
        <v>116</v>
      </c>
      <c r="D93" t="s">
        <v>188</v>
      </c>
      <c r="E93" t="s">
        <v>156</v>
      </c>
      <c r="F93" t="s">
        <v>75</v>
      </c>
      <c r="G93" t="str">
        <f>VLOOKUP(A:A,INVENTÁRIO_04_2025!A:A,1,0)</f>
        <v>SPRDSKPPCGRU12</v>
      </c>
      <c r="H93" t="str">
        <f>VLOOKUP(A:A,INVENTÁRIO_06_2025!A:A,1,0)</f>
        <v>SPRDSKPPCGRU12</v>
      </c>
    </row>
    <row r="94" spans="1:8" ht="11.25" customHeight="1">
      <c r="A94" t="s">
        <v>201</v>
      </c>
      <c r="B94" t="s">
        <v>61</v>
      </c>
      <c r="C94" t="s">
        <v>116</v>
      </c>
      <c r="D94" t="s">
        <v>188</v>
      </c>
      <c r="E94" t="s">
        <v>156</v>
      </c>
      <c r="F94" t="s">
        <v>75</v>
      </c>
      <c r="G94" t="str">
        <f>VLOOKUP(A:A,INVENTÁRIO_04_2025!A:A,1,0)</f>
        <v>SPRDSKPPCGRU11</v>
      </c>
      <c r="H94" t="str">
        <f>VLOOKUP(A:A,INVENTÁRIO_06_2025!A:A,1,0)</f>
        <v>SPRDSKPPCGRU11</v>
      </c>
    </row>
    <row r="95" spans="1:8" ht="11.25" customHeight="1">
      <c r="A95" t="s">
        <v>644</v>
      </c>
      <c r="B95" t="s">
        <v>50</v>
      </c>
      <c r="C95" t="s">
        <v>116</v>
      </c>
      <c r="D95" t="s">
        <v>188</v>
      </c>
      <c r="E95" t="s">
        <v>156</v>
      </c>
      <c r="F95" t="s">
        <v>75</v>
      </c>
      <c r="G95" t="e">
        <f>VLOOKUP(A:A,INVENTÁRIO_04_2025!A:A,1,0)</f>
        <v>#N/A</v>
      </c>
      <c r="H95" t="str">
        <f>VLOOKUP(A:A,INVENTÁRIO_06_2025!A:A,1,0)</f>
        <v>SPRDSKPPCGRU10_RESTORE</v>
      </c>
    </row>
    <row r="96" spans="1:8" ht="11.25" customHeight="1">
      <c r="A96" t="s">
        <v>200</v>
      </c>
      <c r="B96" t="s">
        <v>61</v>
      </c>
      <c r="C96" t="s">
        <v>116</v>
      </c>
      <c r="D96" t="s">
        <v>188</v>
      </c>
      <c r="E96" t="s">
        <v>156</v>
      </c>
      <c r="F96" t="s">
        <v>75</v>
      </c>
      <c r="G96" t="str">
        <f>VLOOKUP(A:A,INVENTÁRIO_04_2025!A:A,1,0)</f>
        <v>SPRDSKPPCGRU10</v>
      </c>
      <c r="H96" t="str">
        <f>VLOOKUP(A:A,INVENTÁRIO_06_2025!A:A,1,0)</f>
        <v>SPRDSKPPCGRU10</v>
      </c>
    </row>
    <row r="97" spans="1:8" ht="11.25" customHeight="1">
      <c r="A97" t="s">
        <v>199</v>
      </c>
      <c r="B97" t="s">
        <v>61</v>
      </c>
      <c r="C97" t="s">
        <v>116</v>
      </c>
      <c r="D97" t="s">
        <v>188</v>
      </c>
      <c r="E97" t="s">
        <v>156</v>
      </c>
      <c r="F97" t="s">
        <v>75</v>
      </c>
      <c r="G97" t="str">
        <f>VLOOKUP(A:A,INVENTÁRIO_04_2025!A:A,1,0)</f>
        <v>SPRDSKPPCGRU09</v>
      </c>
      <c r="H97" t="str">
        <f>VLOOKUP(A:A,INVENTÁRIO_06_2025!A:A,1,0)</f>
        <v>SPRDSKPPCGRU09</v>
      </c>
    </row>
    <row r="98" spans="1:8" ht="11.25" customHeight="1">
      <c r="A98" t="s">
        <v>237</v>
      </c>
      <c r="B98" t="s">
        <v>61</v>
      </c>
      <c r="C98" t="s">
        <v>116</v>
      </c>
      <c r="D98" t="s">
        <v>188</v>
      </c>
      <c r="E98" t="s">
        <v>156</v>
      </c>
      <c r="F98" t="s">
        <v>75</v>
      </c>
      <c r="G98" t="str">
        <f>VLOOKUP(A:A,INVENTÁRIO_04_2025!A:A,1,0)</f>
        <v>SPRDSKPPCGRU08</v>
      </c>
      <c r="H98" t="str">
        <f>VLOOKUP(A:A,INVENTÁRIO_06_2025!A:A,1,0)</f>
        <v>SPRDSKPPCGRU08</v>
      </c>
    </row>
    <row r="99" spans="1:8" ht="11.25" customHeight="1">
      <c r="A99" t="s">
        <v>198</v>
      </c>
      <c r="B99" t="s">
        <v>61</v>
      </c>
      <c r="C99" t="s">
        <v>116</v>
      </c>
      <c r="D99" t="s">
        <v>188</v>
      </c>
      <c r="E99" t="s">
        <v>156</v>
      </c>
      <c r="F99" t="s">
        <v>75</v>
      </c>
      <c r="G99" t="str">
        <f>VLOOKUP(A:A,INVENTÁRIO_04_2025!A:A,1,0)</f>
        <v>SPRDSKPPCGRU07</v>
      </c>
      <c r="H99" t="str">
        <f>VLOOKUP(A:A,INVENTÁRIO_06_2025!A:A,1,0)</f>
        <v>SPRDSKPPCGRU07</v>
      </c>
    </row>
    <row r="100" spans="1:8" ht="11.25" customHeight="1">
      <c r="A100" t="s">
        <v>197</v>
      </c>
      <c r="B100" t="s">
        <v>61</v>
      </c>
      <c r="C100" t="s">
        <v>116</v>
      </c>
      <c r="D100" t="s">
        <v>188</v>
      </c>
      <c r="E100" t="s">
        <v>156</v>
      </c>
      <c r="F100" t="s">
        <v>75</v>
      </c>
      <c r="G100" t="str">
        <f>VLOOKUP(A:A,INVENTÁRIO_04_2025!A:A,1,0)</f>
        <v>SPRDSKPPCGRU06</v>
      </c>
      <c r="H100" t="str">
        <f>VLOOKUP(A:A,INVENTÁRIO_06_2025!A:A,1,0)</f>
        <v>SPRDSKPPCGRU06</v>
      </c>
    </row>
    <row r="101" spans="1:8" ht="11.25" customHeight="1">
      <c r="A101" t="s">
        <v>196</v>
      </c>
      <c r="B101" t="s">
        <v>61</v>
      </c>
      <c r="C101" t="s">
        <v>116</v>
      </c>
      <c r="D101" t="s">
        <v>188</v>
      </c>
      <c r="E101" t="s">
        <v>156</v>
      </c>
      <c r="F101" t="s">
        <v>75</v>
      </c>
      <c r="G101" t="str">
        <f>VLOOKUP(A:A,INVENTÁRIO_04_2025!A:A,1,0)</f>
        <v>SPRDSKPPCGRU05</v>
      </c>
      <c r="H101" t="str">
        <f>VLOOKUP(A:A,INVENTÁRIO_06_2025!A:A,1,0)</f>
        <v>SPRDSKPPCGRU05</v>
      </c>
    </row>
    <row r="102" spans="1:8" ht="11.25" customHeight="1">
      <c r="A102" t="s">
        <v>195</v>
      </c>
      <c r="B102" t="s">
        <v>61</v>
      </c>
      <c r="C102" t="s">
        <v>116</v>
      </c>
      <c r="D102" t="s">
        <v>188</v>
      </c>
      <c r="E102" t="s">
        <v>156</v>
      </c>
      <c r="F102" t="s">
        <v>75</v>
      </c>
      <c r="G102" t="str">
        <f>VLOOKUP(A:A,INVENTÁRIO_04_2025!A:A,1,0)</f>
        <v>SPRDSKPPCGRU04</v>
      </c>
      <c r="H102" t="str">
        <f>VLOOKUP(A:A,INVENTÁRIO_06_2025!A:A,1,0)</f>
        <v>SPRDSKPPCGRU04</v>
      </c>
    </row>
    <row r="103" spans="1:8" ht="11.25" customHeight="1">
      <c r="A103" t="s">
        <v>194</v>
      </c>
      <c r="B103" t="s">
        <v>61</v>
      </c>
      <c r="C103" t="s">
        <v>116</v>
      </c>
      <c r="D103" t="s">
        <v>188</v>
      </c>
      <c r="E103" t="s">
        <v>156</v>
      </c>
      <c r="F103" t="s">
        <v>75</v>
      </c>
      <c r="G103" t="str">
        <f>VLOOKUP(A:A,INVENTÁRIO_04_2025!A:A,1,0)</f>
        <v>SPRDSKPPCGRU03</v>
      </c>
      <c r="H103" t="str">
        <f>VLOOKUP(A:A,INVENTÁRIO_06_2025!A:A,1,0)</f>
        <v>SPRDSKPPCGRU03</v>
      </c>
    </row>
    <row r="104" spans="1:8" ht="11.25" customHeight="1">
      <c r="A104" t="s">
        <v>193</v>
      </c>
      <c r="B104" t="s">
        <v>61</v>
      </c>
      <c r="C104" t="s">
        <v>116</v>
      </c>
      <c r="D104" t="s">
        <v>188</v>
      </c>
      <c r="E104" t="s">
        <v>156</v>
      </c>
      <c r="F104" t="s">
        <v>75</v>
      </c>
      <c r="G104" t="str">
        <f>VLOOKUP(A:A,INVENTÁRIO_04_2025!A:A,1,0)</f>
        <v>SPRDSKPPCGRU02</v>
      </c>
      <c r="H104" t="str">
        <f>VLOOKUP(A:A,INVENTÁRIO_06_2025!A:A,1,0)</f>
        <v>SPRDSKPPCGRU02</v>
      </c>
    </row>
    <row r="105" spans="1:8" ht="11.25" customHeight="1">
      <c r="A105" t="s">
        <v>192</v>
      </c>
      <c r="B105" t="s">
        <v>61</v>
      </c>
      <c r="C105" t="s">
        <v>116</v>
      </c>
      <c r="D105" t="s">
        <v>188</v>
      </c>
      <c r="E105" t="s">
        <v>156</v>
      </c>
      <c r="F105" t="s">
        <v>75</v>
      </c>
      <c r="G105" t="str">
        <f>VLOOKUP(A:A,INVENTÁRIO_04_2025!A:A,1,0)</f>
        <v>SPRDSKPPCGRU01</v>
      </c>
      <c r="H105" t="str">
        <f>VLOOKUP(A:A,INVENTÁRIO_06_2025!A:A,1,0)</f>
        <v>SPRDSKPPCGRU01</v>
      </c>
    </row>
    <row r="106" spans="1:8" ht="11.25" customHeight="1">
      <c r="A106" t="s">
        <v>512</v>
      </c>
      <c r="B106" t="s">
        <v>61</v>
      </c>
      <c r="C106" t="s">
        <v>51</v>
      </c>
      <c r="D106" t="s">
        <v>285</v>
      </c>
      <c r="E106" t="s">
        <v>156</v>
      </c>
      <c r="F106" t="s">
        <v>560</v>
      </c>
      <c r="G106" t="str">
        <f>VLOOKUP(A:A,INVENTÁRIO_04_2025!A:A,1,0)</f>
        <v>SPRDSKINTGRU01</v>
      </c>
      <c r="H106" t="str">
        <f>VLOOKUP(A:A,INVENTÁRIO_06_2025!A:A,1,0)</f>
        <v>SPRDSKINTGRU01</v>
      </c>
    </row>
    <row r="107" spans="1:8" ht="11.25" customHeight="1">
      <c r="A107" t="s">
        <v>190</v>
      </c>
      <c r="B107" t="s">
        <v>61</v>
      </c>
      <c r="C107" t="s">
        <v>116</v>
      </c>
      <c r="D107" t="s">
        <v>191</v>
      </c>
      <c r="E107" t="s">
        <v>156</v>
      </c>
      <c r="F107" t="s">
        <v>75</v>
      </c>
      <c r="G107" t="str">
        <f>VLOOKUP(A:A,INVENTÁRIO_04_2025!A:A,1,0)</f>
        <v>SPRDSKESBGRU01</v>
      </c>
      <c r="H107" t="str">
        <f>VLOOKUP(A:A,INVENTÁRIO_06_2025!A:A,1,0)</f>
        <v>SPRDSKESBGRU01</v>
      </c>
    </row>
    <row r="108" spans="1:8" ht="11.25" customHeight="1">
      <c r="A108" t="s">
        <v>643</v>
      </c>
      <c r="B108" t="s">
        <v>50</v>
      </c>
      <c r="C108" t="s">
        <v>116</v>
      </c>
      <c r="D108" t="s">
        <v>188</v>
      </c>
      <c r="E108" t="s">
        <v>156</v>
      </c>
      <c r="F108" t="s">
        <v>75</v>
      </c>
      <c r="G108" t="e">
        <f>VLOOKUP(A:A,INVENTÁRIO_04_2025!A:A,1,0)</f>
        <v>#N/A</v>
      </c>
      <c r="H108" t="str">
        <f>VLOOKUP(A:A,INVENTÁRIO_06_2025!A:A,1,0)</f>
        <v>SPRDSKDCGRU02_RESTORE</v>
      </c>
    </row>
    <row r="109" spans="1:8" ht="11.25" customHeight="1">
      <c r="A109" t="s">
        <v>189</v>
      </c>
      <c r="B109" t="s">
        <v>61</v>
      </c>
      <c r="C109" t="s">
        <v>116</v>
      </c>
      <c r="D109" t="s">
        <v>188</v>
      </c>
      <c r="E109" t="s">
        <v>156</v>
      </c>
      <c r="F109" t="s">
        <v>75</v>
      </c>
      <c r="G109" t="str">
        <f>VLOOKUP(A:A,INVENTÁRIO_04_2025!A:A,1,0)</f>
        <v>SPRDSKDCGRU02</v>
      </c>
      <c r="H109" t="str">
        <f>VLOOKUP(A:A,INVENTÁRIO_06_2025!A:A,1,0)</f>
        <v>SPRDSKDCGRU02</v>
      </c>
    </row>
    <row r="110" spans="1:8" ht="11.25" customHeight="1">
      <c r="A110" t="s">
        <v>641</v>
      </c>
      <c r="B110" t="s">
        <v>50</v>
      </c>
      <c r="C110" t="s">
        <v>116</v>
      </c>
      <c r="D110" t="s">
        <v>188</v>
      </c>
      <c r="E110" t="s">
        <v>156</v>
      </c>
      <c r="F110" t="s">
        <v>75</v>
      </c>
      <c r="G110" t="e">
        <f>VLOOKUP(A:A,INVENTÁRIO_04_2025!A:A,1,0)</f>
        <v>#N/A</v>
      </c>
      <c r="H110" t="str">
        <f>VLOOKUP(A:A,INVENTÁRIO_06_2025!A:A,1,0)</f>
        <v>SPRDSKDCGRU01_RESTORE</v>
      </c>
    </row>
    <row r="111" spans="1:8" ht="11.25" customHeight="1">
      <c r="A111" t="s">
        <v>187</v>
      </c>
      <c r="B111" t="s">
        <v>61</v>
      </c>
      <c r="C111" t="s">
        <v>116</v>
      </c>
      <c r="D111" t="s">
        <v>188</v>
      </c>
      <c r="E111" t="s">
        <v>156</v>
      </c>
      <c r="F111" t="s">
        <v>75</v>
      </c>
      <c r="G111" t="str">
        <f>VLOOKUP(A:A,INVENTÁRIO_04_2025!A:A,1,0)</f>
        <v>SPRDSKDCGRU01</v>
      </c>
      <c r="H111" t="str">
        <f>VLOOKUP(A:A,INVENTÁRIO_06_2025!A:A,1,0)</f>
        <v>SPRDSKDCGRU01</v>
      </c>
    </row>
    <row r="112" spans="1:8" ht="11.25" customHeight="1">
      <c r="A112" t="s">
        <v>236</v>
      </c>
      <c r="B112" t="s">
        <v>61</v>
      </c>
      <c r="C112" t="s">
        <v>116</v>
      </c>
      <c r="D112" t="s">
        <v>188</v>
      </c>
      <c r="E112" t="s">
        <v>156</v>
      </c>
      <c r="F112" t="s">
        <v>75</v>
      </c>
      <c r="G112" t="str">
        <f>VLOOKUP(A:A,INVENTÁRIO_04_2025!A:A,1,0)</f>
        <v>SPRDSKDAUGRU02</v>
      </c>
      <c r="H112" t="str">
        <f>VLOOKUP(A:A,INVENTÁRIO_06_2025!A:A,1,0)</f>
        <v>SPRDSKDAUGRU02</v>
      </c>
    </row>
    <row r="113" spans="1:8" ht="11.25" customHeight="1">
      <c r="A113" t="s">
        <v>159</v>
      </c>
      <c r="B113" t="s">
        <v>61</v>
      </c>
      <c r="C113" t="s">
        <v>51</v>
      </c>
      <c r="D113" t="s">
        <v>158</v>
      </c>
      <c r="E113" t="s">
        <v>156</v>
      </c>
      <c r="F113" t="s">
        <v>75</v>
      </c>
      <c r="G113" t="str">
        <f>VLOOKUP(A:A,INVENTÁRIO_04_2025!A:A,1,0)</f>
        <v>SPRDSIEM02</v>
      </c>
      <c r="H113" t="str">
        <f>VLOOKUP(A:A,INVENTÁRIO_06_2025!A:A,1,0)</f>
        <v>SPRDSIEM02</v>
      </c>
    </row>
    <row r="114" spans="1:8" ht="11.25" customHeight="1">
      <c r="A114" t="s">
        <v>157</v>
      </c>
      <c r="B114" t="s">
        <v>61</v>
      </c>
      <c r="C114" t="s">
        <v>51</v>
      </c>
      <c r="D114" t="s">
        <v>158</v>
      </c>
      <c r="E114" t="s">
        <v>156</v>
      </c>
      <c r="F114" t="s">
        <v>75</v>
      </c>
      <c r="G114" t="str">
        <f>VLOOKUP(A:A,INVENTÁRIO_04_2025!A:A,1,0)</f>
        <v>SPRDSIEM01</v>
      </c>
      <c r="H114" t="str">
        <f>VLOOKUP(A:A,INVENTÁRIO_06_2025!A:A,1,0)</f>
        <v>SPRDSIEM01</v>
      </c>
    </row>
    <row r="115" spans="1:8" ht="11.25" customHeight="1">
      <c r="A115" t="s">
        <v>453</v>
      </c>
      <c r="B115" t="s">
        <v>61</v>
      </c>
      <c r="C115" t="s">
        <v>116</v>
      </c>
      <c r="D115" t="s">
        <v>126</v>
      </c>
      <c r="E115" t="s">
        <v>156</v>
      </c>
      <c r="F115" t="s">
        <v>75</v>
      </c>
      <c r="G115" t="str">
        <f>VLOOKUP(A:A,INVENTÁRIO_04_2025!A:A,1,0)</f>
        <v>SPRDSHPINTGRU05</v>
      </c>
      <c r="H115" t="str">
        <f>VLOOKUP(A:A,INVENTÁRIO_06_2025!A:A,1,0)</f>
        <v>SPRDSHPINTGRU05</v>
      </c>
    </row>
    <row r="116" spans="1:8" ht="11.25" customHeight="1">
      <c r="A116" t="s">
        <v>452</v>
      </c>
      <c r="B116" t="s">
        <v>61</v>
      </c>
      <c r="C116" t="s">
        <v>116</v>
      </c>
      <c r="D116" t="s">
        <v>126</v>
      </c>
      <c r="E116" t="s">
        <v>156</v>
      </c>
      <c r="F116" t="s">
        <v>75</v>
      </c>
      <c r="G116" t="str">
        <f>VLOOKUP(A:A,INVENTÁRIO_04_2025!A:A,1,0)</f>
        <v>SPRDSHPINTGRU04</v>
      </c>
      <c r="H116" t="str">
        <f>VLOOKUP(A:A,INVENTÁRIO_06_2025!A:A,1,0)</f>
        <v>SPRDSHPINTGRU04</v>
      </c>
    </row>
    <row r="117" spans="1:8" ht="11.25" customHeight="1">
      <c r="A117" t="s">
        <v>451</v>
      </c>
      <c r="B117" t="s">
        <v>61</v>
      </c>
      <c r="C117" t="s">
        <v>116</v>
      </c>
      <c r="D117" t="s">
        <v>126</v>
      </c>
      <c r="E117" t="s">
        <v>156</v>
      </c>
      <c r="F117" t="s">
        <v>560</v>
      </c>
      <c r="G117" t="str">
        <f>VLOOKUP(A:A,INVENTÁRIO_04_2025!A:A,1,0)</f>
        <v>SPRDSHPINTGRU03</v>
      </c>
      <c r="H117" t="str">
        <f>VLOOKUP(A:A,INVENTÁRIO_06_2025!A:A,1,0)</f>
        <v>SPRDSHPINTGRU03</v>
      </c>
    </row>
    <row r="118" spans="1:8" ht="11.25" customHeight="1">
      <c r="A118" t="s">
        <v>450</v>
      </c>
      <c r="B118" t="s">
        <v>61</v>
      </c>
      <c r="C118" t="s">
        <v>116</v>
      </c>
      <c r="D118" t="s">
        <v>126</v>
      </c>
      <c r="E118" t="s">
        <v>156</v>
      </c>
      <c r="F118" t="s">
        <v>560</v>
      </c>
      <c r="G118" t="str">
        <f>VLOOKUP(A:A,INVENTÁRIO_04_2025!A:A,1,0)</f>
        <v>SPRDSHPINTGRU02</v>
      </c>
      <c r="H118" t="str">
        <f>VLOOKUP(A:A,INVENTÁRIO_06_2025!A:A,1,0)</f>
        <v>SPRDSHPINTGRU02</v>
      </c>
    </row>
    <row r="119" spans="1:8" ht="11.25" customHeight="1">
      <c r="A119" t="s">
        <v>449</v>
      </c>
      <c r="B119" t="s">
        <v>61</v>
      </c>
      <c r="C119" t="s">
        <v>116</v>
      </c>
      <c r="D119" t="s">
        <v>126</v>
      </c>
      <c r="E119" t="s">
        <v>156</v>
      </c>
      <c r="F119" t="s">
        <v>560</v>
      </c>
      <c r="G119" t="str">
        <f>VLOOKUP(A:A,INVENTÁRIO_04_2025!A:A,1,0)</f>
        <v>SPRDSHPINTGRU01</v>
      </c>
      <c r="H119" t="str">
        <f>VLOOKUP(A:A,INVENTÁRIO_06_2025!A:A,1,0)</f>
        <v>SPRDSHPINTGRU01</v>
      </c>
    </row>
    <row r="120" spans="1:8" ht="11.25" customHeight="1">
      <c r="A120" t="s">
        <v>518</v>
      </c>
      <c r="B120" t="s">
        <v>61</v>
      </c>
      <c r="C120" t="s">
        <v>51</v>
      </c>
      <c r="D120" t="s">
        <v>85</v>
      </c>
      <c r="E120" t="s">
        <v>156</v>
      </c>
      <c r="F120" t="s">
        <v>560</v>
      </c>
      <c r="G120" t="str">
        <f>VLOOKUP(A:A,INVENTÁRIO_04_2025!A:A,1,0)</f>
        <v>SPRDSCANVUL01</v>
      </c>
      <c r="H120" t="str">
        <f>VLOOKUP(A:A,INVENTÁRIO_06_2025!A:A,1,0)</f>
        <v>SPRDSCANVUL01</v>
      </c>
    </row>
    <row r="121" spans="1:8" ht="11.25" customHeight="1">
      <c r="A121" t="s">
        <v>290</v>
      </c>
      <c r="B121" t="s">
        <v>61</v>
      </c>
      <c r="C121" t="s">
        <v>51</v>
      </c>
      <c r="D121" t="s">
        <v>85</v>
      </c>
      <c r="E121" t="s">
        <v>156</v>
      </c>
      <c r="F121" t="s">
        <v>75</v>
      </c>
      <c r="G121" t="str">
        <f>VLOOKUP(A:A,INVENTÁRIO_04_2025!A:A,1,0)</f>
        <v>SPRDSAPNASGRU01</v>
      </c>
      <c r="H121" t="str">
        <f>VLOOKUP(A:A,INVENTÁRIO_06_2025!A:A,1,0)</f>
        <v>SPRDSAPNASGRU01</v>
      </c>
    </row>
    <row r="122" spans="1:8" ht="11.25" customHeight="1">
      <c r="A122" t="s">
        <v>448</v>
      </c>
      <c r="B122" t="s">
        <v>50</v>
      </c>
      <c r="C122" t="s">
        <v>116</v>
      </c>
      <c r="D122" t="s">
        <v>126</v>
      </c>
      <c r="E122" t="s">
        <v>156</v>
      </c>
      <c r="F122" t="s">
        <v>560</v>
      </c>
      <c r="G122" t="str">
        <f>VLOOKUP(A:A,INVENTÁRIO_04_2025!A:A,1,0)</f>
        <v>SPRDSAPECFGRU01</v>
      </c>
      <c r="H122" t="str">
        <f>VLOOKUP(A:A,INVENTÁRIO_06_2025!A:A,1,0)</f>
        <v>SPRDSAPECFGRU01</v>
      </c>
    </row>
    <row r="123" spans="1:8" ht="11.25" customHeight="1">
      <c r="A123" t="s">
        <v>401</v>
      </c>
      <c r="B123" t="s">
        <v>61</v>
      </c>
      <c r="C123" t="s">
        <v>116</v>
      </c>
      <c r="D123" t="s">
        <v>122</v>
      </c>
      <c r="E123" t="s">
        <v>156</v>
      </c>
      <c r="F123" t="s">
        <v>560</v>
      </c>
      <c r="G123" t="str">
        <f>VLOOKUP(A:A,INVENTÁRIO_04_2025!A:A,1,0)</f>
        <v>SPRDPRGGRU02</v>
      </c>
      <c r="H123" t="str">
        <f>VLOOKUP(A:A,INVENTÁRIO_06_2025!A:A,1,0)</f>
        <v>SPRDPRGGRU02</v>
      </c>
    </row>
    <row r="124" spans="1:8" ht="11.25" customHeight="1">
      <c r="A124" t="s">
        <v>318</v>
      </c>
      <c r="B124" t="s">
        <v>61</v>
      </c>
      <c r="C124" t="s">
        <v>51</v>
      </c>
      <c r="D124" t="s">
        <v>114</v>
      </c>
      <c r="E124" t="s">
        <v>156</v>
      </c>
      <c r="F124" t="s">
        <v>75</v>
      </c>
      <c r="G124" t="str">
        <f>VLOOKUP(A:A,INVENTÁRIO_04_2025!A:A,1,0)</f>
        <v>SPRDOTRSGRU01</v>
      </c>
      <c r="H124" t="str">
        <f>VLOOKUP(A:A,INVENTÁRIO_06_2025!A:A,1,0)</f>
        <v>SPRDOTRSGRU01</v>
      </c>
    </row>
    <row r="125" spans="1:8" ht="11.25" customHeight="1">
      <c r="A125" t="s">
        <v>317</v>
      </c>
      <c r="B125" t="s">
        <v>61</v>
      </c>
      <c r="C125" t="s">
        <v>51</v>
      </c>
      <c r="D125" t="s">
        <v>114</v>
      </c>
      <c r="E125" t="s">
        <v>156</v>
      </c>
      <c r="F125" t="s">
        <v>75</v>
      </c>
      <c r="G125" t="str">
        <f>VLOOKUP(A:A,INVENTÁRIO_04_2025!A:A,1,0)</f>
        <v>SPRDNTDGRU03</v>
      </c>
      <c r="H125" t="str">
        <f>VLOOKUP(A:A,INVENTÁRIO_06_2025!A:A,1,0)</f>
        <v>SPRDNTDGRU03</v>
      </c>
    </row>
    <row r="126" spans="1:8" ht="11.25" customHeight="1">
      <c r="A126" t="s">
        <v>316</v>
      </c>
      <c r="B126" t="s">
        <v>61</v>
      </c>
      <c r="C126" t="s">
        <v>51</v>
      </c>
      <c r="D126" t="s">
        <v>114</v>
      </c>
      <c r="E126" t="s">
        <v>156</v>
      </c>
      <c r="F126" t="s">
        <v>75</v>
      </c>
      <c r="G126" t="str">
        <f>VLOOKUP(A:A,INVENTÁRIO_04_2025!A:A,1,0)</f>
        <v>SPRDMYSQLGRU03</v>
      </c>
      <c r="H126" t="str">
        <f>VLOOKUP(A:A,INVENTÁRIO_06_2025!A:A,1,0)</f>
        <v>SPRDMYSQLGRU03</v>
      </c>
    </row>
    <row r="127" spans="1:8" ht="11.25" customHeight="1">
      <c r="A127" t="s">
        <v>334</v>
      </c>
      <c r="B127" t="s">
        <v>61</v>
      </c>
      <c r="C127" t="s">
        <v>51</v>
      </c>
      <c r="D127" t="s">
        <v>329</v>
      </c>
      <c r="E127" t="s">
        <v>156</v>
      </c>
      <c r="F127" t="s">
        <v>560</v>
      </c>
      <c r="G127" t="str">
        <f>VLOOKUP(A:A,INVENTÁRIO_04_2025!A:A,1,0)</f>
        <v>SPRDMYSQLGRU02</v>
      </c>
      <c r="H127" t="str">
        <f>VLOOKUP(A:A,INVENTÁRIO_06_2025!A:A,1,0)</f>
        <v>SPRDMYSQLGRU02</v>
      </c>
    </row>
    <row r="128" spans="1:8" ht="11.25" customHeight="1">
      <c r="A128" t="s">
        <v>552</v>
      </c>
      <c r="B128" t="s">
        <v>61</v>
      </c>
      <c r="C128" t="s">
        <v>51</v>
      </c>
      <c r="D128" t="s">
        <v>114</v>
      </c>
      <c r="E128" t="s">
        <v>156</v>
      </c>
      <c r="F128" t="s">
        <v>560</v>
      </c>
      <c r="G128" t="str">
        <f>VLOOKUP(A:A,INVENTÁRIO_04_2025!A:A,1,0)</f>
        <v>SPRDMONGRU01</v>
      </c>
      <c r="H128" t="str">
        <f>VLOOKUP(A:A,INVENTÁRIO_06_2025!A:A,1,0)</f>
        <v>SPRDMONGRU01</v>
      </c>
    </row>
    <row r="129" spans="1:8" ht="11.25" customHeight="1">
      <c r="A129" t="s">
        <v>500</v>
      </c>
      <c r="B129" t="s">
        <v>61</v>
      </c>
      <c r="C129" t="s">
        <v>116</v>
      </c>
      <c r="D129" t="s">
        <v>136</v>
      </c>
      <c r="E129" t="s">
        <v>156</v>
      </c>
      <c r="F129" t="s">
        <v>560</v>
      </c>
      <c r="G129" t="str">
        <f>VLOOKUP(A:A,INVENTÁRIO_04_2025!A:A,1,0)</f>
        <v>SPRDJPBEUMER-01</v>
      </c>
      <c r="H129" t="str">
        <f>VLOOKUP(A:A,INVENTÁRIO_06_2025!A:A,1,0)</f>
        <v>SPRDJPBEUMER-01</v>
      </c>
    </row>
    <row r="130" spans="1:8" ht="11.25" customHeight="1">
      <c r="A130" t="s">
        <v>499</v>
      </c>
      <c r="B130" t="s">
        <v>61</v>
      </c>
      <c r="C130" t="s">
        <v>116</v>
      </c>
      <c r="D130" t="s">
        <v>425</v>
      </c>
      <c r="E130" t="s">
        <v>156</v>
      </c>
      <c r="F130" t="s">
        <v>560</v>
      </c>
      <c r="G130" t="str">
        <f>VLOOKUP(A:A,INVENTÁRIO_04_2025!A:A,1,0)</f>
        <v>SPRDIRGRU01</v>
      </c>
      <c r="H130" t="str">
        <f>VLOOKUP(A:A,INVENTÁRIO_06_2025!A:A,1,0)</f>
        <v>SPRDIRGRU01</v>
      </c>
    </row>
    <row r="131" spans="1:8" ht="11.25" customHeight="1">
      <c r="A131" t="s">
        <v>400</v>
      </c>
      <c r="B131" t="s">
        <v>61</v>
      </c>
      <c r="C131" t="s">
        <v>116</v>
      </c>
      <c r="D131" t="s">
        <v>122</v>
      </c>
      <c r="E131" t="s">
        <v>156</v>
      </c>
      <c r="F131" t="s">
        <v>560</v>
      </c>
      <c r="G131" t="str">
        <f>VLOOKUP(A:A,INVENTÁRIO_04_2025!A:A,1,0)</f>
        <v>SPRDIAMDATGRU01</v>
      </c>
      <c r="H131" t="str">
        <f>VLOOKUP(A:A,INVENTÁRIO_06_2025!A:A,1,0)</f>
        <v>SPRDIAMDATGRU01</v>
      </c>
    </row>
    <row r="132" spans="1:8" ht="11.25" customHeight="1">
      <c r="A132" t="s">
        <v>616</v>
      </c>
      <c r="B132" t="s">
        <v>61</v>
      </c>
      <c r="C132" t="s">
        <v>116</v>
      </c>
      <c r="D132" t="s">
        <v>572</v>
      </c>
      <c r="E132" t="s">
        <v>156</v>
      </c>
      <c r="F132" t="s">
        <v>560</v>
      </c>
      <c r="G132" t="str">
        <f>VLOOKUP(A:A,INVENTÁRIO_04_2025!A:A,1,0)</f>
        <v>SPRDFSQUA01</v>
      </c>
      <c r="H132" t="str">
        <f>VLOOKUP(A:A,INVENTÁRIO_06_2025!A:A,1,0)</f>
        <v>SPRDFSQUA01</v>
      </c>
    </row>
    <row r="133" spans="1:8" ht="11.25" customHeight="1">
      <c r="A133" t="s">
        <v>81</v>
      </c>
      <c r="B133" t="s">
        <v>61</v>
      </c>
      <c r="C133" t="s">
        <v>51</v>
      </c>
      <c r="D133" t="s">
        <v>62</v>
      </c>
      <c r="E133" t="s">
        <v>53</v>
      </c>
      <c r="F133" t="s">
        <v>75</v>
      </c>
      <c r="G133" t="str">
        <f>VLOOKUP(A:A,INVENTÁRIO_04_2025!A:A,1,0)</f>
        <v>SPRDESXIGRU07</v>
      </c>
      <c r="H133" t="str">
        <f>VLOOKUP(A:A,INVENTÁRIO_06_2025!A:A,1,0)</f>
        <v>SPRDESXIGRU07</v>
      </c>
    </row>
    <row r="134" spans="1:8" ht="11.25" customHeight="1">
      <c r="A134" t="s">
        <v>80</v>
      </c>
      <c r="B134" t="s">
        <v>61</v>
      </c>
      <c r="C134" t="s">
        <v>51</v>
      </c>
      <c r="D134" t="s">
        <v>62</v>
      </c>
      <c r="E134" t="s">
        <v>53</v>
      </c>
      <c r="F134" t="s">
        <v>75</v>
      </c>
      <c r="G134" t="str">
        <f>VLOOKUP(A:A,INVENTÁRIO_04_2025!A:A,1,0)</f>
        <v>SPRDESXIGRU06</v>
      </c>
      <c r="H134" t="str">
        <f>VLOOKUP(A:A,INVENTÁRIO_06_2025!A:A,1,0)</f>
        <v>SPRDESXIGRU06</v>
      </c>
    </row>
    <row r="135" spans="1:8" ht="11.25" customHeight="1">
      <c r="A135" t="s">
        <v>79</v>
      </c>
      <c r="B135" t="s">
        <v>61</v>
      </c>
      <c r="C135" t="s">
        <v>51</v>
      </c>
      <c r="D135" t="s">
        <v>62</v>
      </c>
      <c r="E135" t="s">
        <v>53</v>
      </c>
      <c r="F135" t="s">
        <v>75</v>
      </c>
      <c r="G135" t="str">
        <f>VLOOKUP(A:A,INVENTÁRIO_04_2025!A:A,1,0)</f>
        <v>SPRDESXIGRU05</v>
      </c>
      <c r="H135" t="str">
        <f>VLOOKUP(A:A,INVENTÁRIO_06_2025!A:A,1,0)</f>
        <v>SPRDESXIGRU05</v>
      </c>
    </row>
    <row r="136" spans="1:8" ht="11.25" customHeight="1">
      <c r="A136" t="s">
        <v>78</v>
      </c>
      <c r="B136" t="s">
        <v>61</v>
      </c>
      <c r="C136" t="s">
        <v>51</v>
      </c>
      <c r="D136" t="s">
        <v>62</v>
      </c>
      <c r="E136" t="s">
        <v>53</v>
      </c>
      <c r="F136" t="s">
        <v>75</v>
      </c>
      <c r="G136" t="str">
        <f>VLOOKUP(A:A,INVENTÁRIO_04_2025!A:A,1,0)</f>
        <v>SPRDESXIGRU04</v>
      </c>
      <c r="H136" t="str">
        <f>VLOOKUP(A:A,INVENTÁRIO_06_2025!A:A,1,0)</f>
        <v>SPRDESXIGRU04</v>
      </c>
    </row>
    <row r="137" spans="1:8" ht="11.25" customHeight="1">
      <c r="A137" t="s">
        <v>77</v>
      </c>
      <c r="B137" t="s">
        <v>61</v>
      </c>
      <c r="C137" t="s">
        <v>51</v>
      </c>
      <c r="D137" t="s">
        <v>62</v>
      </c>
      <c r="E137" t="s">
        <v>53</v>
      </c>
      <c r="F137" t="s">
        <v>75</v>
      </c>
      <c r="G137" t="str">
        <f>VLOOKUP(A:A,INVENTÁRIO_04_2025!A:A,1,0)</f>
        <v>SPRDESXIGRU03</v>
      </c>
      <c r="H137" t="str">
        <f>VLOOKUP(A:A,INVENTÁRIO_06_2025!A:A,1,0)</f>
        <v>SPRDESXIGRU03</v>
      </c>
    </row>
    <row r="138" spans="1:8" ht="11.25" customHeight="1">
      <c r="A138" t="s">
        <v>76</v>
      </c>
      <c r="B138" t="s">
        <v>61</v>
      </c>
      <c r="C138" t="s">
        <v>51</v>
      </c>
      <c r="D138" t="s">
        <v>62</v>
      </c>
      <c r="E138" t="s">
        <v>53</v>
      </c>
      <c r="F138" t="s">
        <v>75</v>
      </c>
      <c r="G138" t="str">
        <f>VLOOKUP(A:A,INVENTÁRIO_04_2025!A:A,1,0)</f>
        <v>SPRDESXIGRU02</v>
      </c>
      <c r="H138" t="str">
        <f>VLOOKUP(A:A,INVENTÁRIO_06_2025!A:A,1,0)</f>
        <v>SPRDESXIGRU02</v>
      </c>
    </row>
    <row r="139" spans="1:8" ht="11.25" customHeight="1">
      <c r="A139" t="s">
        <v>74</v>
      </c>
      <c r="B139" t="s">
        <v>61</v>
      </c>
      <c r="C139" t="s">
        <v>51</v>
      </c>
      <c r="D139" t="s">
        <v>62</v>
      </c>
      <c r="E139" t="s">
        <v>53</v>
      </c>
      <c r="F139" t="s">
        <v>75</v>
      </c>
      <c r="G139" t="str">
        <f>VLOOKUP(A:A,INVENTÁRIO_04_2025!A:A,1,0)</f>
        <v>SPRDESXIGRU01</v>
      </c>
      <c r="H139" t="str">
        <f>VLOOKUP(A:A,INVENTÁRIO_06_2025!A:A,1,0)</f>
        <v>SPRDESXIGRU01</v>
      </c>
    </row>
    <row r="140" spans="1:8" ht="11.25" customHeight="1">
      <c r="A140" t="s">
        <v>339</v>
      </c>
      <c r="B140" t="s">
        <v>61</v>
      </c>
      <c r="C140" t="s">
        <v>116</v>
      </c>
      <c r="D140" t="s">
        <v>337</v>
      </c>
      <c r="E140" t="s">
        <v>156</v>
      </c>
      <c r="F140" t="s">
        <v>560</v>
      </c>
      <c r="G140" t="str">
        <f>VLOOKUP(A:A,INVENTÁRIO_04_2025!A:A,1,0)</f>
        <v>SPRDCFGEXTGRU01</v>
      </c>
      <c r="H140" t="str">
        <f>VLOOKUP(A:A,INVENTÁRIO_06_2025!A:A,1,0)</f>
        <v>SPRDCFGEXTGRU01</v>
      </c>
    </row>
    <row r="141" spans="1:8" ht="11.25" customHeight="1">
      <c r="A141" t="s">
        <v>558</v>
      </c>
      <c r="B141" t="s">
        <v>61</v>
      </c>
      <c r="C141" t="s">
        <v>51</v>
      </c>
      <c r="D141" t="s">
        <v>559</v>
      </c>
      <c r="E141" t="s">
        <v>53</v>
      </c>
      <c r="F141" t="s">
        <v>560</v>
      </c>
      <c r="G141" t="str">
        <f>VLOOKUP(A:A,INVENTÁRIO_04_2025!A:A,1,0)</f>
        <v>SPRDCCTVGRU31-OLD</v>
      </c>
      <c r="H141" t="str">
        <f>VLOOKUP(A:A,INVENTÁRIO_06_2025!A:A,1,0)</f>
        <v>SPRDCCTVGRU31-OLD</v>
      </c>
    </row>
    <row r="142" spans="1:8" ht="11.25" customHeight="1">
      <c r="A142" t="s">
        <v>150</v>
      </c>
      <c r="B142" t="s">
        <v>61</v>
      </c>
      <c r="C142" t="s">
        <v>116</v>
      </c>
      <c r="D142" t="s">
        <v>141</v>
      </c>
      <c r="E142" t="s">
        <v>53</v>
      </c>
      <c r="F142" t="s">
        <v>133</v>
      </c>
      <c r="G142" t="str">
        <f>VLOOKUP(A:A,INVENTÁRIO_04_2025!A:A,1,0)</f>
        <v>SPRDCCTVGRU30</v>
      </c>
      <c r="H142" t="str">
        <f>VLOOKUP(A:A,INVENTÁRIO_06_2025!A:A,1,0)</f>
        <v>SPRDCCTVGRU30</v>
      </c>
    </row>
    <row r="143" spans="1:8" ht="11.25" customHeight="1">
      <c r="A143" t="s">
        <v>149</v>
      </c>
      <c r="B143" t="s">
        <v>61</v>
      </c>
      <c r="C143" t="s">
        <v>116</v>
      </c>
      <c r="D143" t="s">
        <v>141</v>
      </c>
      <c r="E143" t="s">
        <v>53</v>
      </c>
      <c r="F143" t="s">
        <v>133</v>
      </c>
      <c r="G143" t="str">
        <f>VLOOKUP(A:A,INVENTÁRIO_04_2025!A:A,1,0)</f>
        <v>SPRDCCTVGRU29</v>
      </c>
      <c r="H143" t="str">
        <f>VLOOKUP(A:A,INVENTÁRIO_06_2025!A:A,1,0)</f>
        <v>SPRDCCTVGRU29</v>
      </c>
    </row>
    <row r="144" spans="1:8" ht="11.25" customHeight="1">
      <c r="A144" t="s">
        <v>148</v>
      </c>
      <c r="B144" t="s">
        <v>61</v>
      </c>
      <c r="C144" t="s">
        <v>116</v>
      </c>
      <c r="D144" t="s">
        <v>141</v>
      </c>
      <c r="E144" t="s">
        <v>53</v>
      </c>
      <c r="F144" t="s">
        <v>133</v>
      </c>
      <c r="G144" t="str">
        <f>VLOOKUP(A:A,INVENTÁRIO_04_2025!A:A,1,0)</f>
        <v>SPRDCCTVGRU28</v>
      </c>
      <c r="H144" t="str">
        <f>VLOOKUP(A:A,INVENTÁRIO_06_2025!A:A,1,0)</f>
        <v>SPRDCCTVGRU28</v>
      </c>
    </row>
    <row r="145" spans="1:8" ht="11.25" customHeight="1">
      <c r="A145" t="s">
        <v>147</v>
      </c>
      <c r="B145" t="s">
        <v>61</v>
      </c>
      <c r="C145" t="s">
        <v>116</v>
      </c>
      <c r="D145" t="s">
        <v>141</v>
      </c>
      <c r="E145" t="s">
        <v>53</v>
      </c>
      <c r="F145" t="s">
        <v>133</v>
      </c>
      <c r="G145" t="str">
        <f>VLOOKUP(A:A,INVENTÁRIO_04_2025!A:A,1,0)</f>
        <v>SPRDCCTVGRU26</v>
      </c>
      <c r="H145" t="str">
        <f>VLOOKUP(A:A,INVENTÁRIO_06_2025!A:A,1,0)</f>
        <v>SPRDCCTVGRU26</v>
      </c>
    </row>
    <row r="146" spans="1:8" ht="11.25" customHeight="1">
      <c r="A146" t="s">
        <v>146</v>
      </c>
      <c r="B146" t="s">
        <v>61</v>
      </c>
      <c r="C146" t="s">
        <v>116</v>
      </c>
      <c r="D146" t="s">
        <v>141</v>
      </c>
      <c r="E146" t="s">
        <v>53</v>
      </c>
      <c r="F146" t="s">
        <v>133</v>
      </c>
      <c r="G146" t="str">
        <f>VLOOKUP(A:A,INVENTÁRIO_04_2025!A:A,1,0)</f>
        <v>SPRDCCTVGRU25</v>
      </c>
      <c r="H146" t="str">
        <f>VLOOKUP(A:A,INVENTÁRIO_06_2025!A:A,1,0)</f>
        <v>SPRDCCTVGRU25</v>
      </c>
    </row>
    <row r="147" spans="1:8" ht="11.25" customHeight="1">
      <c r="A147" t="s">
        <v>139</v>
      </c>
      <c r="B147" t="s">
        <v>61</v>
      </c>
      <c r="C147" t="s">
        <v>116</v>
      </c>
      <c r="D147" t="s">
        <v>136</v>
      </c>
      <c r="E147" t="s">
        <v>53</v>
      </c>
      <c r="F147" t="s">
        <v>133</v>
      </c>
      <c r="G147" t="str">
        <f>VLOOKUP(A:A,INVENTÁRIO_04_2025!A:A,1,0)</f>
        <v>SPRDCCTVGRU21</v>
      </c>
      <c r="H147" t="str">
        <f>VLOOKUP(A:A,INVENTÁRIO_06_2025!A:A,1,0)</f>
        <v>SPRDCCTVGRU21</v>
      </c>
    </row>
    <row r="148" spans="1:8" ht="11.25" customHeight="1">
      <c r="A148" t="s">
        <v>138</v>
      </c>
      <c r="B148" t="s">
        <v>61</v>
      </c>
      <c r="C148" t="s">
        <v>116</v>
      </c>
      <c r="D148" t="s">
        <v>136</v>
      </c>
      <c r="E148" t="s">
        <v>53</v>
      </c>
      <c r="F148" t="s">
        <v>133</v>
      </c>
      <c r="G148" t="str">
        <f>VLOOKUP(A:A,INVENTÁRIO_04_2025!A:A,1,0)</f>
        <v>SPRDCCTVGRU20</v>
      </c>
      <c r="H148" t="str">
        <f>VLOOKUP(A:A,INVENTÁRIO_06_2025!A:A,1,0)</f>
        <v>SPRDCCTVGRU20</v>
      </c>
    </row>
    <row r="149" spans="1:8" ht="11.25" customHeight="1">
      <c r="A149" t="s">
        <v>145</v>
      </c>
      <c r="B149" t="s">
        <v>61</v>
      </c>
      <c r="C149" t="s">
        <v>116</v>
      </c>
      <c r="D149" t="s">
        <v>141</v>
      </c>
      <c r="E149" t="s">
        <v>53</v>
      </c>
      <c r="F149" t="s">
        <v>133</v>
      </c>
      <c r="G149" t="str">
        <f>VLOOKUP(A:A,INVENTÁRIO_04_2025!A:A,1,0)</f>
        <v>SPRDCCTVGRU11</v>
      </c>
      <c r="H149" t="str">
        <f>VLOOKUP(A:A,INVENTÁRIO_06_2025!A:A,1,0)</f>
        <v>SPRDCCTVGRU11</v>
      </c>
    </row>
    <row r="150" spans="1:8" ht="11.25" customHeight="1">
      <c r="A150" t="s">
        <v>134</v>
      </c>
      <c r="B150" t="s">
        <v>61</v>
      </c>
      <c r="C150" t="s">
        <v>116</v>
      </c>
      <c r="D150" t="s">
        <v>129</v>
      </c>
      <c r="E150" t="s">
        <v>53</v>
      </c>
      <c r="F150" t="s">
        <v>133</v>
      </c>
      <c r="G150" t="str">
        <f>VLOOKUP(A:A,INVENTÁRIO_04_2025!A:A,1,0)</f>
        <v>SPRDCCTVGRU10</v>
      </c>
      <c r="H150" t="str">
        <f>VLOOKUP(A:A,INVENTÁRIO_06_2025!A:A,1,0)</f>
        <v>SPRDCCTVGRU10</v>
      </c>
    </row>
    <row r="151" spans="1:8" ht="11.25" customHeight="1">
      <c r="A151" t="s">
        <v>144</v>
      </c>
      <c r="B151" t="s">
        <v>61</v>
      </c>
      <c r="C151" t="s">
        <v>116</v>
      </c>
      <c r="D151" t="s">
        <v>141</v>
      </c>
      <c r="E151" t="s">
        <v>53</v>
      </c>
      <c r="F151" t="s">
        <v>133</v>
      </c>
      <c r="G151" t="str">
        <f>VLOOKUP(A:A,INVENTÁRIO_04_2025!A:A,1,0)</f>
        <v>SPRDCCTVGRU09</v>
      </c>
      <c r="H151" t="str">
        <f>VLOOKUP(A:A,INVENTÁRIO_06_2025!A:A,1,0)</f>
        <v>SPRDCCTVGRU09</v>
      </c>
    </row>
    <row r="152" spans="1:8" ht="11.25" customHeight="1">
      <c r="A152" t="s">
        <v>132</v>
      </c>
      <c r="B152" t="s">
        <v>61</v>
      </c>
      <c r="C152" t="s">
        <v>116</v>
      </c>
      <c r="D152" t="s">
        <v>129</v>
      </c>
      <c r="E152" t="s">
        <v>53</v>
      </c>
      <c r="F152" t="s">
        <v>133</v>
      </c>
      <c r="G152" t="str">
        <f>VLOOKUP(A:A,INVENTÁRIO_04_2025!A:A,1,0)</f>
        <v>SPRDCCTVGRU08</v>
      </c>
      <c r="H152" t="str">
        <f>VLOOKUP(A:A,INVENTÁRIO_06_2025!A:A,1,0)</f>
        <v>SPRDCCTVGRU08</v>
      </c>
    </row>
    <row r="153" spans="1:8" ht="11.25" customHeight="1">
      <c r="A153" t="s">
        <v>143</v>
      </c>
      <c r="B153" t="s">
        <v>61</v>
      </c>
      <c r="C153" t="s">
        <v>116</v>
      </c>
      <c r="D153" t="s">
        <v>141</v>
      </c>
      <c r="E153" t="s">
        <v>53</v>
      </c>
      <c r="F153" t="s">
        <v>133</v>
      </c>
      <c r="G153" t="str">
        <f>VLOOKUP(A:A,INVENTÁRIO_04_2025!A:A,1,0)</f>
        <v>SPRDCCTVGRU07</v>
      </c>
      <c r="H153" t="str">
        <f>VLOOKUP(A:A,INVENTÁRIO_06_2025!A:A,1,0)</f>
        <v>SPRDCCTVGRU07</v>
      </c>
    </row>
    <row r="154" spans="1:8" ht="11.25" customHeight="1">
      <c r="A154" t="s">
        <v>142</v>
      </c>
      <c r="B154" t="s">
        <v>61</v>
      </c>
      <c r="C154" t="s">
        <v>116</v>
      </c>
      <c r="D154" t="s">
        <v>141</v>
      </c>
      <c r="E154" t="s">
        <v>53</v>
      </c>
      <c r="F154" t="s">
        <v>133</v>
      </c>
      <c r="G154" t="str">
        <f>VLOOKUP(A:A,INVENTÁRIO_04_2025!A:A,1,0)</f>
        <v>SPRDCCTVGRU05</v>
      </c>
      <c r="H154" t="str">
        <f>VLOOKUP(A:A,INVENTÁRIO_06_2025!A:A,1,0)</f>
        <v>SPRDCCTVGRU05</v>
      </c>
    </row>
    <row r="155" spans="1:8" ht="11.25" customHeight="1">
      <c r="A155" t="s">
        <v>140</v>
      </c>
      <c r="B155" t="s">
        <v>61</v>
      </c>
      <c r="C155" t="s">
        <v>116</v>
      </c>
      <c r="D155" t="s">
        <v>141</v>
      </c>
      <c r="E155" t="s">
        <v>53</v>
      </c>
      <c r="F155" t="s">
        <v>133</v>
      </c>
      <c r="G155" t="str">
        <f>VLOOKUP(A:A,INVENTÁRIO_04_2025!A:A,1,0)</f>
        <v>SPRDCCTVGRU02</v>
      </c>
      <c r="H155" t="str">
        <f>VLOOKUP(A:A,INVENTÁRIO_06_2025!A:A,1,0)</f>
        <v>SPRDCCTVGRU02</v>
      </c>
    </row>
    <row r="156" spans="1:8" ht="11.25" customHeight="1">
      <c r="A156" t="s">
        <v>137</v>
      </c>
      <c r="B156" t="s">
        <v>61</v>
      </c>
      <c r="C156" t="s">
        <v>116</v>
      </c>
      <c r="D156" t="s">
        <v>136</v>
      </c>
      <c r="E156" t="s">
        <v>53</v>
      </c>
      <c r="F156" t="s">
        <v>133</v>
      </c>
      <c r="G156" t="str">
        <f>VLOOKUP(A:A,INVENTÁRIO_04_2025!A:A,1,0)</f>
        <v>SPRDCCTVGRU01</v>
      </c>
      <c r="H156" t="str">
        <f>VLOOKUP(A:A,INVENTÁRIO_06_2025!A:A,1,0)</f>
        <v>SPRDCCTVGRU01</v>
      </c>
    </row>
    <row r="157" spans="1:8" ht="11.25" customHeight="1">
      <c r="A157" t="s">
        <v>498</v>
      </c>
      <c r="B157" t="s">
        <v>61</v>
      </c>
      <c r="C157" t="s">
        <v>116</v>
      </c>
      <c r="D157" t="s">
        <v>153</v>
      </c>
      <c r="E157" t="s">
        <v>156</v>
      </c>
      <c r="F157" t="s">
        <v>560</v>
      </c>
      <c r="G157" t="str">
        <f>VLOOKUP(A:A,INVENTÁRIO_04_2025!A:A,1,0)</f>
        <v>SPRDBKPPSTGRU01</v>
      </c>
      <c r="H157" t="str">
        <f>VLOOKUP(A:A,INVENTÁRIO_06_2025!A:A,1,0)</f>
        <v>SPRDBKPPSTGRU01</v>
      </c>
    </row>
    <row r="158" spans="1:8" ht="11.25" customHeight="1">
      <c r="A158" t="s">
        <v>497</v>
      </c>
      <c r="B158" t="s">
        <v>61</v>
      </c>
      <c r="C158" t="s">
        <v>116</v>
      </c>
      <c r="D158" t="s">
        <v>136</v>
      </c>
      <c r="E158" t="s">
        <v>156</v>
      </c>
      <c r="F158" t="s">
        <v>560</v>
      </c>
      <c r="G158" t="str">
        <f>VLOOKUP(A:A,INVENTÁRIO_04_2025!A:A,1,0)</f>
        <v>SPRDBDWMBGRU01</v>
      </c>
      <c r="H158" t="str">
        <f>VLOOKUP(A:A,INVENTÁRIO_06_2025!A:A,1,0)</f>
        <v>SPRDBDWMBGRU01</v>
      </c>
    </row>
    <row r="159" spans="1:8" ht="11.25" customHeight="1">
      <c r="A159" t="s">
        <v>551</v>
      </c>
      <c r="B159" t="s">
        <v>61</v>
      </c>
      <c r="C159" t="s">
        <v>51</v>
      </c>
      <c r="D159" t="s">
        <v>114</v>
      </c>
      <c r="E159" t="s">
        <v>156</v>
      </c>
      <c r="F159" t="s">
        <v>75</v>
      </c>
      <c r="G159" t="str">
        <f>VLOOKUP(A:A,INVENTÁRIO_04_2025!A:A,1,0)</f>
        <v>SPRDBDOTRSGRU02</v>
      </c>
      <c r="H159" t="str">
        <f>VLOOKUP(A:A,INVENTÁRIO_06_2025!A:A,1,0)</f>
        <v>SPRDBDOTRSGRU02</v>
      </c>
    </row>
    <row r="160" spans="1:8" ht="11.25" customHeight="1">
      <c r="A160" t="s">
        <v>315</v>
      </c>
      <c r="B160" t="s">
        <v>61</v>
      </c>
      <c r="C160" t="s">
        <v>51</v>
      </c>
      <c r="D160" t="s">
        <v>114</v>
      </c>
      <c r="E160" t="s">
        <v>156</v>
      </c>
      <c r="F160" t="s">
        <v>75</v>
      </c>
      <c r="G160" t="str">
        <f>VLOOKUP(A:A,INVENTÁRIO_04_2025!A:A,1,0)</f>
        <v>SPRDBDOTRSGRU01</v>
      </c>
      <c r="H160" t="str">
        <f>VLOOKUP(A:A,INVENTÁRIO_06_2025!A:A,1,0)</f>
        <v>SPRDBDOTRSGRU01</v>
      </c>
    </row>
    <row r="161" spans="1:8" ht="11.25" customHeight="1">
      <c r="A161" t="s">
        <v>108</v>
      </c>
      <c r="B161" t="s">
        <v>61</v>
      </c>
      <c r="C161" t="s">
        <v>51</v>
      </c>
      <c r="D161" t="s">
        <v>109</v>
      </c>
      <c r="E161" t="s">
        <v>53</v>
      </c>
      <c r="F161" t="s">
        <v>58</v>
      </c>
      <c r="G161" t="str">
        <f>VLOOKUP(A:A,INVENTÁRIO_04_2025!A:A,1,0)</f>
        <v>SPRDBDORAGRU12</v>
      </c>
      <c r="H161" t="str">
        <f>VLOOKUP(A:A,INVENTÁRIO_06_2025!A:A,1,0)</f>
        <v>SPRDBDORAGRU12</v>
      </c>
    </row>
    <row r="162" spans="1:8" ht="11.25" customHeight="1">
      <c r="A162" t="s">
        <v>107</v>
      </c>
      <c r="B162" t="s">
        <v>61</v>
      </c>
      <c r="C162" t="s">
        <v>51</v>
      </c>
      <c r="D162" t="s">
        <v>85</v>
      </c>
      <c r="E162" t="s">
        <v>53</v>
      </c>
      <c r="F162" t="s">
        <v>58</v>
      </c>
      <c r="G162" t="str">
        <f>VLOOKUP(A:A,INVENTÁRIO_04_2025!A:A,1,0)</f>
        <v>SPRDBDORAGRU11</v>
      </c>
      <c r="H162" t="str">
        <f>VLOOKUP(A:A,INVENTÁRIO_06_2025!A:A,1,0)</f>
        <v>SPRDBDORAGRU11</v>
      </c>
    </row>
    <row r="163" spans="1:8" ht="11.25" customHeight="1">
      <c r="A163" t="s">
        <v>100</v>
      </c>
      <c r="B163" t="s">
        <v>61</v>
      </c>
      <c r="C163" t="s">
        <v>51</v>
      </c>
      <c r="D163" t="s">
        <v>85</v>
      </c>
      <c r="E163" t="s">
        <v>53</v>
      </c>
      <c r="F163" t="s">
        <v>56</v>
      </c>
      <c r="G163" t="str">
        <f>VLOOKUP(A:A,INVENTÁRIO_04_2025!A:A,1,0)</f>
        <v>SPRDBDORAGRU09</v>
      </c>
      <c r="H163" t="str">
        <f>VLOOKUP(A:A,INVENTÁRIO_06_2025!A:A,1,0)</f>
        <v>SPRDBDORAGRU09</v>
      </c>
    </row>
    <row r="164" spans="1:8" ht="11.25" customHeight="1">
      <c r="A164" t="s">
        <v>93</v>
      </c>
      <c r="B164" t="s">
        <v>61</v>
      </c>
      <c r="C164" t="s">
        <v>51</v>
      </c>
      <c r="D164" t="s">
        <v>85</v>
      </c>
      <c r="E164" t="s">
        <v>53</v>
      </c>
      <c r="F164" t="s">
        <v>67</v>
      </c>
      <c r="G164" t="str">
        <f>VLOOKUP(A:A,INVENTÁRIO_04_2025!A:A,1,0)</f>
        <v>SPRDBDORAGRU05</v>
      </c>
      <c r="H164" t="str">
        <f>VLOOKUP(A:A,INVENTÁRIO_06_2025!A:A,1,0)</f>
        <v>SPRDBDORAGRU05</v>
      </c>
    </row>
    <row r="165" spans="1:8" ht="11.25" customHeight="1">
      <c r="A165" t="s">
        <v>87</v>
      </c>
      <c r="B165" t="s">
        <v>61</v>
      </c>
      <c r="C165" t="s">
        <v>51</v>
      </c>
      <c r="D165" t="s">
        <v>85</v>
      </c>
      <c r="E165" t="s">
        <v>53</v>
      </c>
      <c r="F165" t="s">
        <v>63</v>
      </c>
      <c r="G165" t="str">
        <f>VLOOKUP(A:A,INVENTÁRIO_04_2025!A:A,1,0)</f>
        <v>SPRDBDORAGRU04</v>
      </c>
      <c r="H165" t="str">
        <f>VLOOKUP(A:A,INVENTÁRIO_06_2025!A:A,1,0)</f>
        <v>SPRDBDORAGRU04</v>
      </c>
    </row>
    <row r="166" spans="1:8" ht="11.25" customHeight="1">
      <c r="A166" t="s">
        <v>82</v>
      </c>
      <c r="B166" t="s">
        <v>61</v>
      </c>
      <c r="C166" t="s">
        <v>51</v>
      </c>
      <c r="D166" t="s">
        <v>83</v>
      </c>
      <c r="E166" t="s">
        <v>53</v>
      </c>
      <c r="F166" t="s">
        <v>63</v>
      </c>
      <c r="G166" t="str">
        <f>VLOOKUP(A:A,INVENTÁRIO_04_2025!A:A,1,0)</f>
        <v>SPRDBDORAGRU03</v>
      </c>
      <c r="H166" t="str">
        <f>VLOOKUP(A:A,INVENTÁRIO_06_2025!A:A,1,0)</f>
        <v>SPRDBDORAGRU03</v>
      </c>
    </row>
    <row r="167" spans="1:8" ht="11.25" customHeight="1">
      <c r="A167" t="s">
        <v>661</v>
      </c>
      <c r="B167" t="s">
        <v>61</v>
      </c>
      <c r="C167" t="s">
        <v>116</v>
      </c>
      <c r="D167" t="s">
        <v>572</v>
      </c>
      <c r="E167" t="s">
        <v>156</v>
      </c>
      <c r="F167" t="s">
        <v>75</v>
      </c>
      <c r="G167" t="e">
        <f>VLOOKUP(A:A,INVENTÁRIO_04_2025!A:A,1,0)</f>
        <v>#N/A</v>
      </c>
      <c r="H167" t="str">
        <f>VLOOKUP(A:A,INVENTÁRIO_06_2025!A:A,1,0)</f>
        <v>SPRDBDHSQLGRU15</v>
      </c>
    </row>
    <row r="168" spans="1:8" ht="11.25" customHeight="1">
      <c r="A168" t="s">
        <v>635</v>
      </c>
      <c r="B168" t="s">
        <v>61</v>
      </c>
      <c r="C168" t="s">
        <v>116</v>
      </c>
      <c r="D168" t="s">
        <v>572</v>
      </c>
      <c r="E168" t="s">
        <v>156</v>
      </c>
      <c r="F168" t="s">
        <v>75</v>
      </c>
      <c r="G168" t="str">
        <f>VLOOKUP(A:A,INVENTÁRIO_04_2025!A:A,1,0)</f>
        <v>SPRDBDHSQLGRU14</v>
      </c>
      <c r="H168" t="str">
        <f>VLOOKUP(A:A,INVENTÁRIO_06_2025!A:A,1,0)</f>
        <v>SPRDBDHSQLGRU14</v>
      </c>
    </row>
    <row r="169" spans="1:8" ht="11.25" customHeight="1">
      <c r="A169" t="s">
        <v>634</v>
      </c>
      <c r="B169" t="s">
        <v>61</v>
      </c>
      <c r="C169" t="s">
        <v>116</v>
      </c>
      <c r="D169" t="s">
        <v>572</v>
      </c>
      <c r="E169" t="s">
        <v>156</v>
      </c>
      <c r="F169" t="s">
        <v>75</v>
      </c>
      <c r="G169" t="str">
        <f>VLOOKUP(A:A,INVENTÁRIO_04_2025!A:A,1,0)</f>
        <v>SPRDBDHSQLGRU13</v>
      </c>
      <c r="H169" t="str">
        <f>VLOOKUP(A:A,INVENTÁRIO_06_2025!A:A,1,0)</f>
        <v>SPRDBDHSQLGRU13</v>
      </c>
    </row>
    <row r="170" spans="1:8" ht="11.25" customHeight="1">
      <c r="A170" t="s">
        <v>633</v>
      </c>
      <c r="B170" t="s">
        <v>61</v>
      </c>
      <c r="C170" t="s">
        <v>116</v>
      </c>
      <c r="D170" t="s">
        <v>572</v>
      </c>
      <c r="E170" t="s">
        <v>156</v>
      </c>
      <c r="F170" t="s">
        <v>75</v>
      </c>
      <c r="G170" t="str">
        <f>VLOOKUP(A:A,INVENTÁRIO_04_2025!A:A,1,0)</f>
        <v>SPRDBDHSQLGRU12</v>
      </c>
      <c r="H170" t="str">
        <f>VLOOKUP(A:A,INVENTÁRIO_06_2025!A:A,1,0)</f>
        <v>SPRDBDHSQLGRU12</v>
      </c>
    </row>
    <row r="171" spans="1:8" ht="11.25" customHeight="1">
      <c r="A171" t="s">
        <v>584</v>
      </c>
      <c r="B171" t="s">
        <v>61</v>
      </c>
      <c r="C171" t="s">
        <v>116</v>
      </c>
      <c r="D171" t="s">
        <v>572</v>
      </c>
      <c r="E171" t="s">
        <v>156</v>
      </c>
      <c r="F171" t="s">
        <v>75</v>
      </c>
      <c r="G171" t="str">
        <f>VLOOKUP(A:A,INVENTÁRIO_04_2025!A:A,1,0)</f>
        <v>SPRDBDHSQLGRU10</v>
      </c>
      <c r="H171" t="str">
        <f>VLOOKUP(A:A,INVENTÁRIO_06_2025!A:A,1,0)</f>
        <v>SPRDBDHSQLGRU10</v>
      </c>
    </row>
    <row r="172" spans="1:8" ht="11.25" customHeight="1">
      <c r="A172" t="s">
        <v>583</v>
      </c>
      <c r="B172" t="s">
        <v>61</v>
      </c>
      <c r="C172" t="s">
        <v>116</v>
      </c>
      <c r="D172" t="s">
        <v>572</v>
      </c>
      <c r="E172" t="s">
        <v>156</v>
      </c>
      <c r="F172" t="s">
        <v>75</v>
      </c>
      <c r="G172" t="str">
        <f>VLOOKUP(A:A,INVENTÁRIO_04_2025!A:A,1,0)</f>
        <v>SPRDBDHSQLGRU09</v>
      </c>
      <c r="H172" t="str">
        <f>VLOOKUP(A:A,INVENTÁRIO_06_2025!A:A,1,0)</f>
        <v>SPRDBDHSQLGRU09</v>
      </c>
    </row>
    <row r="173" spans="1:8" ht="11.25" customHeight="1">
      <c r="A173" t="s">
        <v>582</v>
      </c>
      <c r="B173" t="s">
        <v>61</v>
      </c>
      <c r="C173" t="s">
        <v>116</v>
      </c>
      <c r="D173" t="s">
        <v>572</v>
      </c>
      <c r="E173" t="s">
        <v>156</v>
      </c>
      <c r="F173" t="s">
        <v>75</v>
      </c>
      <c r="G173" t="str">
        <f>VLOOKUP(A:A,INVENTÁRIO_04_2025!A:A,1,0)</f>
        <v>SPRDBDHSQLGRU07</v>
      </c>
      <c r="H173" t="str">
        <f>VLOOKUP(A:A,INVENTÁRIO_06_2025!A:A,1,0)</f>
        <v>SPRDBDHSQLGRU07</v>
      </c>
    </row>
    <row r="174" spans="1:8" ht="11.25" customHeight="1">
      <c r="A174" t="s">
        <v>235</v>
      </c>
      <c r="B174" t="s">
        <v>61</v>
      </c>
      <c r="C174" t="s">
        <v>116</v>
      </c>
      <c r="D174" t="s">
        <v>136</v>
      </c>
      <c r="E174" t="s">
        <v>156</v>
      </c>
      <c r="F174" t="s">
        <v>75</v>
      </c>
      <c r="G174" t="str">
        <f>VLOOKUP(A:A,INVENTÁRIO_04_2025!A:A,1,0)</f>
        <v>SPRDBDHSQLGRU06</v>
      </c>
      <c r="H174" t="str">
        <f>VLOOKUP(A:A,INVENTÁRIO_06_2025!A:A,1,0)</f>
        <v>SPRDBDHSQLGRU06</v>
      </c>
    </row>
    <row r="175" spans="1:8" ht="11.25" customHeight="1">
      <c r="A175" t="s">
        <v>333</v>
      </c>
      <c r="B175" t="s">
        <v>61</v>
      </c>
      <c r="C175" t="s">
        <v>51</v>
      </c>
      <c r="D175" t="s">
        <v>329</v>
      </c>
      <c r="E175" t="s">
        <v>156</v>
      </c>
      <c r="F175" t="s">
        <v>560</v>
      </c>
      <c r="G175" t="str">
        <f>VLOOKUP(A:A,INVENTÁRIO_04_2025!A:A,1,0)</f>
        <v>SPRDBDDACGRU01</v>
      </c>
      <c r="H175" t="str">
        <f>VLOOKUP(A:A,INVENTÁRIO_06_2025!A:A,1,0)</f>
        <v>SPRDBDDACGRU01</v>
      </c>
    </row>
    <row r="176" spans="1:8" ht="11.25" customHeight="1">
      <c r="A176" t="s">
        <v>234</v>
      </c>
      <c r="B176" t="s">
        <v>61</v>
      </c>
      <c r="C176" t="s">
        <v>116</v>
      </c>
      <c r="D176" t="s">
        <v>425</v>
      </c>
      <c r="E176" t="s">
        <v>156</v>
      </c>
      <c r="F176" t="s">
        <v>75</v>
      </c>
      <c r="G176" t="str">
        <f>VLOOKUP(A:A,INVENTÁRIO_04_2025!A:A,1,0)</f>
        <v>SPRDAZADGRU01</v>
      </c>
      <c r="H176" t="str">
        <f>VLOOKUP(A:A,INVENTÁRIO_06_2025!A:A,1,0)</f>
        <v>SPRDAZADGRU01</v>
      </c>
    </row>
    <row r="177" spans="1:8" ht="11.25" customHeight="1">
      <c r="A177" t="s">
        <v>395</v>
      </c>
      <c r="B177" t="s">
        <v>61</v>
      </c>
      <c r="C177" t="s">
        <v>116</v>
      </c>
      <c r="D177" t="s">
        <v>122</v>
      </c>
      <c r="E177" t="s">
        <v>156</v>
      </c>
      <c r="F177" t="s">
        <v>560</v>
      </c>
      <c r="G177" t="str">
        <f>VLOOKUP(A:A,INVENTÁRIO_04_2025!A:A,1,0)</f>
        <v>SPRDAUTGRU02</v>
      </c>
      <c r="H177" t="str">
        <f>VLOOKUP(A:A,INVENTÁRIO_06_2025!A:A,1,0)</f>
        <v>SPRDAUTGRU02</v>
      </c>
    </row>
    <row r="178" spans="1:8" ht="11.25" customHeight="1">
      <c r="A178" t="s">
        <v>447</v>
      </c>
      <c r="B178" t="s">
        <v>61</v>
      </c>
      <c r="C178" t="s">
        <v>116</v>
      </c>
      <c r="D178" t="s">
        <v>425</v>
      </c>
      <c r="E178" t="s">
        <v>156</v>
      </c>
      <c r="F178" t="s">
        <v>560</v>
      </c>
      <c r="G178" t="str">
        <f>VLOOKUP(A:A,INVENTÁRIO_04_2025!A:A,1,0)</f>
        <v>SPRDAPWSGRU02</v>
      </c>
      <c r="H178" t="str">
        <f>VLOOKUP(A:A,INVENTÁRIO_06_2025!A:A,1,0)</f>
        <v>SPRDAPWSGRU02</v>
      </c>
    </row>
    <row r="179" spans="1:8" ht="11.25" customHeight="1">
      <c r="A179" t="s">
        <v>394</v>
      </c>
      <c r="B179" t="s">
        <v>61</v>
      </c>
      <c r="C179" t="s">
        <v>116</v>
      </c>
      <c r="D179" t="s">
        <v>117</v>
      </c>
      <c r="E179" t="s">
        <v>156</v>
      </c>
      <c r="F179" t="s">
        <v>560</v>
      </c>
      <c r="G179" t="str">
        <f>VLOOKUP(A:A,INVENTÁRIO_04_2025!A:A,1,0)</f>
        <v>SPRDAPWEBGRU02</v>
      </c>
      <c r="H179" t="str">
        <f>VLOOKUP(A:A,INVENTÁRIO_06_2025!A:A,1,0)</f>
        <v>SPRDAPWEBGRU02</v>
      </c>
    </row>
    <row r="180" spans="1:8" ht="11.25" customHeight="1">
      <c r="A180" t="s">
        <v>393</v>
      </c>
      <c r="B180" t="s">
        <v>61</v>
      </c>
      <c r="C180" t="s">
        <v>116</v>
      </c>
      <c r="D180" t="s">
        <v>117</v>
      </c>
      <c r="E180" t="s">
        <v>156</v>
      </c>
      <c r="F180" t="s">
        <v>560</v>
      </c>
      <c r="G180" t="str">
        <f>VLOOKUP(A:A,INVENTÁRIO_04_2025!A:A,1,0)</f>
        <v>SPRDAPWEBGRU01</v>
      </c>
      <c r="H180" t="str">
        <f>VLOOKUP(A:A,INVENTÁRIO_06_2025!A:A,1,0)</f>
        <v>SPRDAPWEBGRU01</v>
      </c>
    </row>
    <row r="181" spans="1:8" ht="11.25" customHeight="1">
      <c r="A181" t="s">
        <v>446</v>
      </c>
      <c r="B181" t="s">
        <v>61</v>
      </c>
      <c r="C181" t="s">
        <v>116</v>
      </c>
      <c r="D181" t="s">
        <v>129</v>
      </c>
      <c r="E181" t="s">
        <v>156</v>
      </c>
      <c r="F181" t="s">
        <v>560</v>
      </c>
      <c r="G181" t="str">
        <f>VLOOKUP(A:A,INVENTÁRIO_04_2025!A:A,1,0)</f>
        <v>SPRDAPVPXGRU04</v>
      </c>
      <c r="H181" t="str">
        <f>VLOOKUP(A:A,INVENTÁRIO_06_2025!A:A,1,0)</f>
        <v>SPRDAPVPXGRU04</v>
      </c>
    </row>
    <row r="182" spans="1:8" ht="11.25" customHeight="1">
      <c r="A182" t="s">
        <v>445</v>
      </c>
      <c r="B182" t="s">
        <v>61</v>
      </c>
      <c r="C182" t="s">
        <v>116</v>
      </c>
      <c r="D182" t="s">
        <v>129</v>
      </c>
      <c r="E182" t="s">
        <v>156</v>
      </c>
      <c r="F182" t="s">
        <v>560</v>
      </c>
      <c r="G182" t="str">
        <f>VLOOKUP(A:A,INVENTÁRIO_04_2025!A:A,1,0)</f>
        <v>SPRDAPVPXGRU03</v>
      </c>
      <c r="H182" t="str">
        <f>VLOOKUP(A:A,INVENTÁRIO_06_2025!A:A,1,0)</f>
        <v>SPRDAPVPXGRU03</v>
      </c>
    </row>
    <row r="183" spans="1:8" ht="11.25" customHeight="1">
      <c r="A183" t="s">
        <v>444</v>
      </c>
      <c r="B183" t="s">
        <v>61</v>
      </c>
      <c r="C183" t="s">
        <v>116</v>
      </c>
      <c r="D183" t="s">
        <v>129</v>
      </c>
      <c r="E183" t="s">
        <v>156</v>
      </c>
      <c r="F183" t="s">
        <v>560</v>
      </c>
      <c r="G183" t="str">
        <f>VLOOKUP(A:A,INVENTÁRIO_04_2025!A:A,1,0)</f>
        <v>SPRDAPVPXGRU02</v>
      </c>
      <c r="H183" t="str">
        <f>VLOOKUP(A:A,INVENTÁRIO_06_2025!A:A,1,0)</f>
        <v>SPRDAPVPXGRU02</v>
      </c>
    </row>
    <row r="184" spans="1:8" ht="11.25" customHeight="1">
      <c r="A184" t="s">
        <v>443</v>
      </c>
      <c r="B184" t="s">
        <v>61</v>
      </c>
      <c r="C184" t="s">
        <v>116</v>
      </c>
      <c r="D184" t="s">
        <v>129</v>
      </c>
      <c r="E184" t="s">
        <v>156</v>
      </c>
      <c r="F184" t="s">
        <v>560</v>
      </c>
      <c r="G184" t="str">
        <f>VLOOKUP(A:A,INVENTÁRIO_04_2025!A:A,1,0)</f>
        <v>SPRDAPVPXGRU01</v>
      </c>
      <c r="H184" t="str">
        <f>VLOOKUP(A:A,INVENTÁRIO_06_2025!A:A,1,0)</f>
        <v>SPRDAPVPXGRU01</v>
      </c>
    </row>
    <row r="185" spans="1:8" ht="11.25" customHeight="1">
      <c r="A185" t="s">
        <v>650</v>
      </c>
      <c r="B185" t="s">
        <v>61</v>
      </c>
      <c r="C185" t="s">
        <v>51</v>
      </c>
      <c r="D185" t="s">
        <v>276</v>
      </c>
      <c r="E185" t="s">
        <v>156</v>
      </c>
      <c r="F185" t="s">
        <v>560</v>
      </c>
      <c r="G185" t="e">
        <f>VLOOKUP(A:A,INVENTÁRIO_04_2025!A:A,1,0)</f>
        <v>#N/A</v>
      </c>
      <c r="H185" t="str">
        <f>VLOOKUP(A:A,INVENTÁRIO_06_2025!A:A,1,0)</f>
        <v>SPRDAPVPRGRU07</v>
      </c>
    </row>
    <row r="186" spans="1:8" ht="11.25" customHeight="1">
      <c r="A186" t="s">
        <v>537</v>
      </c>
      <c r="B186" t="s">
        <v>61</v>
      </c>
      <c r="C186" t="s">
        <v>51</v>
      </c>
      <c r="D186" t="s">
        <v>276</v>
      </c>
      <c r="E186" t="s">
        <v>156</v>
      </c>
      <c r="F186" t="s">
        <v>560</v>
      </c>
      <c r="G186" t="str">
        <f>VLOOKUP(A:A,INVENTÁRIO_04_2025!A:A,1,0)</f>
        <v>SPRDAPVPRGRU06</v>
      </c>
      <c r="H186" t="str">
        <f>VLOOKUP(A:A,INVENTÁRIO_06_2025!A:A,1,0)</f>
        <v>SPRDAPVPRGRU06</v>
      </c>
    </row>
    <row r="187" spans="1:8" ht="11.25" customHeight="1">
      <c r="A187" t="s">
        <v>536</v>
      </c>
      <c r="B187" t="s">
        <v>61</v>
      </c>
      <c r="C187" t="s">
        <v>51</v>
      </c>
      <c r="D187" t="s">
        <v>276</v>
      </c>
      <c r="E187" t="s">
        <v>156</v>
      </c>
      <c r="F187" t="s">
        <v>560</v>
      </c>
      <c r="G187" t="str">
        <f>VLOOKUP(A:A,INVENTÁRIO_04_2025!A:A,1,0)</f>
        <v>SPRDAPVPRGRU05</v>
      </c>
      <c r="H187" t="str">
        <f>VLOOKUP(A:A,INVENTÁRIO_06_2025!A:A,1,0)</f>
        <v>SPRDAPVPRGRU05</v>
      </c>
    </row>
    <row r="188" spans="1:8" ht="11.25" customHeight="1">
      <c r="A188" t="s">
        <v>535</v>
      </c>
      <c r="B188" t="s">
        <v>61</v>
      </c>
      <c r="C188" t="s">
        <v>51</v>
      </c>
      <c r="D188" t="s">
        <v>276</v>
      </c>
      <c r="E188" t="s">
        <v>156</v>
      </c>
      <c r="F188" t="s">
        <v>560</v>
      </c>
      <c r="G188" t="str">
        <f>VLOOKUP(A:A,INVENTÁRIO_04_2025!A:A,1,0)</f>
        <v>SPRDAPVPRGRU04</v>
      </c>
      <c r="H188" t="str">
        <f>VLOOKUP(A:A,INVENTÁRIO_06_2025!A:A,1,0)</f>
        <v>SPRDAPVPRGRU04</v>
      </c>
    </row>
    <row r="189" spans="1:8" ht="11.25" customHeight="1">
      <c r="A189" t="s">
        <v>534</v>
      </c>
      <c r="B189" t="s">
        <v>61</v>
      </c>
      <c r="C189" t="s">
        <v>51</v>
      </c>
      <c r="D189" t="s">
        <v>276</v>
      </c>
      <c r="E189" t="s">
        <v>156</v>
      </c>
      <c r="F189" t="s">
        <v>560</v>
      </c>
      <c r="G189" t="str">
        <f>VLOOKUP(A:A,INVENTÁRIO_04_2025!A:A,1,0)</f>
        <v>SPRDAPVPRGRU03</v>
      </c>
      <c r="H189" t="str">
        <f>VLOOKUP(A:A,INVENTÁRIO_06_2025!A:A,1,0)</f>
        <v>SPRDAPVPRGRU03</v>
      </c>
    </row>
    <row r="190" spans="1:8" ht="11.25" customHeight="1">
      <c r="A190" t="s">
        <v>307</v>
      </c>
      <c r="B190" t="s">
        <v>61</v>
      </c>
      <c r="C190" t="s">
        <v>51</v>
      </c>
      <c r="D190" t="s">
        <v>276</v>
      </c>
      <c r="E190" t="s">
        <v>156</v>
      </c>
      <c r="F190" t="s">
        <v>75</v>
      </c>
      <c r="G190" t="str">
        <f>VLOOKUP(A:A,INVENTÁRIO_04_2025!A:A,1,0)</f>
        <v>SPRDAPVPRGRU02</v>
      </c>
      <c r="H190" t="str">
        <f>VLOOKUP(A:A,INVENTÁRIO_06_2025!A:A,1,0)</f>
        <v>SPRDAPVPRGRU02</v>
      </c>
    </row>
    <row r="191" spans="1:8" ht="11.25" customHeight="1">
      <c r="A191" t="s">
        <v>306</v>
      </c>
      <c r="B191" t="s">
        <v>61</v>
      </c>
      <c r="C191" t="s">
        <v>51</v>
      </c>
      <c r="D191" t="s">
        <v>276</v>
      </c>
      <c r="E191" t="s">
        <v>156</v>
      </c>
      <c r="F191" t="s">
        <v>75</v>
      </c>
      <c r="G191" t="str">
        <f>VLOOKUP(A:A,INVENTÁRIO_04_2025!A:A,1,0)</f>
        <v>SPRDAPVPRGRU01</v>
      </c>
      <c r="H191" t="str">
        <f>VLOOKUP(A:A,INVENTÁRIO_06_2025!A:A,1,0)</f>
        <v>SPRDAPVPRGRU01</v>
      </c>
    </row>
    <row r="192" spans="1:8" ht="11.25" customHeight="1">
      <c r="A192" t="s">
        <v>554</v>
      </c>
      <c r="B192" t="s">
        <v>61</v>
      </c>
      <c r="C192" t="s">
        <v>51</v>
      </c>
      <c r="D192" t="s">
        <v>555</v>
      </c>
      <c r="E192" t="s">
        <v>156</v>
      </c>
      <c r="F192" t="s">
        <v>560</v>
      </c>
      <c r="G192" t="str">
        <f>VLOOKUP(A:A,INVENTÁRIO_04_2025!A:A,1,0)</f>
        <v>SPRDAPVCSAGRU01</v>
      </c>
      <c r="H192" t="str">
        <f>VLOOKUP(A:A,INVENTÁRIO_06_2025!A:A,1,0)</f>
        <v>SPRDAPVCSAGRU01</v>
      </c>
    </row>
    <row r="193" spans="1:8" ht="11.25" customHeight="1">
      <c r="A193" t="s">
        <v>496</v>
      </c>
      <c r="B193" t="s">
        <v>61</v>
      </c>
      <c r="C193" t="s">
        <v>116</v>
      </c>
      <c r="D193" t="s">
        <v>419</v>
      </c>
      <c r="E193" t="s">
        <v>156</v>
      </c>
      <c r="F193" t="s">
        <v>560</v>
      </c>
      <c r="G193" t="str">
        <f>VLOOKUP(A:A,INVENTÁRIO_04_2025!A:A,1,0)</f>
        <v>SPRDAPUPSGRU01</v>
      </c>
      <c r="H193" t="str">
        <f>VLOOKUP(A:A,INVENTÁRIO_06_2025!A:A,1,0)</f>
        <v>SPRDAPUPSGRU01</v>
      </c>
    </row>
    <row r="194" spans="1:8" ht="11.25" customHeight="1">
      <c r="A194" t="s">
        <v>547</v>
      </c>
      <c r="B194" t="s">
        <v>61</v>
      </c>
      <c r="C194" t="s">
        <v>51</v>
      </c>
      <c r="D194" t="s">
        <v>114</v>
      </c>
      <c r="E194" t="s">
        <v>156</v>
      </c>
      <c r="F194" t="s">
        <v>560</v>
      </c>
      <c r="G194" t="str">
        <f>VLOOKUP(A:A,INVENTÁRIO_04_2025!A:A,1,0)</f>
        <v>SPRDAPTSGRU05</v>
      </c>
      <c r="H194" t="str">
        <f>VLOOKUP(A:A,INVENTÁRIO_06_2025!A:A,1,0)</f>
        <v>SPRDAPTSGRU05</v>
      </c>
    </row>
    <row r="195" spans="1:8" ht="11.25" customHeight="1">
      <c r="A195" t="s">
        <v>233</v>
      </c>
      <c r="B195" t="s">
        <v>61</v>
      </c>
      <c r="C195" t="s">
        <v>116</v>
      </c>
      <c r="D195" t="s">
        <v>419</v>
      </c>
      <c r="E195" t="s">
        <v>156</v>
      </c>
      <c r="F195" t="s">
        <v>75</v>
      </c>
      <c r="G195" t="str">
        <f>VLOOKUP(A:A,INVENTÁRIO_04_2025!A:A,1,0)</f>
        <v>SPRDAPTSGRU04</v>
      </c>
      <c r="H195" t="str">
        <f>VLOOKUP(A:A,INVENTÁRIO_06_2025!A:A,1,0)</f>
        <v>SPRDAPTSGRU04</v>
      </c>
    </row>
    <row r="196" spans="1:8" ht="11.25" customHeight="1">
      <c r="A196" t="s">
        <v>232</v>
      </c>
      <c r="B196" t="s">
        <v>61</v>
      </c>
      <c r="C196" t="s">
        <v>116</v>
      </c>
      <c r="D196" t="s">
        <v>419</v>
      </c>
      <c r="E196" t="s">
        <v>156</v>
      </c>
      <c r="F196" t="s">
        <v>75</v>
      </c>
      <c r="G196" t="str">
        <f>VLOOKUP(A:A,INVENTÁRIO_04_2025!A:A,1,0)</f>
        <v>SPRDAPTSGRU03</v>
      </c>
      <c r="H196" t="str">
        <f>VLOOKUP(A:A,INVENTÁRIO_06_2025!A:A,1,0)</f>
        <v>SPRDAPTSGRU03</v>
      </c>
    </row>
    <row r="197" spans="1:8" ht="11.25" customHeight="1">
      <c r="A197" t="s">
        <v>495</v>
      </c>
      <c r="B197" t="s">
        <v>61</v>
      </c>
      <c r="C197" t="s">
        <v>116</v>
      </c>
      <c r="D197" t="s">
        <v>419</v>
      </c>
      <c r="E197" t="s">
        <v>156</v>
      </c>
      <c r="F197" t="s">
        <v>560</v>
      </c>
      <c r="G197" t="str">
        <f>VLOOKUP(A:A,INVENTÁRIO_04_2025!A:A,1,0)</f>
        <v>SPRDAPTSGRU01</v>
      </c>
      <c r="H197" t="str">
        <f>VLOOKUP(A:A,INVENTÁRIO_06_2025!A:A,1,0)</f>
        <v>SPRDAPTSGRU01</v>
      </c>
    </row>
    <row r="198" spans="1:8" ht="11.25" customHeight="1">
      <c r="A198" t="s">
        <v>55</v>
      </c>
      <c r="B198" t="s">
        <v>50</v>
      </c>
      <c r="C198" t="s">
        <v>51</v>
      </c>
      <c r="D198" t="s">
        <v>52</v>
      </c>
      <c r="E198" t="s">
        <v>53</v>
      </c>
      <c r="F198" t="s">
        <v>56</v>
      </c>
      <c r="G198" t="str">
        <f>VLOOKUP(A:A,INVENTÁRIO_04_2025!A:A,1,0)</f>
        <v>SPRDAPTRGRU01</v>
      </c>
      <c r="H198" t="str">
        <f>VLOOKUP(A:A,INVENTÁRIO_06_2025!A:A,1,0)</f>
        <v>SPRDAPTRGRU01</v>
      </c>
    </row>
    <row r="199" spans="1:8" ht="11.25" customHeight="1">
      <c r="A199" t="s">
        <v>494</v>
      </c>
      <c r="B199" t="s">
        <v>61</v>
      </c>
      <c r="C199" t="s">
        <v>116</v>
      </c>
      <c r="D199" t="s">
        <v>419</v>
      </c>
      <c r="E199" t="s">
        <v>156</v>
      </c>
      <c r="F199" t="s">
        <v>560</v>
      </c>
      <c r="G199" t="str">
        <f>VLOOKUP(A:A,INVENTÁRIO_04_2025!A:A,1,0)</f>
        <v>SPRDAPSVNGRU01</v>
      </c>
      <c r="H199" t="str">
        <f>VLOOKUP(A:A,INVENTÁRIO_06_2025!A:A,1,0)</f>
        <v>SPRDAPSVNGRU01</v>
      </c>
    </row>
    <row r="200" spans="1:8" ht="11.25" customHeight="1">
      <c r="A200" t="s">
        <v>392</v>
      </c>
      <c r="B200" t="s">
        <v>61</v>
      </c>
      <c r="C200" t="s">
        <v>116</v>
      </c>
      <c r="D200" t="s">
        <v>122</v>
      </c>
      <c r="E200" t="s">
        <v>156</v>
      </c>
      <c r="F200" t="s">
        <v>560</v>
      </c>
      <c r="G200" t="str">
        <f>VLOOKUP(A:A,INVENTÁRIO_04_2025!A:A,1,0)</f>
        <v>SPRDAPSTWBGRU03</v>
      </c>
      <c r="H200" t="str">
        <f>VLOOKUP(A:A,INVENTÁRIO_06_2025!A:A,1,0)</f>
        <v>SPRDAPSTWBGRU03</v>
      </c>
    </row>
    <row r="201" spans="1:8" ht="11.25" customHeight="1">
      <c r="A201" t="s">
        <v>391</v>
      </c>
      <c r="B201" t="s">
        <v>61</v>
      </c>
      <c r="C201" t="s">
        <v>116</v>
      </c>
      <c r="D201" t="s">
        <v>117</v>
      </c>
      <c r="E201" t="s">
        <v>156</v>
      </c>
      <c r="F201" t="s">
        <v>560</v>
      </c>
      <c r="G201" t="str">
        <f>VLOOKUP(A:A,INVENTÁRIO_04_2025!A:A,1,0)</f>
        <v>SPRDAPSTWBGRU01</v>
      </c>
      <c r="H201" t="str">
        <f>VLOOKUP(A:A,INVENTÁRIO_06_2025!A:A,1,0)</f>
        <v>SPRDAPSTWBGRU01</v>
      </c>
    </row>
    <row r="202" spans="1:8" ht="11.25" customHeight="1">
      <c r="A202" t="s">
        <v>493</v>
      </c>
      <c r="B202" t="s">
        <v>61</v>
      </c>
      <c r="C202" t="s">
        <v>116</v>
      </c>
      <c r="D202" t="s">
        <v>136</v>
      </c>
      <c r="E202" t="s">
        <v>156</v>
      </c>
      <c r="F202" t="s">
        <v>560</v>
      </c>
      <c r="G202" t="str">
        <f>VLOOKUP(A:A,INVENTÁRIO_04_2025!A:A,1,0)</f>
        <v>SPRDAPSTGGRU01</v>
      </c>
      <c r="H202" t="str">
        <f>VLOOKUP(A:A,INVENTÁRIO_06_2025!A:A,1,0)</f>
        <v>SPRDAPSTGGRU01</v>
      </c>
    </row>
    <row r="203" spans="1:8" ht="11.25" customHeight="1">
      <c r="A203" t="s">
        <v>113</v>
      </c>
      <c r="B203" t="s">
        <v>61</v>
      </c>
      <c r="C203" t="s">
        <v>51</v>
      </c>
      <c r="D203" t="s">
        <v>114</v>
      </c>
      <c r="E203" t="s">
        <v>53</v>
      </c>
      <c r="F203" t="s">
        <v>56</v>
      </c>
      <c r="G203" t="str">
        <f>VLOOKUP(A:A,INVENTÁRIO_04_2025!A:A,1,0)</f>
        <v>SPRDAPSSHGRU01</v>
      </c>
      <c r="H203" t="str">
        <f>VLOOKUP(A:A,INVENTÁRIO_06_2025!A:A,1,0)</f>
        <v>SPRDAPSSHGRU01</v>
      </c>
    </row>
    <row r="204" spans="1:8" ht="11.25" customHeight="1">
      <c r="A204" t="s">
        <v>286</v>
      </c>
      <c r="B204" t="s">
        <v>61</v>
      </c>
      <c r="C204" t="s">
        <v>51</v>
      </c>
      <c r="D204" t="s">
        <v>285</v>
      </c>
      <c r="E204" t="s">
        <v>156</v>
      </c>
      <c r="F204" t="s">
        <v>75</v>
      </c>
      <c r="G204" t="str">
        <f>VLOOKUP(A:A,INVENTÁRIO_04_2025!A:A,1,0)</f>
        <v>SPRDAPSSGRU02</v>
      </c>
      <c r="H204" t="str">
        <f>VLOOKUP(A:A,INVENTÁRIO_06_2025!A:A,1,0)</f>
        <v>SPRDAPSSGRU02</v>
      </c>
    </row>
    <row r="205" spans="1:8" ht="11.25" customHeight="1">
      <c r="A205" t="s">
        <v>284</v>
      </c>
      <c r="B205" t="s">
        <v>61</v>
      </c>
      <c r="C205" t="s">
        <v>51</v>
      </c>
      <c r="D205" t="s">
        <v>285</v>
      </c>
      <c r="E205" t="s">
        <v>156</v>
      </c>
      <c r="F205" t="s">
        <v>75</v>
      </c>
      <c r="G205" t="str">
        <f>VLOOKUP(A:A,INVENTÁRIO_04_2025!A:A,1,0)</f>
        <v>SPRDAPSSGRU01</v>
      </c>
      <c r="H205" t="str">
        <f>VLOOKUP(A:A,INVENTÁRIO_06_2025!A:A,1,0)</f>
        <v>SPRDAPSSGRU01</v>
      </c>
    </row>
    <row r="206" spans="1:8" ht="11.25" customHeight="1">
      <c r="A206" t="s">
        <v>154</v>
      </c>
      <c r="B206" t="s">
        <v>61</v>
      </c>
      <c r="C206" t="s">
        <v>51</v>
      </c>
      <c r="D206" t="s">
        <v>155</v>
      </c>
      <c r="E206" t="s">
        <v>156</v>
      </c>
      <c r="F206" t="s">
        <v>75</v>
      </c>
      <c r="G206" t="str">
        <f>VLOOKUP(A:A,INVENTÁRIO_04_2025!A:A,1,0)</f>
        <v>SPRDAPSSAGRU01</v>
      </c>
      <c r="H206" t="str">
        <f>VLOOKUP(A:A,INVENTÁRIO_06_2025!A:A,1,0)</f>
        <v>SPRDAPSSAGRU01</v>
      </c>
    </row>
    <row r="207" spans="1:8" ht="11.25" customHeight="1">
      <c r="A207" t="s">
        <v>281</v>
      </c>
      <c r="B207" t="s">
        <v>61</v>
      </c>
      <c r="C207" t="s">
        <v>51</v>
      </c>
      <c r="D207" t="s">
        <v>280</v>
      </c>
      <c r="E207" t="s">
        <v>156</v>
      </c>
      <c r="F207" t="s">
        <v>75</v>
      </c>
      <c r="G207" t="str">
        <f>VLOOKUP(A:A,INVENTÁRIO_04_2025!A:A,1,0)</f>
        <v>SPRDAPSMSGRU02</v>
      </c>
      <c r="H207" t="str">
        <f>VLOOKUP(A:A,INVENTÁRIO_06_2025!A:A,1,0)</f>
        <v>SPRDAPSMSGRU02</v>
      </c>
    </row>
    <row r="208" spans="1:8" ht="11.25" customHeight="1">
      <c r="A208" t="s">
        <v>106</v>
      </c>
      <c r="B208" t="s">
        <v>61</v>
      </c>
      <c r="C208" t="s">
        <v>51</v>
      </c>
      <c r="D208" t="s">
        <v>85</v>
      </c>
      <c r="E208" t="s">
        <v>53</v>
      </c>
      <c r="F208" t="s">
        <v>58</v>
      </c>
      <c r="G208" t="str">
        <f>VLOOKUP(A:A,INVENTÁRIO_04_2025!A:A,1,0)</f>
        <v>SPRDAPSMGRU02</v>
      </c>
      <c r="H208" t="str">
        <f>VLOOKUP(A:A,INVENTÁRIO_06_2025!A:A,1,0)</f>
        <v>SPRDAPSMGRU02</v>
      </c>
    </row>
    <row r="209" spans="1:8" ht="11.25" customHeight="1">
      <c r="A209" t="s">
        <v>99</v>
      </c>
      <c r="B209" t="s">
        <v>61</v>
      </c>
      <c r="C209" t="s">
        <v>51</v>
      </c>
      <c r="D209" t="s">
        <v>85</v>
      </c>
      <c r="E209" t="s">
        <v>53</v>
      </c>
      <c r="F209" t="s">
        <v>56</v>
      </c>
      <c r="G209" t="str">
        <f>VLOOKUP(A:A,INVENTÁRIO_04_2025!A:A,1,0)</f>
        <v>SPRDAPSMGRU01</v>
      </c>
      <c r="H209" t="str">
        <f>VLOOKUP(A:A,INVENTÁRIO_06_2025!A:A,1,0)</f>
        <v>SPRDAPSMGRU01</v>
      </c>
    </row>
    <row r="210" spans="1:8" ht="11.25" customHeight="1">
      <c r="A210" t="s">
        <v>338</v>
      </c>
      <c r="B210" t="s">
        <v>61</v>
      </c>
      <c r="C210" t="s">
        <v>116</v>
      </c>
      <c r="D210" t="s">
        <v>337</v>
      </c>
      <c r="E210" t="s">
        <v>156</v>
      </c>
      <c r="F210" t="s">
        <v>560</v>
      </c>
      <c r="G210" t="str">
        <f>VLOOKUP(A:A,INVENTÁRIO_04_2025!A:A,1,0)</f>
        <v>SPRDAPSLVGRU01</v>
      </c>
      <c r="H210" t="str">
        <f>VLOOKUP(A:A,INVENTÁRIO_06_2025!A:A,1,0)</f>
        <v>SPRDAPSLVGRU01</v>
      </c>
    </row>
    <row r="211" spans="1:8" ht="11.25" customHeight="1">
      <c r="A211" t="s">
        <v>390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VLOOKUP(A:A,INVENTÁRIO_04_2025!A:A,1,0)</f>
        <v>SPRDAPSHPGRU01</v>
      </c>
      <c r="H211" t="str">
        <f>VLOOKUP(A:A,INVENTÁRIO_06_2025!A:A,1,0)</f>
        <v>SPRDAPSHPGRU01</v>
      </c>
    </row>
    <row r="212" spans="1:8" ht="11.25" customHeight="1">
      <c r="A212" t="s">
        <v>442</v>
      </c>
      <c r="B212" t="s">
        <v>61</v>
      </c>
      <c r="C212" t="s">
        <v>116</v>
      </c>
      <c r="D212" t="s">
        <v>126</v>
      </c>
      <c r="E212" t="s">
        <v>156</v>
      </c>
      <c r="F212" t="s">
        <v>560</v>
      </c>
      <c r="G212" t="str">
        <f>VLOOKUP(A:A,INVENTÁRIO_04_2025!A:A,1,0)</f>
        <v>SPRDAPSGPGRU01</v>
      </c>
      <c r="H212" t="str">
        <f>VLOOKUP(A:A,INVENTÁRIO_06_2025!A:A,1,0)</f>
        <v>SPRDAPSGPGRU01</v>
      </c>
    </row>
    <row r="213" spans="1:8" ht="11.25" customHeight="1">
      <c r="A213" t="s">
        <v>659</v>
      </c>
      <c r="B213" t="s">
        <v>61</v>
      </c>
      <c r="C213" t="s">
        <v>116</v>
      </c>
      <c r="D213" t="s">
        <v>572</v>
      </c>
      <c r="E213" t="s">
        <v>156</v>
      </c>
      <c r="F213" t="s">
        <v>75</v>
      </c>
      <c r="G213" t="e">
        <f>VLOOKUP(A:A,INVENTÁRIO_04_2025!A:A,1,0)</f>
        <v>#N/A</v>
      </c>
      <c r="H213" t="str">
        <f>VLOOKUP(A:A,INVENTÁRIO_06_2025!A:A,1,0)</f>
        <v>SPRDAPSGPAGRU01</v>
      </c>
    </row>
    <row r="214" spans="1:8" ht="11.25" customHeight="1">
      <c r="A214" t="s">
        <v>491</v>
      </c>
      <c r="B214" t="s">
        <v>61</v>
      </c>
      <c r="C214" t="s">
        <v>116</v>
      </c>
      <c r="D214" t="s">
        <v>425</v>
      </c>
      <c r="E214" t="s">
        <v>156</v>
      </c>
      <c r="F214" t="s">
        <v>560</v>
      </c>
      <c r="G214" t="str">
        <f>VLOOKUP(A:A,INVENTÁRIO_04_2025!A:A,1,0)</f>
        <v>SPRDAPSCOGRU03</v>
      </c>
      <c r="H214" t="str">
        <f>VLOOKUP(A:A,INVENTÁRIO_06_2025!A:A,1,0)</f>
        <v>SPRDAPSCOGRU03</v>
      </c>
    </row>
    <row r="215" spans="1:8" ht="11.25" customHeight="1">
      <c r="A215" t="s">
        <v>441</v>
      </c>
      <c r="B215" t="s">
        <v>61</v>
      </c>
      <c r="C215" t="s">
        <v>116</v>
      </c>
      <c r="D215" t="s">
        <v>126</v>
      </c>
      <c r="E215" t="s">
        <v>156</v>
      </c>
      <c r="F215" t="s">
        <v>560</v>
      </c>
      <c r="G215" t="str">
        <f>VLOOKUP(A:A,INVENTÁRIO_04_2025!A:A,1,0)</f>
        <v>SPRDAPSATGRU01</v>
      </c>
      <c r="H215" t="str">
        <f>VLOOKUP(A:A,INVENTÁRIO_06_2025!A:A,1,0)</f>
        <v>SPRDAPSATGRU01</v>
      </c>
    </row>
    <row r="216" spans="1:8" ht="11.25" customHeight="1">
      <c r="A216" t="s">
        <v>186</v>
      </c>
      <c r="B216" t="s">
        <v>61</v>
      </c>
      <c r="C216" t="s">
        <v>116</v>
      </c>
      <c r="D216" t="s">
        <v>174</v>
      </c>
      <c r="E216" t="s">
        <v>156</v>
      </c>
      <c r="F216" t="s">
        <v>75</v>
      </c>
      <c r="G216" t="str">
        <f>VLOOKUP(A:A,INVENTÁRIO_04_2025!A:A,1,0)</f>
        <v>SPRDAPSAPGRU01</v>
      </c>
      <c r="H216" t="str">
        <f>VLOOKUP(A:A,INVENTÁRIO_06_2025!A:A,1,0)</f>
        <v>SPRDAPSAPGRU01</v>
      </c>
    </row>
    <row r="217" spans="1:8" ht="11.25" customHeight="1">
      <c r="A217" t="s">
        <v>440</v>
      </c>
      <c r="B217" t="s">
        <v>61</v>
      </c>
      <c r="C217" t="s">
        <v>116</v>
      </c>
      <c r="D217" t="s">
        <v>126</v>
      </c>
      <c r="E217" t="s">
        <v>156</v>
      </c>
      <c r="F217" t="s">
        <v>560</v>
      </c>
      <c r="G217" t="str">
        <f>VLOOKUP(A:A,INVENTÁRIO_04_2025!A:A,1,0)</f>
        <v>SPRDAPSAMGRU02</v>
      </c>
      <c r="H217" t="str">
        <f>VLOOKUP(A:A,INVENTÁRIO_06_2025!A:A,1,0)</f>
        <v>SPRDAPSAMGRU02</v>
      </c>
    </row>
    <row r="218" spans="1:8" ht="11.25" customHeight="1">
      <c r="A218" t="s">
        <v>439</v>
      </c>
      <c r="B218" t="s">
        <v>61</v>
      </c>
      <c r="C218" t="s">
        <v>116</v>
      </c>
      <c r="D218" t="s">
        <v>126</v>
      </c>
      <c r="E218" t="s">
        <v>156</v>
      </c>
      <c r="F218" t="s">
        <v>560</v>
      </c>
      <c r="G218" t="str">
        <f>VLOOKUP(A:A,INVENTÁRIO_04_2025!A:A,1,0)</f>
        <v>SPRDAPSAMGRU01</v>
      </c>
      <c r="H218" t="str">
        <f>VLOOKUP(A:A,INVENTÁRIO_06_2025!A:A,1,0)</f>
        <v>SPRDAPSAMGRU01</v>
      </c>
    </row>
    <row r="219" spans="1:8" ht="11.25" customHeight="1">
      <c r="A219" t="s">
        <v>438</v>
      </c>
      <c r="B219" t="s">
        <v>61</v>
      </c>
      <c r="C219" t="s">
        <v>116</v>
      </c>
      <c r="D219" t="s">
        <v>126</v>
      </c>
      <c r="E219" t="s">
        <v>156</v>
      </c>
      <c r="F219" t="s">
        <v>560</v>
      </c>
      <c r="G219" t="str">
        <f>VLOOKUP(A:A,INVENTÁRIO_04_2025!A:A,1,0)</f>
        <v>SPRDAPSAGRU01</v>
      </c>
      <c r="H219" t="str">
        <f>VLOOKUP(A:A,INVENTÁRIO_06_2025!A:A,1,0)</f>
        <v>SPRDAPSAGRU01</v>
      </c>
    </row>
    <row r="220" spans="1:8" ht="11.25" customHeight="1">
      <c r="A220" t="s">
        <v>231</v>
      </c>
      <c r="B220" t="s">
        <v>61</v>
      </c>
      <c r="C220" t="s">
        <v>116</v>
      </c>
      <c r="D220" t="s">
        <v>419</v>
      </c>
      <c r="E220" t="s">
        <v>156</v>
      </c>
      <c r="F220" t="s">
        <v>75</v>
      </c>
      <c r="G220" t="str">
        <f>VLOOKUP(A:A,INVENTÁRIO_04_2025!A:A,1,0)</f>
        <v>SPRDAPSAFGRU02</v>
      </c>
      <c r="H220" t="str">
        <f>VLOOKUP(A:A,INVENTÁRIO_06_2025!A:A,1,0)</f>
        <v>SPRDAPSAFGRU02</v>
      </c>
    </row>
    <row r="221" spans="1:8" ht="11.25" customHeight="1">
      <c r="A221" t="s">
        <v>387</v>
      </c>
      <c r="B221" t="s">
        <v>61</v>
      </c>
      <c r="C221" t="s">
        <v>116</v>
      </c>
      <c r="D221" t="s">
        <v>122</v>
      </c>
      <c r="E221" t="s">
        <v>156</v>
      </c>
      <c r="F221" t="s">
        <v>560</v>
      </c>
      <c r="G221" t="str">
        <f>VLOOKUP(A:A,INVENTÁRIO_04_2025!A:A,1,0)</f>
        <v>SPRDAPRVGRU01</v>
      </c>
      <c r="H221" t="str">
        <f>VLOOKUP(A:A,INVENTÁRIO_06_2025!A:A,1,0)</f>
        <v>SPRDAPRVGRU01</v>
      </c>
    </row>
    <row r="222" spans="1:8" ht="11.25" customHeight="1">
      <c r="A222" t="s">
        <v>302</v>
      </c>
      <c r="B222" t="s">
        <v>61</v>
      </c>
      <c r="C222" t="s">
        <v>51</v>
      </c>
      <c r="D222" t="s">
        <v>111</v>
      </c>
      <c r="E222" t="s">
        <v>156</v>
      </c>
      <c r="F222" t="s">
        <v>75</v>
      </c>
      <c r="G222" t="str">
        <f>VLOOKUP(A:A,INVENTÁRIO_04_2025!A:A,1,0)</f>
        <v>SPRDAPRPGRU15</v>
      </c>
      <c r="H222" t="str">
        <f>VLOOKUP(A:A,INVENTÁRIO_06_2025!A:A,1,0)</f>
        <v>SPRDAPRPGRU15</v>
      </c>
    </row>
    <row r="223" spans="1:8" ht="11.25" customHeight="1">
      <c r="A223" t="s">
        <v>301</v>
      </c>
      <c r="B223" t="s">
        <v>61</v>
      </c>
      <c r="C223" t="s">
        <v>51</v>
      </c>
      <c r="D223" t="s">
        <v>111</v>
      </c>
      <c r="E223" t="s">
        <v>156</v>
      </c>
      <c r="F223" t="s">
        <v>75</v>
      </c>
      <c r="G223" t="str">
        <f>VLOOKUP(A:A,INVENTÁRIO_04_2025!A:A,1,0)</f>
        <v>SPRDAPRPGRU14</v>
      </c>
      <c r="H223" t="str">
        <f>VLOOKUP(A:A,INVENTÁRIO_06_2025!A:A,1,0)</f>
        <v>SPRDAPRPGRU14</v>
      </c>
    </row>
    <row r="224" spans="1:8" ht="11.25" customHeight="1">
      <c r="A224" t="s">
        <v>546</v>
      </c>
      <c r="B224" t="s">
        <v>61</v>
      </c>
      <c r="C224" t="s">
        <v>51</v>
      </c>
      <c r="D224" t="s">
        <v>114</v>
      </c>
      <c r="E224" t="s">
        <v>156</v>
      </c>
      <c r="F224" t="s">
        <v>560</v>
      </c>
      <c r="G224" t="str">
        <f>VLOOKUP(A:A,INVENTÁRIO_04_2025!A:A,1,0)</f>
        <v>SPRDAPRPGRU13</v>
      </c>
      <c r="H224" t="str">
        <f>VLOOKUP(A:A,INVENTÁRIO_06_2025!A:A,1,0)</f>
        <v>SPRDAPRPGRU13</v>
      </c>
    </row>
    <row r="225" spans="1:8" ht="11.25" customHeight="1">
      <c r="A225" t="s">
        <v>314</v>
      </c>
      <c r="B225" t="s">
        <v>61</v>
      </c>
      <c r="C225" t="s">
        <v>51</v>
      </c>
      <c r="D225" t="s">
        <v>114</v>
      </c>
      <c r="E225" t="s">
        <v>156</v>
      </c>
      <c r="F225" t="s">
        <v>75</v>
      </c>
      <c r="G225" t="str">
        <f>VLOOKUP(A:A,INVENTÁRIO_04_2025!A:A,1,0)</f>
        <v>SPRDAPRPGRU12</v>
      </c>
      <c r="H225" t="str">
        <f>VLOOKUP(A:A,INVENTÁRIO_06_2025!A:A,1,0)</f>
        <v>SPRDAPRPGRU12</v>
      </c>
    </row>
    <row r="226" spans="1:8" ht="11.25" customHeight="1">
      <c r="A226" t="s">
        <v>313</v>
      </c>
      <c r="B226" t="s">
        <v>61</v>
      </c>
      <c r="C226" t="s">
        <v>51</v>
      </c>
      <c r="D226" t="s">
        <v>114</v>
      </c>
      <c r="E226" t="s">
        <v>156</v>
      </c>
      <c r="F226" t="s">
        <v>75</v>
      </c>
      <c r="G226" t="str">
        <f>VLOOKUP(A:A,INVENTÁRIO_04_2025!A:A,1,0)</f>
        <v>SPRDAPRPGRU10</v>
      </c>
      <c r="H226" t="str">
        <f>VLOOKUP(A:A,INVENTÁRIO_06_2025!A:A,1,0)</f>
        <v>SPRDAPRPGRU10</v>
      </c>
    </row>
    <row r="227" spans="1:8" ht="11.25" customHeight="1">
      <c r="A227" t="s">
        <v>312</v>
      </c>
      <c r="B227" t="s">
        <v>61</v>
      </c>
      <c r="C227" t="s">
        <v>51</v>
      </c>
      <c r="D227" t="s">
        <v>114</v>
      </c>
      <c r="E227" t="s">
        <v>156</v>
      </c>
      <c r="F227" t="s">
        <v>75</v>
      </c>
      <c r="G227" t="str">
        <f>VLOOKUP(A:A,INVENTÁRIO_04_2025!A:A,1,0)</f>
        <v>SPRDAPRPGRU09</v>
      </c>
      <c r="H227" t="str">
        <f>VLOOKUP(A:A,INVENTÁRIO_06_2025!A:A,1,0)</f>
        <v>SPRDAPRPGRU09</v>
      </c>
    </row>
    <row r="228" spans="1:8" ht="11.25" customHeight="1">
      <c r="A228" t="s">
        <v>185</v>
      </c>
      <c r="B228" t="s">
        <v>61</v>
      </c>
      <c r="C228" t="s">
        <v>116</v>
      </c>
      <c r="D228" t="s">
        <v>174</v>
      </c>
      <c r="E228" t="s">
        <v>156</v>
      </c>
      <c r="F228" t="s">
        <v>75</v>
      </c>
      <c r="G228" t="str">
        <f>VLOOKUP(A:A,INVENTÁRIO_04_2025!A:A,1,0)</f>
        <v>SPRDAPRPGRU08</v>
      </c>
      <c r="H228" t="str">
        <f>VLOOKUP(A:A,INVENTÁRIO_06_2025!A:A,1,0)</f>
        <v>SPRDAPRPGRU08</v>
      </c>
    </row>
    <row r="229" spans="1:8" ht="11.25" customHeight="1">
      <c r="A229" t="s">
        <v>489</v>
      </c>
      <c r="B229" t="s">
        <v>61</v>
      </c>
      <c r="C229" t="s">
        <v>116</v>
      </c>
      <c r="D229" t="s">
        <v>242</v>
      </c>
      <c r="E229" t="s">
        <v>156</v>
      </c>
      <c r="F229" t="s">
        <v>560</v>
      </c>
      <c r="G229" t="str">
        <f>VLOOKUP(A:A,INVENTÁRIO_04_2025!A:A,1,0)</f>
        <v>SPRDAPRPGRU07</v>
      </c>
      <c r="H229" t="str">
        <f>VLOOKUP(A:A,INVENTÁRIO_06_2025!A:A,1,0)</f>
        <v>SPRDAPRPGRU07</v>
      </c>
    </row>
    <row r="230" spans="1:8" ht="11.25" customHeight="1">
      <c r="A230" t="s">
        <v>488</v>
      </c>
      <c r="B230" t="s">
        <v>61</v>
      </c>
      <c r="C230" t="s">
        <v>116</v>
      </c>
      <c r="D230" t="s">
        <v>425</v>
      </c>
      <c r="E230" t="s">
        <v>156</v>
      </c>
      <c r="F230" t="s">
        <v>560</v>
      </c>
      <c r="G230" t="str">
        <f>VLOOKUP(A:A,INVENTÁRIO_04_2025!A:A,1,0)</f>
        <v>SPRDAPRPAGRU02</v>
      </c>
      <c r="H230" t="str">
        <f>VLOOKUP(A:A,INVENTÁRIO_06_2025!A:A,1,0)</f>
        <v>SPRDAPRPAGRU02</v>
      </c>
    </row>
    <row r="231" spans="1:8" ht="11.25" customHeight="1">
      <c r="A231" t="s">
        <v>437</v>
      </c>
      <c r="B231" t="s">
        <v>61</v>
      </c>
      <c r="C231" t="s">
        <v>116</v>
      </c>
      <c r="D231" t="s">
        <v>126</v>
      </c>
      <c r="E231" t="s">
        <v>156</v>
      </c>
      <c r="F231" t="s">
        <v>560</v>
      </c>
      <c r="G231" t="str">
        <f>VLOOKUP(A:A,INVENTÁRIO_04_2025!A:A,1,0)</f>
        <v>SPRDAPRPAGRU01</v>
      </c>
      <c r="H231" t="str">
        <f>VLOOKUP(A:A,INVENTÁRIO_06_2025!A:A,1,0)</f>
        <v>SPRDAPRPAGRU01</v>
      </c>
    </row>
    <row r="232" spans="1:8" ht="11.25" customHeight="1">
      <c r="A232" t="s">
        <v>487</v>
      </c>
      <c r="B232" t="s">
        <v>61</v>
      </c>
      <c r="C232" t="s">
        <v>116</v>
      </c>
      <c r="D232" t="s">
        <v>136</v>
      </c>
      <c r="E232" t="s">
        <v>156</v>
      </c>
      <c r="F232" t="s">
        <v>560</v>
      </c>
      <c r="G232" t="str">
        <f>VLOOKUP(A:A,INVENTÁRIO_04_2025!A:A,1,0)</f>
        <v>SPRDAPRMIGRU01</v>
      </c>
      <c r="H232" t="str">
        <f>VLOOKUP(A:A,INVENTÁRIO_06_2025!A:A,1,0)</f>
        <v>SPRDAPRMIGRU01</v>
      </c>
    </row>
    <row r="233" spans="1:8" ht="11.25" customHeight="1">
      <c r="A233" t="s">
        <v>545</v>
      </c>
      <c r="B233" t="s">
        <v>61</v>
      </c>
      <c r="C233" t="s">
        <v>51</v>
      </c>
      <c r="D233" t="s">
        <v>114</v>
      </c>
      <c r="E233" t="s">
        <v>156</v>
      </c>
      <c r="F233" t="s">
        <v>560</v>
      </c>
      <c r="G233" t="str">
        <f>VLOOKUP(A:A,INVENTÁRIO_04_2025!A:A,1,0)</f>
        <v>SPRDAPRMAGRU05</v>
      </c>
      <c r="H233" t="str">
        <f>VLOOKUP(A:A,INVENTÁRIO_06_2025!A:A,1,0)</f>
        <v>SPRDAPRMAGRU05</v>
      </c>
    </row>
    <row r="234" spans="1:8" ht="11.25" customHeight="1">
      <c r="A234" t="s">
        <v>309</v>
      </c>
      <c r="B234" t="s">
        <v>61</v>
      </c>
      <c r="C234" t="s">
        <v>51</v>
      </c>
      <c r="D234" t="s">
        <v>114</v>
      </c>
      <c r="E234" t="s">
        <v>156</v>
      </c>
      <c r="F234" t="s">
        <v>75</v>
      </c>
      <c r="G234" t="str">
        <f>VLOOKUP(A:A,INVENTÁRIO_04_2025!A:A,1,0)</f>
        <v>SPRDAPRMAGRU04</v>
      </c>
      <c r="H234" t="str">
        <f>VLOOKUP(A:A,INVENTÁRIO_06_2025!A:A,1,0)</f>
        <v>SPRDAPRMAGRU04</v>
      </c>
    </row>
    <row r="235" spans="1:8" ht="11.25" customHeight="1">
      <c r="A235" t="s">
        <v>544</v>
      </c>
      <c r="B235" t="s">
        <v>61</v>
      </c>
      <c r="C235" t="s">
        <v>51</v>
      </c>
      <c r="D235" t="s">
        <v>114</v>
      </c>
      <c r="E235" t="s">
        <v>156</v>
      </c>
      <c r="F235" t="s">
        <v>560</v>
      </c>
      <c r="G235" t="str">
        <f>VLOOKUP(A:A,INVENTÁRIO_04_2025!A:A,1,0)</f>
        <v>SPRDAPRMAGRU03</v>
      </c>
      <c r="H235" t="str">
        <f>VLOOKUP(A:A,INVENTÁRIO_06_2025!A:A,1,0)</f>
        <v>SPRDAPRMAGRU03</v>
      </c>
    </row>
    <row r="236" spans="1:8" ht="11.25" customHeight="1">
      <c r="A236" t="s">
        <v>543</v>
      </c>
      <c r="B236" t="s">
        <v>61</v>
      </c>
      <c r="C236" t="s">
        <v>51</v>
      </c>
      <c r="D236" t="s">
        <v>114</v>
      </c>
      <c r="E236" t="s">
        <v>156</v>
      </c>
      <c r="F236" t="s">
        <v>560</v>
      </c>
      <c r="G236" t="str">
        <f>VLOOKUP(A:A,INVENTÁRIO_04_2025!A:A,1,0)</f>
        <v>SPRDAPRMAGRU02</v>
      </c>
      <c r="H236" t="str">
        <f>VLOOKUP(A:A,INVENTÁRIO_06_2025!A:A,1,0)</f>
        <v>SPRDAPRMAGRU02</v>
      </c>
    </row>
    <row r="237" spans="1:8" ht="11.25" customHeight="1">
      <c r="A237" t="s">
        <v>542</v>
      </c>
      <c r="B237" t="s">
        <v>61</v>
      </c>
      <c r="C237" t="s">
        <v>51</v>
      </c>
      <c r="D237" t="s">
        <v>114</v>
      </c>
      <c r="E237" t="s">
        <v>156</v>
      </c>
      <c r="F237" t="s">
        <v>560</v>
      </c>
      <c r="G237" t="str">
        <f>VLOOKUP(A:A,INVENTÁRIO_04_2025!A:A,1,0)</f>
        <v>SPRDAPRMAGRU01</v>
      </c>
      <c r="H237" t="str">
        <f>VLOOKUP(A:A,INVENTÁRIO_06_2025!A:A,1,0)</f>
        <v>SPRDAPRMAGRU01</v>
      </c>
    </row>
    <row r="238" spans="1:8" ht="11.25" customHeight="1">
      <c r="A238" t="s">
        <v>632</v>
      </c>
      <c r="B238" t="s">
        <v>61</v>
      </c>
      <c r="C238" t="s">
        <v>116</v>
      </c>
      <c r="D238" t="s">
        <v>572</v>
      </c>
      <c r="E238" t="s">
        <v>156</v>
      </c>
      <c r="F238" t="s">
        <v>75</v>
      </c>
      <c r="G238" t="str">
        <f>VLOOKUP(A:A,INVENTÁRIO_04_2025!A:A,1,0)</f>
        <v>SPRDAPRIMAGRU01</v>
      </c>
      <c r="H238" t="str">
        <f>VLOOKUP(A:A,INVENTÁRIO_06_2025!A:A,1,0)</f>
        <v>SPRDAPRIMAGRU01</v>
      </c>
    </row>
    <row r="239" spans="1:8" ht="11.25" customHeight="1">
      <c r="A239" t="s">
        <v>184</v>
      </c>
      <c r="B239" t="s">
        <v>61</v>
      </c>
      <c r="C239" t="s">
        <v>116</v>
      </c>
      <c r="D239" t="s">
        <v>126</v>
      </c>
      <c r="E239" t="s">
        <v>156</v>
      </c>
      <c r="F239" t="s">
        <v>75</v>
      </c>
      <c r="G239" t="str">
        <f>VLOOKUP(A:A,INVENTÁRIO_04_2025!A:A,1,0)</f>
        <v>SPRDAPRDGGRU01</v>
      </c>
      <c r="H239" t="str">
        <f>VLOOKUP(A:A,INVENTÁRIO_06_2025!A:A,1,0)</f>
        <v>SPRDAPRDGGRU01</v>
      </c>
    </row>
    <row r="240" spans="1:8" ht="11.25" customHeight="1">
      <c r="A240" t="s">
        <v>230</v>
      </c>
      <c r="B240" t="s">
        <v>61</v>
      </c>
      <c r="C240" t="s">
        <v>116</v>
      </c>
      <c r="D240" t="s">
        <v>425</v>
      </c>
      <c r="E240" t="s">
        <v>156</v>
      </c>
      <c r="F240" t="s">
        <v>75</v>
      </c>
      <c r="G240" t="str">
        <f>VLOOKUP(A:A,INVENTÁRIO_04_2025!A:A,1,0)</f>
        <v>SPRDAPRADGRU01</v>
      </c>
      <c r="H240" t="str">
        <f>VLOOKUP(A:A,INVENTÁRIO_06_2025!A:A,1,0)</f>
        <v>SPRDAPRADGRU01</v>
      </c>
    </row>
    <row r="241" spans="1:8" ht="11.25" customHeight="1">
      <c r="A241" t="s">
        <v>386</v>
      </c>
      <c r="B241" t="s">
        <v>61</v>
      </c>
      <c r="C241" t="s">
        <v>116</v>
      </c>
      <c r="D241" t="s">
        <v>163</v>
      </c>
      <c r="E241" t="s">
        <v>156</v>
      </c>
      <c r="F241" t="s">
        <v>560</v>
      </c>
      <c r="G241" t="str">
        <f>VLOOKUP(A:A,INVENTÁRIO_04_2025!A:A,1,0)</f>
        <v>SPRDAPQUAGRU01</v>
      </c>
      <c r="H241" t="str">
        <f>VLOOKUP(A:A,INVENTÁRIO_06_2025!A:A,1,0)</f>
        <v>SPRDAPQUAGRU01</v>
      </c>
    </row>
    <row r="242" spans="1:8" ht="11.25" customHeight="1">
      <c r="A242" t="s">
        <v>486</v>
      </c>
      <c r="B242" t="s">
        <v>61</v>
      </c>
      <c r="C242" t="s">
        <v>116</v>
      </c>
      <c r="D242" t="s">
        <v>136</v>
      </c>
      <c r="E242" t="s">
        <v>156</v>
      </c>
      <c r="F242" t="s">
        <v>560</v>
      </c>
      <c r="G242" t="str">
        <f>VLOOKUP(A:A,INVENTÁRIO_04_2025!A:A,1,0)</f>
        <v>SPRDAPPVGRU03</v>
      </c>
      <c r="H242" t="str">
        <f>VLOOKUP(A:A,INVENTÁRIO_06_2025!A:A,1,0)</f>
        <v>SPRDAPPVGRU03</v>
      </c>
    </row>
    <row r="243" spans="1:8" ht="11.25" customHeight="1">
      <c r="A243" t="s">
        <v>170</v>
      </c>
      <c r="B243" t="s">
        <v>61</v>
      </c>
      <c r="C243" t="s">
        <v>116</v>
      </c>
      <c r="D243" t="s">
        <v>163</v>
      </c>
      <c r="E243" t="s">
        <v>156</v>
      </c>
      <c r="F243" t="s">
        <v>75</v>
      </c>
      <c r="G243" t="str">
        <f>VLOOKUP(A:A,INVENTÁRIO_04_2025!A:A,1,0)</f>
        <v>SPRDAPPVGRU02</v>
      </c>
      <c r="H243" t="str">
        <f>VLOOKUP(A:A,INVENTÁRIO_06_2025!A:A,1,0)</f>
        <v>SPRDAPPVGRU02</v>
      </c>
    </row>
    <row r="244" spans="1:8" ht="11.25" customHeight="1">
      <c r="A244" t="s">
        <v>169</v>
      </c>
      <c r="B244" t="s">
        <v>61</v>
      </c>
      <c r="C244" t="s">
        <v>116</v>
      </c>
      <c r="D244" t="s">
        <v>117</v>
      </c>
      <c r="E244" t="s">
        <v>156</v>
      </c>
      <c r="F244" t="s">
        <v>75</v>
      </c>
      <c r="G244" t="str">
        <f>VLOOKUP(A:A,INVENTÁRIO_04_2025!A:A,1,0)</f>
        <v>SPRDAPPTCAGRU01</v>
      </c>
      <c r="H244" t="str">
        <f>VLOOKUP(A:A,INVENTÁRIO_06_2025!A:A,1,0)</f>
        <v>SPRDAPPTCAGRU01</v>
      </c>
    </row>
    <row r="245" spans="1:8" ht="11.25" customHeight="1">
      <c r="A245" t="s">
        <v>485</v>
      </c>
      <c r="B245" t="s">
        <v>61</v>
      </c>
      <c r="C245" t="s">
        <v>116</v>
      </c>
      <c r="D245" t="s">
        <v>419</v>
      </c>
      <c r="E245" t="s">
        <v>156</v>
      </c>
      <c r="F245" t="s">
        <v>560</v>
      </c>
      <c r="G245" t="str">
        <f>VLOOKUP(A:A,INVENTÁRIO_04_2025!A:A,1,0)</f>
        <v>SPRDAPPSGRU03</v>
      </c>
      <c r="H245" t="str">
        <f>VLOOKUP(A:A,INVENTÁRIO_06_2025!A:A,1,0)</f>
        <v>SPRDAPPSGRU03</v>
      </c>
    </row>
    <row r="246" spans="1:8" ht="11.25" customHeight="1">
      <c r="A246" t="s">
        <v>541</v>
      </c>
      <c r="B246" t="s">
        <v>61</v>
      </c>
      <c r="C246" t="s">
        <v>51</v>
      </c>
      <c r="D246" t="s">
        <v>114</v>
      </c>
      <c r="E246" t="s">
        <v>156</v>
      </c>
      <c r="F246" t="s">
        <v>560</v>
      </c>
      <c r="G246" t="str">
        <f>VLOOKUP(A:A,INVENTÁRIO_04_2025!A:A,1,0)</f>
        <v>SPRDAPPRMGRU01</v>
      </c>
      <c r="H246" t="str">
        <f>VLOOKUP(A:A,INVENTÁRIO_06_2025!A:A,1,0)</f>
        <v>SPRDAPPRMGRU01</v>
      </c>
    </row>
    <row r="247" spans="1:8" ht="11.25" customHeight="1">
      <c r="A247" t="s">
        <v>305</v>
      </c>
      <c r="B247" t="s">
        <v>61</v>
      </c>
      <c r="C247" t="s">
        <v>51</v>
      </c>
      <c r="D247" t="s">
        <v>111</v>
      </c>
      <c r="E247" t="s">
        <v>156</v>
      </c>
      <c r="F247" t="s">
        <v>75</v>
      </c>
      <c r="G247" t="str">
        <f>VLOOKUP(A:A,INVENTÁRIO_04_2025!A:A,1,0)</f>
        <v>SPRDAPPOSTGRU01</v>
      </c>
      <c r="H247" t="str">
        <f>VLOOKUP(A:A,INVENTÁRIO_06_2025!A:A,1,0)</f>
        <v>SPRDAPPOSTGRU01</v>
      </c>
    </row>
    <row r="248" spans="1:8" ht="11.25" customHeight="1">
      <c r="A248" t="s">
        <v>105</v>
      </c>
      <c r="B248" t="s">
        <v>61</v>
      </c>
      <c r="C248" t="s">
        <v>51</v>
      </c>
      <c r="D248" t="s">
        <v>85</v>
      </c>
      <c r="E248" t="s">
        <v>53</v>
      </c>
      <c r="F248" t="s">
        <v>58</v>
      </c>
      <c r="G248" t="str">
        <f>VLOOKUP(A:A,INVENTÁRIO_04_2025!A:A,1,0)</f>
        <v>SPRDAPPIGRU02</v>
      </c>
      <c r="H248" t="str">
        <f>VLOOKUP(A:A,INVENTÁRIO_06_2025!A:A,1,0)</f>
        <v>SPRDAPPIGRU02</v>
      </c>
    </row>
    <row r="249" spans="1:8" ht="11.25" customHeight="1">
      <c r="A249" t="s">
        <v>98</v>
      </c>
      <c r="B249" t="s">
        <v>61</v>
      </c>
      <c r="C249" t="s">
        <v>51</v>
      </c>
      <c r="D249" t="s">
        <v>85</v>
      </c>
      <c r="E249" t="s">
        <v>53</v>
      </c>
      <c r="F249" t="s">
        <v>56</v>
      </c>
      <c r="G249" t="str">
        <f>VLOOKUP(A:A,INVENTÁRIO_04_2025!A:A,1,0)</f>
        <v>SPRDAPPIGRU01</v>
      </c>
      <c r="H249" t="str">
        <f>VLOOKUP(A:A,INVENTÁRIO_06_2025!A:A,1,0)</f>
        <v>SPRDAPPIGRU01</v>
      </c>
    </row>
    <row r="250" spans="1:8" ht="11.25" customHeight="1">
      <c r="A250" t="s">
        <v>256</v>
      </c>
      <c r="B250" t="s">
        <v>61</v>
      </c>
      <c r="C250" t="s">
        <v>116</v>
      </c>
      <c r="D250" t="s">
        <v>141</v>
      </c>
      <c r="E250" t="s">
        <v>156</v>
      </c>
      <c r="F250" t="s">
        <v>75</v>
      </c>
      <c r="G250" t="str">
        <f>VLOOKUP(A:A,INVENTÁRIO_04_2025!A:A,1,0)</f>
        <v>SPRDAPPEAGRU01</v>
      </c>
      <c r="H250" t="str">
        <f>VLOOKUP(A:A,INVENTÁRIO_06_2025!A:A,1,0)</f>
        <v>SPRDAPPEAGRU01</v>
      </c>
    </row>
    <row r="251" spans="1:8" ht="11.25" customHeight="1">
      <c r="A251" t="s">
        <v>436</v>
      </c>
      <c r="B251" t="s">
        <v>61</v>
      </c>
      <c r="C251" t="s">
        <v>116</v>
      </c>
      <c r="D251" t="s">
        <v>126</v>
      </c>
      <c r="E251" t="s">
        <v>156</v>
      </c>
      <c r="F251" t="s">
        <v>560</v>
      </c>
      <c r="G251" t="str">
        <f>VLOOKUP(A:A,INVENTÁRIO_04_2025!A:A,1,0)</f>
        <v>SPRDAPPAVGRU01</v>
      </c>
      <c r="H251" t="str">
        <f>VLOOKUP(A:A,INVENTÁRIO_06_2025!A:A,1,0)</f>
        <v>SPRDAPPAVGRU01</v>
      </c>
    </row>
    <row r="252" spans="1:8" ht="11.25" customHeight="1">
      <c r="A252" t="s">
        <v>384</v>
      </c>
      <c r="B252" t="s">
        <v>61</v>
      </c>
      <c r="C252" t="s">
        <v>116</v>
      </c>
      <c r="D252" t="s">
        <v>122</v>
      </c>
      <c r="E252" t="s">
        <v>156</v>
      </c>
      <c r="F252" t="s">
        <v>560</v>
      </c>
      <c r="G252" t="str">
        <f>VLOOKUP(A:A,INVENTÁRIO_04_2025!A:A,1,0)</f>
        <v>SPRDAPPASGRU01</v>
      </c>
      <c r="H252" t="str">
        <f>VLOOKUP(A:A,INVENTÁRIO_06_2025!A:A,1,0)</f>
        <v>SPRDAPPASGRU01</v>
      </c>
    </row>
    <row r="253" spans="1:8" ht="11.25" customHeight="1">
      <c r="A253" t="s">
        <v>580</v>
      </c>
      <c r="B253" t="s">
        <v>61</v>
      </c>
      <c r="C253" t="s">
        <v>51</v>
      </c>
      <c r="D253" t="s">
        <v>114</v>
      </c>
      <c r="E253" t="s">
        <v>156</v>
      </c>
      <c r="F253" t="s">
        <v>75</v>
      </c>
      <c r="G253" t="str">
        <f>VLOOKUP(A:A,INVENTÁRIO_04_2025!A:A,1,0)</f>
        <v>SPRDAPOTRSGRU02</v>
      </c>
      <c r="H253" t="str">
        <f>VLOOKUP(A:A,INVENTÁRIO_06_2025!A:A,1,0)</f>
        <v>SPRDAPOTRSGRU02</v>
      </c>
    </row>
    <row r="254" spans="1:8" ht="11.25" customHeight="1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VLOOKUP(A:A,INVENTÁRIO_04_2025!A:A,1,0)</f>
        <v>SPRDAPOPCGRUB</v>
      </c>
      <c r="H254" t="str">
        <f>VLOOKUP(A:A,INVENTÁRIO_06_2025!A:A,1,0)</f>
        <v>SPRDAPOPCGRUB</v>
      </c>
    </row>
    <row r="255" spans="1:8" ht="11.25" customHeight="1">
      <c r="A255" t="s">
        <v>435</v>
      </c>
      <c r="B255" t="s">
        <v>61</v>
      </c>
      <c r="C255" t="s">
        <v>116</v>
      </c>
      <c r="D255" t="s">
        <v>126</v>
      </c>
      <c r="E255" t="s">
        <v>156</v>
      </c>
      <c r="F255" t="s">
        <v>560</v>
      </c>
      <c r="G255" t="str">
        <f>VLOOKUP(A:A,INVENTÁRIO_04_2025!A:A,1,0)</f>
        <v>SPRDAPOMPCGRU01</v>
      </c>
      <c r="H255" t="str">
        <f>VLOOKUP(A:A,INVENTÁRIO_06_2025!A:A,1,0)</f>
        <v>SPRDAPOMPCGRU01</v>
      </c>
    </row>
    <row r="256" spans="1:8" ht="11.25" customHeight="1">
      <c r="A256" t="s">
        <v>434</v>
      </c>
      <c r="B256" t="s">
        <v>61</v>
      </c>
      <c r="C256" t="s">
        <v>116</v>
      </c>
      <c r="D256" t="s">
        <v>126</v>
      </c>
      <c r="E256" t="s">
        <v>156</v>
      </c>
      <c r="F256" t="s">
        <v>560</v>
      </c>
      <c r="G256" t="str">
        <f>VLOOKUP(A:A,INVENTÁRIO_04_2025!A:A,1,0)</f>
        <v>SPRDAPOMEGRU01</v>
      </c>
      <c r="H256" t="str">
        <f>VLOOKUP(A:A,INVENTÁRIO_06_2025!A:A,1,0)</f>
        <v>SPRDAPOMEGRU01</v>
      </c>
    </row>
    <row r="257" spans="1:8" ht="11.25" customHeight="1">
      <c r="A257" t="s">
        <v>335</v>
      </c>
      <c r="B257" t="s">
        <v>61</v>
      </c>
      <c r="C257" t="s">
        <v>51</v>
      </c>
      <c r="D257" t="s">
        <v>158</v>
      </c>
      <c r="E257" t="s">
        <v>156</v>
      </c>
      <c r="F257" t="s">
        <v>560</v>
      </c>
      <c r="G257" t="str">
        <f>VLOOKUP(A:A,INVENTÁRIO_04_2025!A:A,1,0)</f>
        <v>SPRDAPOCSGRU01</v>
      </c>
      <c r="H257" t="str">
        <f>VLOOKUP(A:A,INVENTÁRIO_06_2025!A:A,1,0)</f>
        <v>SPRDAPOCSGRU01</v>
      </c>
    </row>
    <row r="258" spans="1:8" ht="11.25" customHeight="1">
      <c r="A258" t="s">
        <v>383</v>
      </c>
      <c r="B258" t="s">
        <v>61</v>
      </c>
      <c r="C258" t="s">
        <v>116</v>
      </c>
      <c r="D258" t="s">
        <v>117</v>
      </c>
      <c r="E258" t="s">
        <v>156</v>
      </c>
      <c r="F258" t="s">
        <v>560</v>
      </c>
      <c r="G258" t="str">
        <f>VLOOKUP(A:A,INVENTÁRIO_04_2025!A:A,1,0)</f>
        <v>SPRDAPOCRGRU01</v>
      </c>
      <c r="H258" t="str">
        <f>VLOOKUP(A:A,INVENTÁRIO_06_2025!A:A,1,0)</f>
        <v>SPRDAPOCRGRU01</v>
      </c>
    </row>
    <row r="259" spans="1:8" ht="11.25" customHeight="1">
      <c r="A259" t="s">
        <v>304</v>
      </c>
      <c r="B259" t="s">
        <v>61</v>
      </c>
      <c r="C259" t="s">
        <v>51</v>
      </c>
      <c r="D259" t="s">
        <v>111</v>
      </c>
      <c r="E259" t="s">
        <v>156</v>
      </c>
      <c r="F259" t="s">
        <v>75</v>
      </c>
      <c r="G259" t="str">
        <f>VLOOKUP(A:A,INVENTÁRIO_04_2025!A:A,1,0)</f>
        <v>SPRDAPNTWSGRU01</v>
      </c>
      <c r="H259" t="str">
        <f>VLOOKUP(A:A,INVENTÁRIO_06_2025!A:A,1,0)</f>
        <v>SPRDAPNTWSGRU01</v>
      </c>
    </row>
    <row r="260" spans="1:8" ht="11.25" customHeight="1">
      <c r="A260" t="s">
        <v>433</v>
      </c>
      <c r="B260" t="s">
        <v>61</v>
      </c>
      <c r="C260" t="s">
        <v>116</v>
      </c>
      <c r="D260" t="s">
        <v>174</v>
      </c>
      <c r="E260" t="s">
        <v>156</v>
      </c>
      <c r="F260" t="s">
        <v>560</v>
      </c>
      <c r="G260" t="str">
        <f>VLOOKUP(A:A,INVENTÁRIO_04_2025!A:A,1,0)</f>
        <v>SPRDAPNTPWGRU01</v>
      </c>
      <c r="H260" t="str">
        <f>VLOOKUP(A:A,INVENTÁRIO_06_2025!A:A,1,0)</f>
        <v>SPRDAPNTPWGRU01</v>
      </c>
    </row>
    <row r="261" spans="1:8" ht="11.25" customHeight="1">
      <c r="A261" t="s">
        <v>303</v>
      </c>
      <c r="B261" t="s">
        <v>61</v>
      </c>
      <c r="C261" t="s">
        <v>51</v>
      </c>
      <c r="D261" t="s">
        <v>111</v>
      </c>
      <c r="E261" t="s">
        <v>156</v>
      </c>
      <c r="F261" t="s">
        <v>75</v>
      </c>
      <c r="G261" t="str">
        <f>VLOOKUP(A:A,INVENTÁRIO_04_2025!A:A,1,0)</f>
        <v>SPRDAPNMCGRU01</v>
      </c>
      <c r="H261" t="str">
        <f>VLOOKUP(A:A,INVENTÁRIO_06_2025!A:A,1,0)</f>
        <v>SPRDAPNMCGRU01</v>
      </c>
    </row>
    <row r="262" spans="1:8" ht="11.25" customHeight="1">
      <c r="A262" t="s">
        <v>274</v>
      </c>
      <c r="B262" t="s">
        <v>61</v>
      </c>
      <c r="C262" t="s">
        <v>51</v>
      </c>
      <c r="D262" t="s">
        <v>273</v>
      </c>
      <c r="E262" t="s">
        <v>156</v>
      </c>
      <c r="F262" t="s">
        <v>75</v>
      </c>
      <c r="G262" t="str">
        <f>VLOOKUP(A:A,INVENTÁRIO_04_2025!A:A,1,0)</f>
        <v>SPRDAPNLBGRU02</v>
      </c>
      <c r="H262" t="str">
        <f>VLOOKUP(A:A,INVENTÁRIO_06_2025!A:A,1,0)</f>
        <v>SPRDAPNLBGRU02</v>
      </c>
    </row>
    <row r="263" spans="1:8" ht="11.25" customHeight="1">
      <c r="A263" t="s">
        <v>272</v>
      </c>
      <c r="B263" t="s">
        <v>61</v>
      </c>
      <c r="C263" t="s">
        <v>51</v>
      </c>
      <c r="D263" t="s">
        <v>273</v>
      </c>
      <c r="E263" t="s">
        <v>156</v>
      </c>
      <c r="F263" t="s">
        <v>75</v>
      </c>
      <c r="G263" t="str">
        <f>VLOOKUP(A:A,INVENTÁRIO_04_2025!A:A,1,0)</f>
        <v>SPRDAPNLBGRU01</v>
      </c>
      <c r="H263" t="str">
        <f>VLOOKUP(A:A,INVENTÁRIO_06_2025!A:A,1,0)</f>
        <v>SPRDAPNLBGRU01</v>
      </c>
    </row>
    <row r="264" spans="1:8" ht="11.25" customHeight="1">
      <c r="A264" t="s">
        <v>300</v>
      </c>
      <c r="B264" t="s">
        <v>61</v>
      </c>
      <c r="C264" t="s">
        <v>51</v>
      </c>
      <c r="D264" t="s">
        <v>295</v>
      </c>
      <c r="E264" t="s">
        <v>156</v>
      </c>
      <c r="F264" t="s">
        <v>75</v>
      </c>
      <c r="G264" t="str">
        <f>VLOOKUP(A:A,INVENTÁRIO_04_2025!A:A,1,0)</f>
        <v>SPRDAPNFSGRU01</v>
      </c>
      <c r="H264" t="str">
        <f>VLOOKUP(A:A,INVENTÁRIO_06_2025!A:A,1,0)</f>
        <v>SPRDAPNFSGRU01</v>
      </c>
    </row>
    <row r="265" spans="1:8" ht="11.25" customHeight="1">
      <c r="A265" t="s">
        <v>382</v>
      </c>
      <c r="B265" t="s">
        <v>61</v>
      </c>
      <c r="C265" t="s">
        <v>116</v>
      </c>
      <c r="D265" t="s">
        <v>117</v>
      </c>
      <c r="E265" t="s">
        <v>156</v>
      </c>
      <c r="F265" t="s">
        <v>560</v>
      </c>
      <c r="G265" t="str">
        <f>VLOOKUP(A:A,INVENTÁRIO_04_2025!A:A,1,0)</f>
        <v>SPRDAPNEPSGRU01</v>
      </c>
      <c r="H265" t="str">
        <f>VLOOKUP(A:A,INVENTÁRIO_06_2025!A:A,1,0)</f>
        <v>SPRDAPNEPSGRU01</v>
      </c>
    </row>
    <row r="266" spans="1:8" ht="11.25" customHeight="1">
      <c r="A266" t="s">
        <v>289</v>
      </c>
      <c r="B266" t="s">
        <v>61</v>
      </c>
      <c r="C266" t="s">
        <v>51</v>
      </c>
      <c r="D266" t="s">
        <v>85</v>
      </c>
      <c r="E266" t="s">
        <v>156</v>
      </c>
      <c r="F266" t="s">
        <v>75</v>
      </c>
      <c r="G266" t="str">
        <f>VLOOKUP(A:A,INVENTÁRIO_04_2025!A:A,1,0)</f>
        <v>SPRDAPNBKGRU01</v>
      </c>
      <c r="H266" t="str">
        <f>VLOOKUP(A:A,INVENTÁRIO_06_2025!A:A,1,0)</f>
        <v>SPRDAPNBKGRU01</v>
      </c>
    </row>
    <row r="267" spans="1:8" ht="11.25" customHeight="1">
      <c r="A267" t="s">
        <v>168</v>
      </c>
      <c r="B267" t="s">
        <v>61</v>
      </c>
      <c r="C267" t="s">
        <v>116</v>
      </c>
      <c r="D267" t="s">
        <v>117</v>
      </c>
      <c r="E267" t="s">
        <v>156</v>
      </c>
      <c r="F267" t="s">
        <v>75</v>
      </c>
      <c r="G267" t="str">
        <f>VLOOKUP(A:A,INVENTÁRIO_04_2025!A:A,1,0)</f>
        <v>SPRDAPNAPGRU01</v>
      </c>
      <c r="H267" t="str">
        <f>VLOOKUP(A:A,INVENTÁRIO_06_2025!A:A,1,0)</f>
        <v>SPRDAPNAPGRU01</v>
      </c>
    </row>
    <row r="268" spans="1:8" ht="11.25" customHeight="1">
      <c r="A268" t="s">
        <v>118</v>
      </c>
      <c r="B268" t="s">
        <v>50</v>
      </c>
      <c r="C268" t="s">
        <v>116</v>
      </c>
      <c r="D268" t="s">
        <v>117</v>
      </c>
      <c r="E268" t="s">
        <v>53</v>
      </c>
      <c r="F268" t="s">
        <v>58</v>
      </c>
      <c r="G268" t="str">
        <f>VLOOKUP(A:A,INVENTÁRIO_04_2025!A:A,1,0)</f>
        <v>SPRDAPMSGRU02</v>
      </c>
      <c r="H268" t="str">
        <f>VLOOKUP(A:A,INVENTÁRIO_06_2025!A:A,1,0)</f>
        <v>SPRDAPMSGRU02</v>
      </c>
    </row>
    <row r="269" spans="1:8" ht="11.25" customHeight="1">
      <c r="A269" t="s">
        <v>115</v>
      </c>
      <c r="B269" t="s">
        <v>50</v>
      </c>
      <c r="C269" t="s">
        <v>116</v>
      </c>
      <c r="D269" t="s">
        <v>117</v>
      </c>
      <c r="E269" t="s">
        <v>53</v>
      </c>
      <c r="F269" t="s">
        <v>56</v>
      </c>
      <c r="G269" t="str">
        <f>VLOOKUP(A:A,INVENTÁRIO_04_2025!A:A,1,0)</f>
        <v>SPRDAPMSGRU01</v>
      </c>
      <c r="H269" t="str">
        <f>VLOOKUP(A:A,INVENTÁRIO_06_2025!A:A,1,0)</f>
        <v>SPRDAPMSGRU01</v>
      </c>
    </row>
    <row r="270" spans="1:8" ht="11.25" customHeight="1">
      <c r="A270" t="s">
        <v>484</v>
      </c>
      <c r="B270" t="s">
        <v>61</v>
      </c>
      <c r="C270" t="s">
        <v>116</v>
      </c>
      <c r="D270" t="s">
        <v>425</v>
      </c>
      <c r="E270" t="s">
        <v>156</v>
      </c>
      <c r="F270" t="s">
        <v>560</v>
      </c>
      <c r="G270" t="str">
        <f>VLOOKUP(A:A,INVENTÁRIO_04_2025!A:A,1,0)</f>
        <v>SPRDAPMPMGRU01</v>
      </c>
      <c r="H270" t="str">
        <f>VLOOKUP(A:A,INVENTÁRIO_06_2025!A:A,1,0)</f>
        <v>SPRDAPMPMGRU01</v>
      </c>
    </row>
    <row r="271" spans="1:8" ht="11.25" customHeight="1">
      <c r="A271" t="s">
        <v>432</v>
      </c>
      <c r="B271" t="s">
        <v>61</v>
      </c>
      <c r="C271" t="s">
        <v>116</v>
      </c>
      <c r="D271" t="s">
        <v>126</v>
      </c>
      <c r="E271" t="s">
        <v>156</v>
      </c>
      <c r="F271" t="s">
        <v>560</v>
      </c>
      <c r="G271" t="str">
        <f>VLOOKUP(A:A,INVENTÁRIO_04_2025!A:A,1,0)</f>
        <v>SPRDAPMPBXGRU01</v>
      </c>
      <c r="H271" t="str">
        <f>VLOOKUP(A:A,INVENTÁRIO_06_2025!A:A,1,0)</f>
        <v>SPRDAPMPBXGRU01</v>
      </c>
    </row>
    <row r="272" spans="1:8" ht="11.25" customHeight="1">
      <c r="A272" t="s">
        <v>381</v>
      </c>
      <c r="B272" t="s">
        <v>61</v>
      </c>
      <c r="C272" t="s">
        <v>116</v>
      </c>
      <c r="D272" t="s">
        <v>122</v>
      </c>
      <c r="E272" t="s">
        <v>156</v>
      </c>
      <c r="F272" t="s">
        <v>560</v>
      </c>
      <c r="G272" t="str">
        <f>VLOOKUP(A:A,INVENTÁRIO_04_2025!A:A,1,0)</f>
        <v>SPRDAPMONGRU02</v>
      </c>
      <c r="H272" t="str">
        <f>VLOOKUP(A:A,INVENTÁRIO_06_2025!A:A,1,0)</f>
        <v>SPRDAPMONGRU02</v>
      </c>
    </row>
    <row r="273" spans="1:8" ht="11.25" customHeight="1">
      <c r="A273" t="s">
        <v>380</v>
      </c>
      <c r="B273" t="s">
        <v>61</v>
      </c>
      <c r="C273" t="s">
        <v>116</v>
      </c>
      <c r="D273" t="s">
        <v>117</v>
      </c>
      <c r="E273" t="s">
        <v>156</v>
      </c>
      <c r="F273" t="s">
        <v>560</v>
      </c>
      <c r="G273" t="str">
        <f>VLOOKUP(A:A,INVENTÁRIO_04_2025!A:A,1,0)</f>
        <v>SPRDAPMNTGRU02</v>
      </c>
      <c r="H273" t="str">
        <f>VLOOKUP(A:A,INVENTÁRIO_06_2025!A:A,1,0)</f>
        <v>SPRDAPMNTGRU02</v>
      </c>
    </row>
    <row r="274" spans="1:8" ht="11.25" customHeight="1">
      <c r="A274" t="s">
        <v>483</v>
      </c>
      <c r="B274" t="s">
        <v>61</v>
      </c>
      <c r="C274" t="s">
        <v>116</v>
      </c>
      <c r="D274" t="s">
        <v>242</v>
      </c>
      <c r="E274" t="s">
        <v>156</v>
      </c>
      <c r="F274" t="s">
        <v>560</v>
      </c>
      <c r="G274" t="str">
        <f>VLOOKUP(A:A,INVENTÁRIO_04_2025!A:A,1,0)</f>
        <v>SPRDAPMMETRAGRU01</v>
      </c>
      <c r="H274" t="str">
        <f>VLOOKUP(A:A,INVENTÁRIO_06_2025!A:A,1,0)</f>
        <v>SPRDAPMMETRAGRU01</v>
      </c>
    </row>
    <row r="275" spans="1:8" ht="11.25" customHeight="1">
      <c r="A275" t="s">
        <v>379</v>
      </c>
      <c r="B275" t="s">
        <v>61</v>
      </c>
      <c r="C275" t="s">
        <v>116</v>
      </c>
      <c r="D275" t="s">
        <v>117</v>
      </c>
      <c r="E275" t="s">
        <v>156</v>
      </c>
      <c r="F275" t="s">
        <v>560</v>
      </c>
      <c r="G275" t="str">
        <f>VLOOKUP(A:A,INVENTÁRIO_04_2025!A:A,1,0)</f>
        <v>SPRDAPMETGRU04</v>
      </c>
      <c r="H275" t="str">
        <f>VLOOKUP(A:A,INVENTÁRIO_06_2025!A:A,1,0)</f>
        <v>SPRDAPMETGRU04</v>
      </c>
    </row>
    <row r="276" spans="1:8" ht="11.25" customHeight="1">
      <c r="A276" t="s">
        <v>378</v>
      </c>
      <c r="B276" t="s">
        <v>61</v>
      </c>
      <c r="C276" t="s">
        <v>116</v>
      </c>
      <c r="D276" t="s">
        <v>117</v>
      </c>
      <c r="E276" t="s">
        <v>156</v>
      </c>
      <c r="F276" t="s">
        <v>560</v>
      </c>
      <c r="G276" t="str">
        <f>VLOOKUP(A:A,INVENTÁRIO_04_2025!A:A,1,0)</f>
        <v>SPRDAPMETGRU03</v>
      </c>
      <c r="H276" t="str">
        <f>VLOOKUP(A:A,INVENTÁRIO_06_2025!A:A,1,0)</f>
        <v>SPRDAPMETGRU03</v>
      </c>
    </row>
    <row r="277" spans="1:8" ht="11.25" customHeight="1">
      <c r="A277" t="s">
        <v>377</v>
      </c>
      <c r="B277" t="s">
        <v>61</v>
      </c>
      <c r="C277" t="s">
        <v>116</v>
      </c>
      <c r="D277" t="s">
        <v>117</v>
      </c>
      <c r="E277" t="s">
        <v>156</v>
      </c>
      <c r="F277" t="s">
        <v>560</v>
      </c>
      <c r="G277" t="str">
        <f>VLOOKUP(A:A,INVENTÁRIO_04_2025!A:A,1,0)</f>
        <v>SPRDAPMETGRU02</v>
      </c>
      <c r="H277" t="str">
        <f>VLOOKUP(A:A,INVENTÁRIO_06_2025!A:A,1,0)</f>
        <v>SPRDAPMETGRU02</v>
      </c>
    </row>
    <row r="278" spans="1:8" ht="11.25" customHeight="1">
      <c r="A278" t="s">
        <v>376</v>
      </c>
      <c r="B278" t="s">
        <v>61</v>
      </c>
      <c r="C278" t="s">
        <v>116</v>
      </c>
      <c r="D278" t="s">
        <v>117</v>
      </c>
      <c r="E278" t="s">
        <v>156</v>
      </c>
      <c r="F278" t="s">
        <v>560</v>
      </c>
      <c r="G278" t="str">
        <f>VLOOKUP(A:A,INVENTÁRIO_04_2025!A:A,1,0)</f>
        <v>SPRDAPMETGRU01</v>
      </c>
      <c r="H278" t="str">
        <f>VLOOKUP(A:A,INVENTÁRIO_06_2025!A:A,1,0)</f>
        <v>SPRDAPMETGRU01</v>
      </c>
    </row>
    <row r="279" spans="1:8" ht="11.25" customHeight="1">
      <c r="A279" t="s">
        <v>431</v>
      </c>
      <c r="B279" t="s">
        <v>61</v>
      </c>
      <c r="C279" t="s">
        <v>116</v>
      </c>
      <c r="D279" t="s">
        <v>136</v>
      </c>
      <c r="E279" t="s">
        <v>156</v>
      </c>
      <c r="F279" t="s">
        <v>560</v>
      </c>
      <c r="G279" t="str">
        <f>VLOOKUP(A:A,INVENTÁRIO_04_2025!A:A,1,0)</f>
        <v>SPRDAPMELGRU01</v>
      </c>
      <c r="H279" t="str">
        <f>VLOOKUP(A:A,INVENTÁRIO_06_2025!A:A,1,0)</f>
        <v>SPRDAPMELGRU01</v>
      </c>
    </row>
    <row r="280" spans="1:8" ht="11.25" customHeight="1">
      <c r="A280" t="s">
        <v>482</v>
      </c>
      <c r="B280" t="s">
        <v>61</v>
      </c>
      <c r="C280" t="s">
        <v>116</v>
      </c>
      <c r="D280" t="s">
        <v>141</v>
      </c>
      <c r="E280" t="s">
        <v>156</v>
      </c>
      <c r="F280" t="s">
        <v>560</v>
      </c>
      <c r="G280" t="str">
        <f>VLOOKUP(A:A,INVENTÁRIO_04_2025!A:A,1,0)</f>
        <v>SPRDAPMDSGRU01</v>
      </c>
      <c r="H280" t="str">
        <f>VLOOKUP(A:A,INVENTÁRIO_06_2025!A:A,1,0)</f>
        <v>SPRDAPMDSGRU01</v>
      </c>
    </row>
    <row r="281" spans="1:8" ht="11.25" customHeight="1">
      <c r="A281" t="s">
        <v>332</v>
      </c>
      <c r="B281" t="s">
        <v>61</v>
      </c>
      <c r="C281" t="s">
        <v>51</v>
      </c>
      <c r="D281" t="s">
        <v>567</v>
      </c>
      <c r="E281" t="s">
        <v>156</v>
      </c>
      <c r="F281" t="s">
        <v>560</v>
      </c>
      <c r="G281" t="str">
        <f>VLOOKUP(A:A,INVENTÁRIO_04_2025!A:A,1,0)</f>
        <v>SPRDAPLOGSGRU01</v>
      </c>
      <c r="H281" t="str">
        <f>VLOOKUP(A:A,INVENTÁRIO_06_2025!A:A,1,0)</f>
        <v>SPRDAPLOGSGRU01</v>
      </c>
    </row>
    <row r="282" spans="1:8" ht="11.25" customHeight="1">
      <c r="A282" t="s">
        <v>481</v>
      </c>
      <c r="B282" t="s">
        <v>61</v>
      </c>
      <c r="C282" t="s">
        <v>116</v>
      </c>
      <c r="D282" t="s">
        <v>425</v>
      </c>
      <c r="E282" t="s">
        <v>156</v>
      </c>
      <c r="F282" t="s">
        <v>560</v>
      </c>
      <c r="G282" t="str">
        <f>VLOOKUP(A:A,INVENTÁRIO_04_2025!A:A,1,0)</f>
        <v>SPRDAPLGGRU04</v>
      </c>
      <c r="H282" t="str">
        <f>VLOOKUP(A:A,INVENTÁRIO_06_2025!A:A,1,0)</f>
        <v>SPRDAPLGGRU04</v>
      </c>
    </row>
    <row r="283" spans="1:8" ht="11.25" customHeight="1">
      <c r="A283" t="s">
        <v>229</v>
      </c>
      <c r="B283" t="s">
        <v>61</v>
      </c>
      <c r="C283" t="s">
        <v>116</v>
      </c>
      <c r="D283" t="s">
        <v>136</v>
      </c>
      <c r="E283" t="s">
        <v>156</v>
      </c>
      <c r="F283" t="s">
        <v>75</v>
      </c>
      <c r="G283" t="str">
        <f>VLOOKUP(A:A,INVENTÁRIO_04_2025!A:A,1,0)</f>
        <v>SPRDAPLGGRU03</v>
      </c>
      <c r="H283" t="str">
        <f>VLOOKUP(A:A,INVENTÁRIO_06_2025!A:A,1,0)</f>
        <v>SPRDAPLGGRU03</v>
      </c>
    </row>
    <row r="284" spans="1:8" ht="11.25" customHeight="1">
      <c r="A284" t="s">
        <v>480</v>
      </c>
      <c r="B284" t="s">
        <v>61</v>
      </c>
      <c r="C284" t="s">
        <v>116</v>
      </c>
      <c r="D284" t="s">
        <v>425</v>
      </c>
      <c r="E284" t="s">
        <v>156</v>
      </c>
      <c r="F284" t="s">
        <v>560</v>
      </c>
      <c r="G284" t="str">
        <f>VLOOKUP(A:A,INVENTÁRIO_04_2025!A:A,1,0)</f>
        <v>SPRDAPLGGRU02</v>
      </c>
      <c r="H284" t="str">
        <f>VLOOKUP(A:A,INVENTÁRIO_06_2025!A:A,1,0)</f>
        <v>SPRDAPLGGRU02</v>
      </c>
    </row>
    <row r="285" spans="1:8" ht="11.25" customHeight="1">
      <c r="A285" t="s">
        <v>228</v>
      </c>
      <c r="B285" t="s">
        <v>61</v>
      </c>
      <c r="C285" t="s">
        <v>116</v>
      </c>
      <c r="D285" t="s">
        <v>425</v>
      </c>
      <c r="E285" t="s">
        <v>156</v>
      </c>
      <c r="F285" t="s">
        <v>75</v>
      </c>
      <c r="G285" t="str">
        <f>VLOOKUP(A:A,INVENTÁRIO_04_2025!A:A,1,0)</f>
        <v>SPRDAPLGGRU01</v>
      </c>
      <c r="H285" t="str">
        <f>VLOOKUP(A:A,INVENTÁRIO_06_2025!A:A,1,0)</f>
        <v>SPRDAPLGGRU01</v>
      </c>
    </row>
    <row r="286" spans="1:8" ht="11.25" customHeight="1">
      <c r="A286" t="s">
        <v>245</v>
      </c>
      <c r="B286" t="s">
        <v>50</v>
      </c>
      <c r="C286" t="s">
        <v>116</v>
      </c>
      <c r="D286" t="s">
        <v>242</v>
      </c>
      <c r="E286" t="s">
        <v>156</v>
      </c>
      <c r="F286" t="s">
        <v>560</v>
      </c>
      <c r="G286" t="str">
        <f>VLOOKUP(A:A,INVENTÁRIO_04_2025!A:A,1,0)</f>
        <v>SPRDAPJPGRUXX</v>
      </c>
      <c r="H286" t="str">
        <f>VLOOKUP(A:A,INVENTÁRIO_06_2025!A:A,1,0)</f>
        <v>SPRDAPJPGRUXX</v>
      </c>
    </row>
    <row r="287" spans="1:8" ht="11.25" customHeight="1">
      <c r="A287" t="s">
        <v>245</v>
      </c>
      <c r="B287" t="s">
        <v>50</v>
      </c>
      <c r="C287" t="s">
        <v>116</v>
      </c>
      <c r="D287" t="s">
        <v>242</v>
      </c>
      <c r="E287" t="s">
        <v>156</v>
      </c>
      <c r="F287" t="s">
        <v>75</v>
      </c>
      <c r="G287" t="str">
        <f>VLOOKUP(A:A,INVENTÁRIO_04_2025!A:A,1,0)</f>
        <v>SPRDAPJPGRUXX</v>
      </c>
      <c r="H287" t="str">
        <f>VLOOKUP(A:A,INVENTÁRIO_06_2025!A:A,1,0)</f>
        <v>SPRDAPJPGRUXX</v>
      </c>
    </row>
    <row r="288" spans="1:8" ht="11.25" customHeight="1">
      <c r="A288" t="s">
        <v>255</v>
      </c>
      <c r="B288" t="s">
        <v>61</v>
      </c>
      <c r="C288" t="s">
        <v>116</v>
      </c>
      <c r="D288" t="s">
        <v>141</v>
      </c>
      <c r="E288" t="s">
        <v>156</v>
      </c>
      <c r="F288" t="s">
        <v>75</v>
      </c>
      <c r="G288" t="str">
        <f>VLOOKUP(A:A,INVENTÁRIO_04_2025!A:A,1,0)</f>
        <v>SPRDAPJPGRU05</v>
      </c>
      <c r="H288" t="str">
        <f>VLOOKUP(A:A,INVENTÁRIO_06_2025!A:A,1,0)</f>
        <v>SPRDAPJPGRU05</v>
      </c>
    </row>
    <row r="289" spans="1:8" ht="11.25" customHeight="1">
      <c r="A289" t="s">
        <v>254</v>
      </c>
      <c r="B289" t="s">
        <v>61</v>
      </c>
      <c r="C289" t="s">
        <v>116</v>
      </c>
      <c r="D289" t="s">
        <v>141</v>
      </c>
      <c r="E289" t="s">
        <v>156</v>
      </c>
      <c r="F289" t="s">
        <v>75</v>
      </c>
      <c r="G289" t="str">
        <f>VLOOKUP(A:A,INVENTÁRIO_04_2025!A:A,1,0)</f>
        <v>SPRDAPJPGRU04</v>
      </c>
      <c r="H289" t="str">
        <f>VLOOKUP(A:A,INVENTÁRIO_06_2025!A:A,1,0)</f>
        <v>SPRDAPJPGRU04</v>
      </c>
    </row>
    <row r="290" spans="1:8" ht="11.25" customHeight="1">
      <c r="A290" t="s">
        <v>253</v>
      </c>
      <c r="B290" t="s">
        <v>61</v>
      </c>
      <c r="C290" t="s">
        <v>116</v>
      </c>
      <c r="D290" t="s">
        <v>141</v>
      </c>
      <c r="E290" t="s">
        <v>156</v>
      </c>
      <c r="F290" t="s">
        <v>75</v>
      </c>
      <c r="G290" t="str">
        <f>VLOOKUP(A:A,INVENTÁRIO_04_2025!A:A,1,0)</f>
        <v>SPRDAPJPGRU03</v>
      </c>
      <c r="H290" t="str">
        <f>VLOOKUP(A:A,INVENTÁRIO_06_2025!A:A,1,0)</f>
        <v>SPRDAPJPGRU03</v>
      </c>
    </row>
    <row r="291" spans="1:8" ht="11.25" customHeight="1">
      <c r="A291" t="s">
        <v>244</v>
      </c>
      <c r="B291" t="s">
        <v>61</v>
      </c>
      <c r="C291" t="s">
        <v>116</v>
      </c>
      <c r="D291" t="s">
        <v>242</v>
      </c>
      <c r="E291" t="s">
        <v>156</v>
      </c>
      <c r="F291" t="s">
        <v>75</v>
      </c>
      <c r="G291" t="str">
        <f>VLOOKUP(A:A,INVENTÁRIO_04_2025!A:A,1,0)</f>
        <v>SPRDAPJPGRU02</v>
      </c>
      <c r="H291" t="str">
        <f>VLOOKUP(A:A,INVENTÁRIO_06_2025!A:A,1,0)</f>
        <v>SPRDAPJPGRU02</v>
      </c>
    </row>
    <row r="292" spans="1:8" ht="11.25" customHeight="1">
      <c r="A292" t="s">
        <v>479</v>
      </c>
      <c r="B292" t="s">
        <v>61</v>
      </c>
      <c r="C292" t="s">
        <v>116</v>
      </c>
      <c r="D292" t="s">
        <v>136</v>
      </c>
      <c r="E292" t="s">
        <v>156</v>
      </c>
      <c r="F292" t="s">
        <v>75</v>
      </c>
      <c r="G292" t="str">
        <f>VLOOKUP(A:A,INVENTÁRIO_04_2025!A:A,1,0)</f>
        <v>SPRDAPINVGRU09</v>
      </c>
      <c r="H292" t="str">
        <f>VLOOKUP(A:A,INVENTÁRIO_06_2025!A:A,1,0)</f>
        <v>SPRDAPINVGRU09</v>
      </c>
    </row>
    <row r="293" spans="1:8" ht="11.25" customHeight="1">
      <c r="A293" t="s">
        <v>227</v>
      </c>
      <c r="B293" t="s">
        <v>61</v>
      </c>
      <c r="C293" t="s">
        <v>116</v>
      </c>
      <c r="D293" t="s">
        <v>425</v>
      </c>
      <c r="E293" t="s">
        <v>156</v>
      </c>
      <c r="F293" t="s">
        <v>75</v>
      </c>
      <c r="G293" t="str">
        <f>VLOOKUP(A:A,INVENTÁRIO_04_2025!A:A,1,0)</f>
        <v>SPRDAPINVGRU07</v>
      </c>
      <c r="H293" t="str">
        <f>VLOOKUP(A:A,INVENTÁRIO_06_2025!A:A,1,0)</f>
        <v>SPRDAPINVGRU07</v>
      </c>
    </row>
    <row r="294" spans="1:8" ht="11.25" customHeight="1">
      <c r="A294" t="s">
        <v>226</v>
      </c>
      <c r="B294" t="s">
        <v>61</v>
      </c>
      <c r="C294" t="s">
        <v>116</v>
      </c>
      <c r="D294" t="s">
        <v>425</v>
      </c>
      <c r="E294" t="s">
        <v>156</v>
      </c>
      <c r="F294" t="s">
        <v>75</v>
      </c>
      <c r="G294" t="str">
        <f>VLOOKUP(A:A,INVENTÁRIO_04_2025!A:A,1,0)</f>
        <v>SPRDAPINVGRU04</v>
      </c>
      <c r="H294" t="str">
        <f>VLOOKUP(A:A,INVENTÁRIO_06_2025!A:A,1,0)</f>
        <v>SPRDAPINVGRU04</v>
      </c>
    </row>
    <row r="295" spans="1:8" ht="11.25" customHeight="1">
      <c r="A295" t="s">
        <v>225</v>
      </c>
      <c r="B295" t="s">
        <v>61</v>
      </c>
      <c r="C295" t="s">
        <v>116</v>
      </c>
      <c r="D295" t="s">
        <v>425</v>
      </c>
      <c r="E295" t="s">
        <v>156</v>
      </c>
      <c r="F295" t="s">
        <v>75</v>
      </c>
      <c r="G295" t="str">
        <f>VLOOKUP(A:A,INVENTÁRIO_04_2025!A:A,1,0)</f>
        <v>SPRDAPINVGRU03</v>
      </c>
      <c r="H295" t="str">
        <f>VLOOKUP(A:A,INVENTÁRIO_06_2025!A:A,1,0)</f>
        <v>SPRDAPINVGRU03</v>
      </c>
    </row>
    <row r="296" spans="1:8" ht="11.25" customHeight="1">
      <c r="A296" t="s">
        <v>224</v>
      </c>
      <c r="B296" t="s">
        <v>61</v>
      </c>
      <c r="C296" t="s">
        <v>116</v>
      </c>
      <c r="D296" t="s">
        <v>425</v>
      </c>
      <c r="E296" t="s">
        <v>156</v>
      </c>
      <c r="F296" t="s">
        <v>75</v>
      </c>
      <c r="G296" t="str">
        <f>VLOOKUP(A:A,INVENTÁRIO_04_2025!A:A,1,0)</f>
        <v>SPRDAPINVGRU02</v>
      </c>
      <c r="H296" t="str">
        <f>VLOOKUP(A:A,INVENTÁRIO_06_2025!A:A,1,0)</f>
        <v>SPRDAPINVGRU02</v>
      </c>
    </row>
    <row r="297" spans="1:8" ht="11.25" customHeight="1">
      <c r="A297" t="s">
        <v>223</v>
      </c>
      <c r="B297" t="s">
        <v>61</v>
      </c>
      <c r="C297" t="s">
        <v>116</v>
      </c>
      <c r="D297" t="s">
        <v>425</v>
      </c>
      <c r="E297" t="s">
        <v>156</v>
      </c>
      <c r="F297" t="s">
        <v>75</v>
      </c>
      <c r="G297" t="str">
        <f>VLOOKUP(A:A,INVENTÁRIO_04_2025!A:A,1,0)</f>
        <v>SPRDAPINVGRU01</v>
      </c>
      <c r="H297" t="str">
        <f>VLOOKUP(A:A,INVENTÁRIO_06_2025!A:A,1,0)</f>
        <v>SPRDAPINVGRU01</v>
      </c>
    </row>
    <row r="298" spans="1:8" ht="11.25" customHeight="1">
      <c r="A298" t="s">
        <v>375</v>
      </c>
      <c r="B298" t="s">
        <v>61</v>
      </c>
      <c r="C298" t="s">
        <v>116</v>
      </c>
      <c r="D298" t="s">
        <v>122</v>
      </c>
      <c r="E298" t="s">
        <v>156</v>
      </c>
      <c r="F298" t="s">
        <v>560</v>
      </c>
      <c r="G298" t="str">
        <f>VLOOKUP(A:A,INVENTÁRIO_04_2025!A:A,1,0)</f>
        <v>SPRDAPINTGRU01</v>
      </c>
      <c r="H298" t="str">
        <f>VLOOKUP(A:A,INVENTÁRIO_06_2025!A:A,1,0)</f>
        <v>SPRDAPINTGRU01</v>
      </c>
    </row>
    <row r="299" spans="1:8" ht="11.25" customHeight="1">
      <c r="A299" t="s">
        <v>160</v>
      </c>
      <c r="B299" t="s">
        <v>61</v>
      </c>
      <c r="C299" t="s">
        <v>51</v>
      </c>
      <c r="D299" t="s">
        <v>161</v>
      </c>
      <c r="E299" t="s">
        <v>156</v>
      </c>
      <c r="F299" t="s">
        <v>75</v>
      </c>
      <c r="G299" t="str">
        <f>VLOOKUP(A:A,INVENTÁRIO_04_2025!A:A,1,0)</f>
        <v>SPRDAPINSGRU01</v>
      </c>
      <c r="H299" t="str">
        <f>VLOOKUP(A:A,INVENTÁRIO_06_2025!A:A,1,0)</f>
        <v>SPRDAPINSGRU01</v>
      </c>
    </row>
    <row r="300" spans="1:8" ht="11.25" customHeight="1">
      <c r="A300" t="s">
        <v>374</v>
      </c>
      <c r="B300" t="s">
        <v>61</v>
      </c>
      <c r="C300" t="s">
        <v>116</v>
      </c>
      <c r="D300" t="s">
        <v>117</v>
      </c>
      <c r="E300" t="s">
        <v>156</v>
      </c>
      <c r="F300" t="s">
        <v>560</v>
      </c>
      <c r="G300" t="str">
        <f>VLOOKUP(A:A,INVENTÁRIO_04_2025!A:A,1,0)</f>
        <v>SPRDAPIMGRU02</v>
      </c>
      <c r="H300" t="str">
        <f>VLOOKUP(A:A,INVENTÁRIO_06_2025!A:A,1,0)</f>
        <v>SPRDAPIMGRU02</v>
      </c>
    </row>
    <row r="301" spans="1:8" ht="11.25" customHeight="1">
      <c r="A301" t="s">
        <v>373</v>
      </c>
      <c r="B301" t="s">
        <v>61</v>
      </c>
      <c r="C301" t="s">
        <v>116</v>
      </c>
      <c r="D301" t="s">
        <v>117</v>
      </c>
      <c r="E301" t="s">
        <v>156</v>
      </c>
      <c r="F301" t="s">
        <v>560</v>
      </c>
      <c r="G301" t="str">
        <f>VLOOKUP(A:A,INVENTÁRIO_04_2025!A:A,1,0)</f>
        <v>SPRDAPIMGRU01</v>
      </c>
      <c r="H301" t="str">
        <f>VLOOKUP(A:A,INVENTÁRIO_06_2025!A:A,1,0)</f>
        <v>SPRDAPIMGRU01</v>
      </c>
    </row>
    <row r="302" spans="1:8" ht="11.25" customHeight="1">
      <c r="A302" t="s">
        <v>183</v>
      </c>
      <c r="B302" t="s">
        <v>61</v>
      </c>
      <c r="C302" t="s">
        <v>116</v>
      </c>
      <c r="D302" t="s">
        <v>126</v>
      </c>
      <c r="E302" t="s">
        <v>156</v>
      </c>
      <c r="F302" t="s">
        <v>75</v>
      </c>
      <c r="G302" t="str">
        <f>VLOOKUP(A:A,INVENTÁRIO_04_2025!A:A,1,0)</f>
        <v>SPRDAPIMCGRU01</v>
      </c>
      <c r="H302" t="str">
        <f>VLOOKUP(A:A,INVENTÁRIO_06_2025!A:A,1,0)</f>
        <v>SPRDAPIMCGRU01</v>
      </c>
    </row>
    <row r="303" spans="1:8" ht="11.25" customHeight="1">
      <c r="A303" t="s">
        <v>243</v>
      </c>
      <c r="B303" t="s">
        <v>61</v>
      </c>
      <c r="C303" t="s">
        <v>116</v>
      </c>
      <c r="D303" t="s">
        <v>141</v>
      </c>
      <c r="E303" t="s">
        <v>156</v>
      </c>
      <c r="F303" t="s">
        <v>75</v>
      </c>
      <c r="G303" t="str">
        <f>VLOOKUP(A:A,INVENTÁRIO_04_2025!A:A,1,0)</f>
        <v>SPRDAPILMTGRU02</v>
      </c>
      <c r="H303" t="str">
        <f>VLOOKUP(A:A,INVENTÁRIO_06_2025!A:A,1,0)</f>
        <v>SPRDAPILMTGRU02</v>
      </c>
    </row>
    <row r="304" spans="1:8" ht="11.25" customHeight="1">
      <c r="A304" t="s">
        <v>478</v>
      </c>
      <c r="B304" t="s">
        <v>61</v>
      </c>
      <c r="C304" t="s">
        <v>116</v>
      </c>
      <c r="D304" t="s">
        <v>419</v>
      </c>
      <c r="E304" t="s">
        <v>156</v>
      </c>
      <c r="F304" t="s">
        <v>560</v>
      </c>
      <c r="G304" t="str">
        <f>VLOOKUP(A:A,INVENTÁRIO_04_2025!A:A,1,0)</f>
        <v>SPRDAPIKNGRU01</v>
      </c>
      <c r="H304" t="str">
        <f>VLOOKUP(A:A,INVENTÁRIO_06_2025!A:A,1,0)</f>
        <v>SPRDAPIKNGRU01</v>
      </c>
    </row>
    <row r="305" spans="1:8" ht="11.25" customHeight="1">
      <c r="A305" t="s">
        <v>299</v>
      </c>
      <c r="B305" t="s">
        <v>61</v>
      </c>
      <c r="C305" t="s">
        <v>51</v>
      </c>
      <c r="D305" t="s">
        <v>295</v>
      </c>
      <c r="E305" t="s">
        <v>156</v>
      </c>
      <c r="F305" t="s">
        <v>75</v>
      </c>
      <c r="G305" t="str">
        <f>VLOOKUP(A:A,INVENTÁRIO_04_2025!A:A,1,0)</f>
        <v>SPRDAPIHSGRU03</v>
      </c>
      <c r="H305" t="str">
        <f>VLOOKUP(A:A,INVENTÁRIO_06_2025!A:A,1,0)</f>
        <v>SPRDAPIHSGRU03</v>
      </c>
    </row>
    <row r="306" spans="1:8" ht="11.25" customHeight="1">
      <c r="A306" t="s">
        <v>298</v>
      </c>
      <c r="B306" t="s">
        <v>61</v>
      </c>
      <c r="C306" t="s">
        <v>51</v>
      </c>
      <c r="D306" t="s">
        <v>109</v>
      </c>
      <c r="E306" t="s">
        <v>156</v>
      </c>
      <c r="F306" t="s">
        <v>75</v>
      </c>
      <c r="G306" t="str">
        <f>VLOOKUP(A:A,INVENTÁRIO_04_2025!A:A,1,0)</f>
        <v>SPRDAPIHSGRU02</v>
      </c>
      <c r="H306" t="str">
        <f>VLOOKUP(A:A,INVENTÁRIO_06_2025!A:A,1,0)</f>
        <v>SPRDAPIHSGRU02</v>
      </c>
    </row>
    <row r="307" spans="1:8" ht="11.25" customHeight="1">
      <c r="A307" t="s">
        <v>646</v>
      </c>
      <c r="B307" t="s">
        <v>50</v>
      </c>
      <c r="C307" t="s">
        <v>51</v>
      </c>
      <c r="D307" t="s">
        <v>109</v>
      </c>
      <c r="E307" t="s">
        <v>156</v>
      </c>
      <c r="F307" t="s">
        <v>75</v>
      </c>
      <c r="G307" t="e">
        <f>VLOOKUP(A:A,INVENTÁRIO_04_2025!A:A,1,0)</f>
        <v>#N/A</v>
      </c>
      <c r="H307" t="str">
        <f>VLOOKUP(A:A,INVENTÁRIO_06_2025!A:A,1,0)</f>
        <v>SPRDAPIHSGRU01_RESTORE</v>
      </c>
    </row>
    <row r="308" spans="1:8" ht="11.25" customHeight="1">
      <c r="A308" t="s">
        <v>297</v>
      </c>
      <c r="B308" t="s">
        <v>61</v>
      </c>
      <c r="C308" t="s">
        <v>51</v>
      </c>
      <c r="D308" t="s">
        <v>109</v>
      </c>
      <c r="E308" t="s">
        <v>156</v>
      </c>
      <c r="F308" t="s">
        <v>75</v>
      </c>
      <c r="G308" t="str">
        <f>VLOOKUP(A:A,INVENTÁRIO_04_2025!A:A,1,0)</f>
        <v>SPRDAPIHSGRU01</v>
      </c>
      <c r="H308" t="str">
        <f>VLOOKUP(A:A,INVENTÁRIO_06_2025!A:A,1,0)</f>
        <v>SPRDAPIHSGRU01</v>
      </c>
    </row>
    <row r="309" spans="1:8" ht="11.25" customHeight="1">
      <c r="A309" t="s">
        <v>477</v>
      </c>
      <c r="B309" t="s">
        <v>61</v>
      </c>
      <c r="C309" t="s">
        <v>116</v>
      </c>
      <c r="D309" t="s">
        <v>419</v>
      </c>
      <c r="E309" t="s">
        <v>156</v>
      </c>
      <c r="F309" t="s">
        <v>75</v>
      </c>
      <c r="G309" t="str">
        <f>VLOOKUP(A:A,INVENTÁRIO_04_2025!A:A,1,0)</f>
        <v>SPRDAPIAMGRU11</v>
      </c>
      <c r="H309" t="str">
        <f>VLOOKUP(A:A,INVENTÁRIO_06_2025!A:A,1,0)</f>
        <v>SPRDAPIAMGRU11</v>
      </c>
    </row>
    <row r="310" spans="1:8" ht="11.25" customHeight="1">
      <c r="A310" t="s">
        <v>476</v>
      </c>
      <c r="B310" t="s">
        <v>61</v>
      </c>
      <c r="C310" t="s">
        <v>116</v>
      </c>
      <c r="D310" t="s">
        <v>419</v>
      </c>
      <c r="E310" t="s">
        <v>156</v>
      </c>
      <c r="F310" t="s">
        <v>75</v>
      </c>
      <c r="G310" t="str">
        <f>VLOOKUP(A:A,INVENTÁRIO_04_2025!A:A,1,0)</f>
        <v>SPRDAPIAMGRU10</v>
      </c>
      <c r="H310" t="str">
        <f>VLOOKUP(A:A,INVENTÁRIO_06_2025!A:A,1,0)</f>
        <v>SPRDAPIAMGRU10</v>
      </c>
    </row>
    <row r="311" spans="1:8" ht="11.25" customHeight="1">
      <c r="A311" t="s">
        <v>475</v>
      </c>
      <c r="B311" t="s">
        <v>61</v>
      </c>
      <c r="C311" t="s">
        <v>116</v>
      </c>
      <c r="D311" t="s">
        <v>419</v>
      </c>
      <c r="E311" t="s">
        <v>156</v>
      </c>
      <c r="F311" t="s">
        <v>75</v>
      </c>
      <c r="G311" t="str">
        <f>VLOOKUP(A:A,INVENTÁRIO_04_2025!A:A,1,0)</f>
        <v>SPRDAPIAMGRU09</v>
      </c>
      <c r="H311" t="str">
        <f>VLOOKUP(A:A,INVENTÁRIO_06_2025!A:A,1,0)</f>
        <v>SPRDAPIAMGRU09</v>
      </c>
    </row>
    <row r="312" spans="1:8" ht="11.25" customHeight="1">
      <c r="A312" t="s">
        <v>474</v>
      </c>
      <c r="B312" t="s">
        <v>61</v>
      </c>
      <c r="C312" t="s">
        <v>116</v>
      </c>
      <c r="D312" t="s">
        <v>419</v>
      </c>
      <c r="E312" t="s">
        <v>156</v>
      </c>
      <c r="F312" t="s">
        <v>75</v>
      </c>
      <c r="G312" t="str">
        <f>VLOOKUP(A:A,INVENTÁRIO_04_2025!A:A,1,0)</f>
        <v>SPRDAPIAMGRU08</v>
      </c>
      <c r="H312" t="str">
        <f>VLOOKUP(A:A,INVENTÁRIO_06_2025!A:A,1,0)</f>
        <v>SPRDAPIAMGRU08</v>
      </c>
    </row>
    <row r="313" spans="1:8" ht="11.25" customHeight="1">
      <c r="A313" t="s">
        <v>473</v>
      </c>
      <c r="B313" t="s">
        <v>61</v>
      </c>
      <c r="C313" t="s">
        <v>116</v>
      </c>
      <c r="D313" t="s">
        <v>419</v>
      </c>
      <c r="E313" t="s">
        <v>156</v>
      </c>
      <c r="F313" t="s">
        <v>75</v>
      </c>
      <c r="G313" t="str">
        <f>VLOOKUP(A:A,INVENTÁRIO_04_2025!A:A,1,0)</f>
        <v>SPRDAPIAMGRU07</v>
      </c>
      <c r="H313" t="str">
        <f>VLOOKUP(A:A,INVENTÁRIO_06_2025!A:A,1,0)</f>
        <v>SPRDAPIAMGRU07</v>
      </c>
    </row>
    <row r="314" spans="1:8" ht="11.25" customHeight="1">
      <c r="A314" t="s">
        <v>472</v>
      </c>
      <c r="B314" t="s">
        <v>61</v>
      </c>
      <c r="C314" t="s">
        <v>116</v>
      </c>
      <c r="D314" t="s">
        <v>419</v>
      </c>
      <c r="E314" t="s">
        <v>156</v>
      </c>
      <c r="F314" t="s">
        <v>75</v>
      </c>
      <c r="G314" t="str">
        <f>VLOOKUP(A:A,INVENTÁRIO_04_2025!A:A,1,0)</f>
        <v>SPRDAPIAMGRU06</v>
      </c>
      <c r="H314" t="str">
        <f>VLOOKUP(A:A,INVENTÁRIO_06_2025!A:A,1,0)</f>
        <v>SPRDAPIAMGRU06</v>
      </c>
    </row>
    <row r="315" spans="1:8" ht="11.25" customHeight="1">
      <c r="A315" t="s">
        <v>471</v>
      </c>
      <c r="B315" t="s">
        <v>61</v>
      </c>
      <c r="C315" t="s">
        <v>116</v>
      </c>
      <c r="D315" t="s">
        <v>419</v>
      </c>
      <c r="E315" t="s">
        <v>156</v>
      </c>
      <c r="F315" t="s">
        <v>75</v>
      </c>
      <c r="G315" t="str">
        <f>VLOOKUP(A:A,INVENTÁRIO_04_2025!A:A,1,0)</f>
        <v>SPRDAPIAMGRU05</v>
      </c>
      <c r="H315" t="str">
        <f>VLOOKUP(A:A,INVENTÁRIO_06_2025!A:A,1,0)</f>
        <v>SPRDAPIAMGRU05</v>
      </c>
    </row>
    <row r="316" spans="1:8" ht="11.25" customHeight="1">
      <c r="A316" t="s">
        <v>252</v>
      </c>
      <c r="B316" t="s">
        <v>61</v>
      </c>
      <c r="C316" t="s">
        <v>116</v>
      </c>
      <c r="D316" t="s">
        <v>136</v>
      </c>
      <c r="E316" t="s">
        <v>156</v>
      </c>
      <c r="F316" t="s">
        <v>75</v>
      </c>
      <c r="G316" t="str">
        <f>VLOOKUP(A:A,INVENTÁRIO_04_2025!A:A,1,0)</f>
        <v>SPRDAPHSEGRU06</v>
      </c>
      <c r="H316" t="str">
        <f>VLOOKUP(A:A,INVENTÁRIO_06_2025!A:A,1,0)</f>
        <v>SPRDAPHSEGRU06</v>
      </c>
    </row>
    <row r="317" spans="1:8" ht="11.25" customHeight="1">
      <c r="A317" t="s">
        <v>222</v>
      </c>
      <c r="B317" t="s">
        <v>61</v>
      </c>
      <c r="C317" t="s">
        <v>116</v>
      </c>
      <c r="D317" t="s">
        <v>425</v>
      </c>
      <c r="E317" t="s">
        <v>156</v>
      </c>
      <c r="F317" t="s">
        <v>75</v>
      </c>
      <c r="G317" t="str">
        <f>VLOOKUP(A:A,INVENTÁRIO_04_2025!A:A,1,0)</f>
        <v>SPRDAPHSEGRU02</v>
      </c>
      <c r="H317" t="str">
        <f>VLOOKUP(A:A,INVENTÁRIO_06_2025!A:A,1,0)</f>
        <v>SPRDAPHSEGRU02</v>
      </c>
    </row>
    <row r="318" spans="1:8" ht="11.25" customHeight="1">
      <c r="A318" t="s">
        <v>221</v>
      </c>
      <c r="B318" t="s">
        <v>61</v>
      </c>
      <c r="C318" t="s">
        <v>116</v>
      </c>
      <c r="D318" t="s">
        <v>425</v>
      </c>
      <c r="E318" t="s">
        <v>156</v>
      </c>
      <c r="F318" t="s">
        <v>75</v>
      </c>
      <c r="G318" t="str">
        <f>VLOOKUP(A:A,INVENTÁRIO_04_2025!A:A,1,0)</f>
        <v>SPRDAPHSEGRU01</v>
      </c>
      <c r="H318" t="str">
        <f>VLOOKUP(A:A,INVENTÁRIO_06_2025!A:A,1,0)</f>
        <v>SPRDAPHSEGRU01</v>
      </c>
    </row>
    <row r="319" spans="1:8" ht="11.25" customHeight="1">
      <c r="A319" t="s">
        <v>342</v>
      </c>
      <c r="B319" t="s">
        <v>61</v>
      </c>
      <c r="C319" t="s">
        <v>116</v>
      </c>
      <c r="D319" t="s">
        <v>341</v>
      </c>
      <c r="E319" t="s">
        <v>156</v>
      </c>
      <c r="F319" t="s">
        <v>560</v>
      </c>
      <c r="G319" t="str">
        <f>VLOOKUP(A:A,INVENTÁRIO_04_2025!A:A,1,0)</f>
        <v>SPRDAPHHGRU01</v>
      </c>
      <c r="H319" t="str">
        <f>VLOOKUP(A:A,INVENTÁRIO_06_2025!A:A,1,0)</f>
        <v>SPRDAPHHGRU01</v>
      </c>
    </row>
    <row r="320" spans="1:8" ht="11.25" customHeight="1">
      <c r="A320" t="s">
        <v>430</v>
      </c>
      <c r="B320" t="s">
        <v>61</v>
      </c>
      <c r="C320" t="s">
        <v>116</v>
      </c>
      <c r="D320" t="s">
        <v>671</v>
      </c>
      <c r="E320" t="s">
        <v>156</v>
      </c>
      <c r="F320" t="s">
        <v>560</v>
      </c>
      <c r="G320" t="str">
        <f>VLOOKUP(A:A,INVENTÁRIO_04_2025!A:A,1,0)</f>
        <v>SPRDAPHDMGRU01</v>
      </c>
      <c r="H320" t="str">
        <f>VLOOKUP(A:A,INVENTÁRIO_06_2025!A:A,1,0)</f>
        <v>SPRDAPHDMGRU01</v>
      </c>
    </row>
    <row r="321" spans="1:8" ht="11.25" customHeight="1">
      <c r="A321" t="s">
        <v>470</v>
      </c>
      <c r="B321" t="s">
        <v>61</v>
      </c>
      <c r="C321" t="s">
        <v>116</v>
      </c>
      <c r="D321" t="s">
        <v>136</v>
      </c>
      <c r="E321" t="s">
        <v>156</v>
      </c>
      <c r="F321" t="s">
        <v>560</v>
      </c>
      <c r="G321" t="str">
        <f>VLOOKUP(A:A,INVENTÁRIO_04_2025!A:A,1,0)</f>
        <v>SPRDAPGWBIGRU03</v>
      </c>
      <c r="H321" t="str">
        <f>VLOOKUP(A:A,INVENTÁRIO_06_2025!A:A,1,0)</f>
        <v>SPRDAPGWBIGRU03</v>
      </c>
    </row>
    <row r="322" spans="1:8" ht="11.25" customHeight="1">
      <c r="A322" t="s">
        <v>540</v>
      </c>
      <c r="B322" t="s">
        <v>61</v>
      </c>
      <c r="C322" t="s">
        <v>51</v>
      </c>
      <c r="D322" t="s">
        <v>114</v>
      </c>
      <c r="E322" t="s">
        <v>156</v>
      </c>
      <c r="F322" t="s">
        <v>560</v>
      </c>
      <c r="G322" t="str">
        <f>VLOOKUP(A:A,INVENTÁRIO_04_2025!A:A,1,0)</f>
        <v>SPRDAPGRFGRU01</v>
      </c>
      <c r="H322" t="str">
        <f>VLOOKUP(A:A,INVENTÁRIO_06_2025!A:A,1,0)</f>
        <v>SPRDAPGRFGRU01</v>
      </c>
    </row>
    <row r="323" spans="1:8" ht="11.25" customHeight="1">
      <c r="A323" t="s">
        <v>539</v>
      </c>
      <c r="B323" t="s">
        <v>61</v>
      </c>
      <c r="C323" t="s">
        <v>51</v>
      </c>
      <c r="D323" t="s">
        <v>114</v>
      </c>
      <c r="E323" t="s">
        <v>156</v>
      </c>
      <c r="F323" t="s">
        <v>560</v>
      </c>
      <c r="G323" t="str">
        <f>VLOOKUP(A:A,INVENTÁRIO_04_2025!A:A,1,0)</f>
        <v>SPRDAPGLPIGRU02</v>
      </c>
      <c r="H323" t="str">
        <f>VLOOKUP(A:A,INVENTÁRIO_06_2025!A:A,1,0)</f>
        <v>SPRDAPGLPIGRU02</v>
      </c>
    </row>
    <row r="324" spans="1:8" ht="11.25" customHeight="1">
      <c r="A324" t="s">
        <v>538</v>
      </c>
      <c r="B324" t="s">
        <v>61</v>
      </c>
      <c r="C324" t="s">
        <v>51</v>
      </c>
      <c r="D324" t="s">
        <v>114</v>
      </c>
      <c r="E324" t="s">
        <v>156</v>
      </c>
      <c r="F324" t="s">
        <v>560</v>
      </c>
      <c r="G324" t="str">
        <f>VLOOKUP(A:A,INVENTÁRIO_04_2025!A:A,1,0)</f>
        <v>SPRDAPGLPIGRU01</v>
      </c>
      <c r="H324" t="str">
        <f>VLOOKUP(A:A,INVENTÁRIO_06_2025!A:A,1,0)</f>
        <v>SPRDAPGLPIGRU01</v>
      </c>
    </row>
    <row r="325" spans="1:8" ht="11.25" customHeight="1">
      <c r="A325" t="s">
        <v>308</v>
      </c>
      <c r="B325" t="s">
        <v>61</v>
      </c>
      <c r="C325" t="s">
        <v>51</v>
      </c>
      <c r="D325" t="s">
        <v>114</v>
      </c>
      <c r="E325" t="s">
        <v>156</v>
      </c>
      <c r="F325" t="s">
        <v>75</v>
      </c>
      <c r="G325" t="str">
        <f>VLOOKUP(A:A,INVENTÁRIO_04_2025!A:A,1,0)</f>
        <v>SPRDAPGFNGRU02</v>
      </c>
      <c r="H325" t="str">
        <f>VLOOKUP(A:A,INVENTÁRIO_06_2025!A:A,1,0)</f>
        <v>SPRDAPGFNGRU02</v>
      </c>
    </row>
    <row r="326" spans="1:8" ht="11.25" customHeight="1">
      <c r="A326" t="s">
        <v>372</v>
      </c>
      <c r="B326" t="s">
        <v>61</v>
      </c>
      <c r="C326" t="s">
        <v>116</v>
      </c>
      <c r="D326" t="s">
        <v>117</v>
      </c>
      <c r="E326" t="s">
        <v>156</v>
      </c>
      <c r="F326" t="s">
        <v>560</v>
      </c>
      <c r="G326" t="str">
        <f>VLOOKUP(A:A,INVENTÁRIO_04_2025!A:A,1,0)</f>
        <v>SPRDAPGEDGRU04</v>
      </c>
      <c r="H326" t="str">
        <f>VLOOKUP(A:A,INVENTÁRIO_06_2025!A:A,1,0)</f>
        <v>SPRDAPGEDGRU04</v>
      </c>
    </row>
    <row r="327" spans="1:8" ht="11.25" customHeight="1">
      <c r="A327" t="s">
        <v>371</v>
      </c>
      <c r="B327" t="s">
        <v>61</v>
      </c>
      <c r="C327" t="s">
        <v>116</v>
      </c>
      <c r="D327" t="s">
        <v>117</v>
      </c>
      <c r="E327" t="s">
        <v>156</v>
      </c>
      <c r="F327" t="s">
        <v>560</v>
      </c>
      <c r="G327" t="str">
        <f>VLOOKUP(A:A,INVENTÁRIO_04_2025!A:A,1,0)</f>
        <v>SPRDAPGEDGRU03</v>
      </c>
      <c r="H327" t="str">
        <f>VLOOKUP(A:A,INVENTÁRIO_06_2025!A:A,1,0)</f>
        <v>SPRDAPGEDGRU03</v>
      </c>
    </row>
    <row r="328" spans="1:8" ht="11.25" customHeight="1">
      <c r="A328" t="s">
        <v>370</v>
      </c>
      <c r="B328" t="s">
        <v>61</v>
      </c>
      <c r="C328" t="s">
        <v>116</v>
      </c>
      <c r="D328" t="s">
        <v>117</v>
      </c>
      <c r="E328" t="s">
        <v>156</v>
      </c>
      <c r="F328" t="s">
        <v>560</v>
      </c>
      <c r="G328" t="str">
        <f>VLOOKUP(A:A,INVENTÁRIO_04_2025!A:A,1,0)</f>
        <v>SPRDAPGEDGRU02</v>
      </c>
      <c r="H328" t="str">
        <f>VLOOKUP(A:A,INVENTÁRIO_06_2025!A:A,1,0)</f>
        <v>SPRDAPGEDGRU02</v>
      </c>
    </row>
    <row r="329" spans="1:8" ht="11.25" customHeight="1">
      <c r="A329" t="s">
        <v>369</v>
      </c>
      <c r="B329" t="s">
        <v>61</v>
      </c>
      <c r="C329" t="s">
        <v>116</v>
      </c>
      <c r="D329" t="s">
        <v>117</v>
      </c>
      <c r="E329" t="s">
        <v>156</v>
      </c>
      <c r="F329" t="s">
        <v>560</v>
      </c>
      <c r="G329" t="str">
        <f>VLOOKUP(A:A,INVENTÁRIO_04_2025!A:A,1,0)</f>
        <v>SPRDAPGEDGRU01</v>
      </c>
      <c r="H329" t="str">
        <f>VLOOKUP(A:A,INVENTÁRIO_06_2025!A:A,1,0)</f>
        <v>SPRDAPGEDGRU01</v>
      </c>
    </row>
    <row r="330" spans="1:8" ht="11.25" customHeight="1">
      <c r="A330" t="s">
        <v>220</v>
      </c>
      <c r="B330" t="s">
        <v>61</v>
      </c>
      <c r="C330" t="s">
        <v>116</v>
      </c>
      <c r="D330" t="s">
        <v>136</v>
      </c>
      <c r="E330" t="s">
        <v>156</v>
      </c>
      <c r="F330" t="s">
        <v>75</v>
      </c>
      <c r="G330" t="str">
        <f>VLOOKUP(A:A,INVENTÁRIO_04_2025!A:A,1,0)</f>
        <v>SPRDAPFSGRU01</v>
      </c>
      <c r="H330" t="str">
        <f>VLOOKUP(A:A,INVENTÁRIO_06_2025!A:A,1,0)</f>
        <v>SPRDAPFSGRU01</v>
      </c>
    </row>
    <row r="331" spans="1:8" ht="11.25" customHeight="1">
      <c r="A331" t="s">
        <v>368</v>
      </c>
      <c r="B331" t="s">
        <v>61</v>
      </c>
      <c r="C331" t="s">
        <v>116</v>
      </c>
      <c r="D331" t="s">
        <v>117</v>
      </c>
      <c r="E331" t="s">
        <v>156</v>
      </c>
      <c r="F331" t="s">
        <v>560</v>
      </c>
      <c r="G331" t="str">
        <f>VLOOKUP(A:A,INVENTÁRIO_04_2025!A:A,1,0)</f>
        <v>SPRDAPFSCCGRU01</v>
      </c>
      <c r="H331" t="str">
        <f>VLOOKUP(A:A,INVENTÁRIO_06_2025!A:A,1,0)</f>
        <v>SPRDAPFSCCGRU01</v>
      </c>
    </row>
    <row r="332" spans="1:8" ht="11.25" customHeight="1">
      <c r="A332" t="s">
        <v>469</v>
      </c>
      <c r="B332" t="s">
        <v>61</v>
      </c>
      <c r="C332" t="s">
        <v>116</v>
      </c>
      <c r="D332" t="s">
        <v>153</v>
      </c>
      <c r="E332" t="s">
        <v>156</v>
      </c>
      <c r="F332" t="s">
        <v>560</v>
      </c>
      <c r="G332" t="str">
        <f>VLOOKUP(A:A,INVENTÁRIO_04_2025!A:A,1,0)</f>
        <v>SPRDAPFILAGRU01</v>
      </c>
      <c r="H332" t="str">
        <f>VLOOKUP(A:A,INVENTÁRIO_06_2025!A:A,1,0)</f>
        <v>SPRDAPFILAGRU01</v>
      </c>
    </row>
    <row r="333" spans="1:8" ht="11.25" customHeight="1">
      <c r="A333" t="s">
        <v>367</v>
      </c>
      <c r="B333" t="s">
        <v>50</v>
      </c>
      <c r="C333" t="s">
        <v>116</v>
      </c>
      <c r="D333" t="s">
        <v>117</v>
      </c>
      <c r="E333" t="s">
        <v>156</v>
      </c>
      <c r="F333" t="s">
        <v>560</v>
      </c>
      <c r="G333" t="str">
        <f>VLOOKUP(A:A,INVENTÁRIO_04_2025!A:A,1,0)</f>
        <v>SPRDAPEVGRU01</v>
      </c>
      <c r="H333" t="str">
        <f>VLOOKUP(A:A,INVENTÁRIO_06_2025!A:A,1,0)</f>
        <v>SPRDAPEVGRU01</v>
      </c>
    </row>
    <row r="334" spans="1:8" ht="11.25" customHeight="1">
      <c r="A334" t="s">
        <v>279</v>
      </c>
      <c r="B334" t="s">
        <v>61</v>
      </c>
      <c r="C334" t="s">
        <v>51</v>
      </c>
      <c r="D334" t="s">
        <v>280</v>
      </c>
      <c r="E334" t="s">
        <v>156</v>
      </c>
      <c r="F334" t="s">
        <v>75</v>
      </c>
      <c r="G334" t="str">
        <f>VLOOKUP(A:A,INVENTÁRIO_04_2025!A:A,1,0)</f>
        <v>SPRDAPEVFWGRU01</v>
      </c>
      <c r="H334" t="str">
        <f>VLOOKUP(A:A,INVENTÁRIO_06_2025!A:A,1,0)</f>
        <v>SPRDAPEVFWGRU01</v>
      </c>
    </row>
    <row r="335" spans="1:8" ht="11.25" customHeight="1">
      <c r="A335" t="s">
        <v>366</v>
      </c>
      <c r="B335" t="s">
        <v>61</v>
      </c>
      <c r="C335" t="s">
        <v>116</v>
      </c>
      <c r="D335" t="s">
        <v>122</v>
      </c>
      <c r="E335" t="s">
        <v>156</v>
      </c>
      <c r="F335" t="s">
        <v>560</v>
      </c>
      <c r="G335" t="str">
        <f>VLOOKUP(A:A,INVENTÁRIO_04_2025!A:A,1,0)</f>
        <v>SPRDAPEVDGRU01</v>
      </c>
      <c r="H335" t="str">
        <f>VLOOKUP(A:A,INVENTÁRIO_06_2025!A:A,1,0)</f>
        <v>SPRDAPEVDGRU01</v>
      </c>
    </row>
    <row r="336" spans="1:8" ht="11.25" customHeight="1">
      <c r="A336" t="s">
        <v>467</v>
      </c>
      <c r="B336" t="s">
        <v>61</v>
      </c>
      <c r="C336" t="s">
        <v>116</v>
      </c>
      <c r="D336" t="s">
        <v>425</v>
      </c>
      <c r="E336" t="s">
        <v>156</v>
      </c>
      <c r="F336" t="s">
        <v>560</v>
      </c>
      <c r="G336" t="str">
        <f>VLOOKUP(A:A,INVENTÁRIO_04_2025!A:A,1,0)</f>
        <v>SPRDAPESTGRU01</v>
      </c>
      <c r="H336" t="str">
        <f>VLOOKUP(A:A,INVENTÁRIO_06_2025!A:A,1,0)</f>
        <v>SPRDAPESTGRU01</v>
      </c>
    </row>
    <row r="337" spans="1:8" ht="11.25" customHeight="1">
      <c r="A337" t="s">
        <v>218</v>
      </c>
      <c r="B337" t="s">
        <v>61</v>
      </c>
      <c r="C337" t="s">
        <v>116</v>
      </c>
      <c r="D337" t="s">
        <v>572</v>
      </c>
      <c r="E337" t="s">
        <v>156</v>
      </c>
      <c r="F337" t="s">
        <v>75</v>
      </c>
      <c r="G337" t="str">
        <f>VLOOKUP(A:A,INVENTÁRIO_04_2025!A:A,1,0)</f>
        <v>SPRDAPESBGRU12</v>
      </c>
      <c r="H337" t="str">
        <f>VLOOKUP(A:A,INVENTÁRIO_06_2025!A:A,1,0)</f>
        <v>SPRDAPESBGRU12</v>
      </c>
    </row>
    <row r="338" spans="1:8" ht="11.25" customHeight="1">
      <c r="A338" t="s">
        <v>365</v>
      </c>
      <c r="B338" t="s">
        <v>61</v>
      </c>
      <c r="C338" t="s">
        <v>116</v>
      </c>
      <c r="D338" t="s">
        <v>117</v>
      </c>
      <c r="E338" t="s">
        <v>156</v>
      </c>
      <c r="F338" t="s">
        <v>560</v>
      </c>
      <c r="G338" t="str">
        <f>VLOOKUP(A:A,INVENTÁRIO_04_2025!A:A,1,0)</f>
        <v>SPRDAPENVGRU02</v>
      </c>
      <c r="H338" t="str">
        <f>VLOOKUP(A:A,INVENTÁRIO_06_2025!A:A,1,0)</f>
        <v>SPRDAPENVGRU02</v>
      </c>
    </row>
    <row r="339" spans="1:8" ht="11.25" customHeight="1">
      <c r="A339" t="s">
        <v>364</v>
      </c>
      <c r="B339" t="s">
        <v>61</v>
      </c>
      <c r="C339" t="s">
        <v>116</v>
      </c>
      <c r="D339" t="s">
        <v>163</v>
      </c>
      <c r="E339" t="s">
        <v>156</v>
      </c>
      <c r="F339" t="s">
        <v>560</v>
      </c>
      <c r="G339" t="str">
        <f>VLOOKUP(A:A,INVENTÁRIO_04_2025!A:A,1,0)</f>
        <v>SPRDAPENVGRU01</v>
      </c>
      <c r="H339" t="str">
        <f>VLOOKUP(A:A,INVENTÁRIO_06_2025!A:A,1,0)</f>
        <v>SPRDAPENVGRU01</v>
      </c>
    </row>
    <row r="340" spans="1:8" ht="11.25" customHeight="1">
      <c r="A340" t="s">
        <v>182</v>
      </c>
      <c r="B340" t="s">
        <v>61</v>
      </c>
      <c r="C340" t="s">
        <v>116</v>
      </c>
      <c r="D340" t="s">
        <v>672</v>
      </c>
      <c r="E340" t="s">
        <v>156</v>
      </c>
      <c r="F340" t="s">
        <v>75</v>
      </c>
      <c r="G340" t="str">
        <f>VLOOKUP(A:A,INVENTÁRIO_04_2025!A:A,1,0)</f>
        <v>SPRDAPEGTGRU06</v>
      </c>
      <c r="H340" t="str">
        <f>VLOOKUP(A:A,INVENTÁRIO_06_2025!A:A,1,0)</f>
        <v>SPRDAPEGTGRU06</v>
      </c>
    </row>
    <row r="341" spans="1:8" ht="11.25" customHeight="1">
      <c r="A341" t="s">
        <v>181</v>
      </c>
      <c r="B341" t="s">
        <v>61</v>
      </c>
      <c r="C341" t="s">
        <v>116</v>
      </c>
      <c r="D341" t="s">
        <v>672</v>
      </c>
      <c r="E341" t="s">
        <v>156</v>
      </c>
      <c r="F341" t="s">
        <v>75</v>
      </c>
      <c r="G341" t="str">
        <f>VLOOKUP(A:A,INVENTÁRIO_04_2025!A:A,1,0)</f>
        <v>SPRDAPEGTGRU05</v>
      </c>
      <c r="H341" t="str">
        <f>VLOOKUP(A:A,INVENTÁRIO_06_2025!A:A,1,0)</f>
        <v>SPRDAPEGTGRU05</v>
      </c>
    </row>
    <row r="342" spans="1:8" ht="11.25" customHeight="1">
      <c r="A342" t="s">
        <v>180</v>
      </c>
      <c r="B342" t="s">
        <v>61</v>
      </c>
      <c r="C342" t="s">
        <v>116</v>
      </c>
      <c r="D342" t="s">
        <v>174</v>
      </c>
      <c r="E342" t="s">
        <v>156</v>
      </c>
      <c r="F342" t="s">
        <v>75</v>
      </c>
      <c r="G342" t="str">
        <f>VLOOKUP(A:A,INVENTÁRIO_04_2025!A:A,1,0)</f>
        <v>SPRDAPEGTGRU04 - T2 DES</v>
      </c>
      <c r="H342" t="str">
        <f>VLOOKUP(A:A,INVENTÁRIO_06_2025!A:A,1,0)</f>
        <v>SPRDAPEGTGRU04 - T2 DES</v>
      </c>
    </row>
    <row r="343" spans="1:8" ht="11.25" customHeight="1">
      <c r="A343" t="s">
        <v>179</v>
      </c>
      <c r="B343" t="s">
        <v>61</v>
      </c>
      <c r="C343" t="s">
        <v>116</v>
      </c>
      <c r="D343" t="s">
        <v>174</v>
      </c>
      <c r="E343" t="s">
        <v>156</v>
      </c>
      <c r="F343" t="s">
        <v>75</v>
      </c>
      <c r="G343" t="str">
        <f>VLOOKUP(A:A,INVENTÁRIO_04_2025!A:A,1,0)</f>
        <v>SPRDAPEGTGRU03 - T3 DES</v>
      </c>
      <c r="H343" t="str">
        <f>VLOOKUP(A:A,INVENTÁRIO_06_2025!A:A,1,0)</f>
        <v>SPRDAPEGTGRU03 - T3 DES</v>
      </c>
    </row>
    <row r="344" spans="1:8" ht="11.25" customHeight="1">
      <c r="A344" t="s">
        <v>178</v>
      </c>
      <c r="B344" t="s">
        <v>61</v>
      </c>
      <c r="C344" t="s">
        <v>116</v>
      </c>
      <c r="D344" t="s">
        <v>174</v>
      </c>
      <c r="E344" t="s">
        <v>156</v>
      </c>
      <c r="F344" t="s">
        <v>75</v>
      </c>
      <c r="G344" t="str">
        <f>VLOOKUP(A:A,INVENTÁRIO_04_2025!A:A,1,0)</f>
        <v>SPRDAPEGTGRU02 - T2 EMB</v>
      </c>
      <c r="H344" t="str">
        <f>VLOOKUP(A:A,INVENTÁRIO_06_2025!A:A,1,0)</f>
        <v>SPRDAPEGTGRU02 - T2 EMB</v>
      </c>
    </row>
    <row r="345" spans="1:8" ht="11.25" customHeight="1">
      <c r="A345" t="s">
        <v>177</v>
      </c>
      <c r="B345" t="s">
        <v>61</v>
      </c>
      <c r="C345" t="s">
        <v>116</v>
      </c>
      <c r="D345" t="s">
        <v>174</v>
      </c>
      <c r="E345" t="s">
        <v>156</v>
      </c>
      <c r="F345" t="s">
        <v>75</v>
      </c>
      <c r="G345" t="str">
        <f>VLOOKUP(A:A,INVENTÁRIO_04_2025!A:A,1,0)</f>
        <v>SPRDAPEGTGRU01 - T3 EMB</v>
      </c>
      <c r="H345" t="str">
        <f>VLOOKUP(A:A,INVENTÁRIO_06_2025!A:A,1,0)</f>
        <v>SPRDAPEGTGRU01 - T3 EMB</v>
      </c>
    </row>
    <row r="346" spans="1:8" ht="11.25" customHeight="1">
      <c r="A346" t="s">
        <v>216</v>
      </c>
      <c r="B346" t="s">
        <v>61</v>
      </c>
      <c r="C346" t="s">
        <v>116</v>
      </c>
      <c r="D346" t="s">
        <v>419</v>
      </c>
      <c r="E346" t="s">
        <v>156</v>
      </c>
      <c r="F346" t="s">
        <v>75</v>
      </c>
      <c r="G346" t="str">
        <f>VLOOKUP(A:A,INVENTÁRIO_04_2025!A:A,1,0)</f>
        <v>SPRDAPEDIGRU01</v>
      </c>
      <c r="H346" t="str">
        <f>VLOOKUP(A:A,INVENTÁRIO_06_2025!A:A,1,0)</f>
        <v>SPRDAPEDIGRU01</v>
      </c>
    </row>
    <row r="347" spans="1:8" ht="11.25" customHeight="1">
      <c r="A347" t="s">
        <v>251</v>
      </c>
      <c r="B347" t="s">
        <v>61</v>
      </c>
      <c r="C347" t="s">
        <v>116</v>
      </c>
      <c r="D347" t="s">
        <v>247</v>
      </c>
      <c r="E347" t="s">
        <v>156</v>
      </c>
      <c r="F347" t="s">
        <v>75</v>
      </c>
      <c r="G347" t="str">
        <f>VLOOKUP(A:A,INVENTÁRIO_04_2025!A:A,1,0)</f>
        <v>SPRDAPEDI7GRU01</v>
      </c>
      <c r="H347" t="str">
        <f>VLOOKUP(A:A,INVENTÁRIO_06_2025!A:A,1,0)</f>
        <v>SPRDAPEDI7GRU01</v>
      </c>
    </row>
    <row r="348" spans="1:8" ht="11.25" customHeight="1">
      <c r="A348" t="s">
        <v>104</v>
      </c>
      <c r="B348" t="s">
        <v>61</v>
      </c>
      <c r="C348" t="s">
        <v>51</v>
      </c>
      <c r="D348" t="s">
        <v>85</v>
      </c>
      <c r="E348" t="s">
        <v>53</v>
      </c>
      <c r="F348" t="s">
        <v>58</v>
      </c>
      <c r="G348" t="str">
        <f>VLOOKUP(A:A,INVENTÁRIO_04_2025!A:A,1,0)</f>
        <v>SPRDAPECGRU06</v>
      </c>
      <c r="H348" t="str">
        <f>VLOOKUP(A:A,INVENTÁRIO_06_2025!A:A,1,0)</f>
        <v>SPRDAPECGRU06</v>
      </c>
    </row>
    <row r="349" spans="1:8" ht="11.25" customHeight="1">
      <c r="A349" t="s">
        <v>103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VLOOKUP(A:A,INVENTÁRIO_04_2025!A:A,1,0)</f>
        <v>SPRDAPECGRU05</v>
      </c>
      <c r="H349" t="str">
        <f>VLOOKUP(A:A,INVENTÁRIO_06_2025!A:A,1,0)</f>
        <v>SPRDAPECGRU05</v>
      </c>
    </row>
    <row r="350" spans="1:8" ht="11.25" customHeight="1">
      <c r="A350" t="s">
        <v>102</v>
      </c>
      <c r="B350" t="s">
        <v>61</v>
      </c>
      <c r="C350" t="s">
        <v>51</v>
      </c>
      <c r="D350" t="s">
        <v>85</v>
      </c>
      <c r="E350" t="s">
        <v>53</v>
      </c>
      <c r="F350" t="s">
        <v>58</v>
      </c>
      <c r="G350" t="str">
        <f>VLOOKUP(A:A,INVENTÁRIO_04_2025!A:A,1,0)</f>
        <v>SPRDAPECGRU04</v>
      </c>
      <c r="H350" t="str">
        <f>VLOOKUP(A:A,INVENTÁRIO_06_2025!A:A,1,0)</f>
        <v>SPRDAPECGRU04</v>
      </c>
    </row>
    <row r="351" spans="1:8" ht="11.25" customHeight="1">
      <c r="A351" t="s">
        <v>97</v>
      </c>
      <c r="B351" t="s">
        <v>61</v>
      </c>
      <c r="C351" t="s">
        <v>51</v>
      </c>
      <c r="D351" t="s">
        <v>85</v>
      </c>
      <c r="E351" t="s">
        <v>53</v>
      </c>
      <c r="F351" t="s">
        <v>56</v>
      </c>
      <c r="G351" t="str">
        <f>VLOOKUP(A:A,INVENTÁRIO_04_2025!A:A,1,0)</f>
        <v>SPRDAPECGRU03</v>
      </c>
      <c r="H351" t="str">
        <f>VLOOKUP(A:A,INVENTÁRIO_06_2025!A:A,1,0)</f>
        <v>SPRDAPECGRU03</v>
      </c>
    </row>
    <row r="352" spans="1:8" ht="11.25" customHeight="1">
      <c r="A352" t="s">
        <v>96</v>
      </c>
      <c r="B352" t="s">
        <v>61</v>
      </c>
      <c r="C352" t="s">
        <v>51</v>
      </c>
      <c r="D352" t="s">
        <v>85</v>
      </c>
      <c r="E352" t="s">
        <v>53</v>
      </c>
      <c r="F352" t="s">
        <v>56</v>
      </c>
      <c r="G352" t="str">
        <f>VLOOKUP(A:A,INVENTÁRIO_04_2025!A:A,1,0)</f>
        <v>SPRDAPECGRU02</v>
      </c>
      <c r="H352" t="str">
        <f>VLOOKUP(A:A,INVENTÁRIO_06_2025!A:A,1,0)</f>
        <v>SPRDAPECGRU02</v>
      </c>
    </row>
    <row r="353" spans="1:8" ht="11.25" customHeight="1">
      <c r="A353" t="s">
        <v>95</v>
      </c>
      <c r="B353" t="s">
        <v>61</v>
      </c>
      <c r="C353" t="s">
        <v>51</v>
      </c>
      <c r="D353" t="s">
        <v>85</v>
      </c>
      <c r="E353" t="s">
        <v>53</v>
      </c>
      <c r="F353" t="s">
        <v>56</v>
      </c>
      <c r="G353" t="str">
        <f>VLOOKUP(A:A,INVENTÁRIO_04_2025!A:A,1,0)</f>
        <v>SPRDAPECGRU01</v>
      </c>
      <c r="H353" t="str">
        <f>VLOOKUP(A:A,INVENTÁRIO_06_2025!A:A,1,0)</f>
        <v>SPRDAPECGRU01</v>
      </c>
    </row>
    <row r="354" spans="1:8" ht="11.25" customHeight="1">
      <c r="A354" t="s">
        <v>525</v>
      </c>
      <c r="B354" t="s">
        <v>61</v>
      </c>
      <c r="C354" t="s">
        <v>51</v>
      </c>
      <c r="D354" t="s">
        <v>526</v>
      </c>
      <c r="E354" t="s">
        <v>156</v>
      </c>
      <c r="F354" t="s">
        <v>560</v>
      </c>
      <c r="G354" t="str">
        <f>VLOOKUP(A:A,INVENTÁRIO_04_2025!A:A,1,0)</f>
        <v>SPRDAPDSMGRU01</v>
      </c>
      <c r="H354" t="str">
        <f>VLOOKUP(A:A,INVENTÁRIO_06_2025!A:A,1,0)</f>
        <v>SPRDAPDSMGRU01</v>
      </c>
    </row>
    <row r="355" spans="1:8" ht="11.25" customHeight="1">
      <c r="A355" t="s">
        <v>135</v>
      </c>
      <c r="B355" t="s">
        <v>50</v>
      </c>
      <c r="C355" t="s">
        <v>116</v>
      </c>
      <c r="D355" t="s">
        <v>136</v>
      </c>
      <c r="E355" t="s">
        <v>53</v>
      </c>
      <c r="F355" t="s">
        <v>63</v>
      </c>
      <c r="G355" t="str">
        <f>VLOOKUP(A:A,INVENTÁRIO_04_2025!A:A,1,0)</f>
        <v>SPRDAPDMZGRU01</v>
      </c>
      <c r="H355" t="str">
        <f>VLOOKUP(A:A,INVENTÁRIO_06_2025!A:A,1,0)</f>
        <v>SPRDAPDMZGRU01</v>
      </c>
    </row>
    <row r="356" spans="1:8" ht="11.25" customHeight="1">
      <c r="A356" t="s">
        <v>270</v>
      </c>
      <c r="B356" t="s">
        <v>61</v>
      </c>
      <c r="C356" t="s">
        <v>51</v>
      </c>
      <c r="D356" t="s">
        <v>271</v>
      </c>
      <c r="E356" t="s">
        <v>156</v>
      </c>
      <c r="F356" t="s">
        <v>75</v>
      </c>
      <c r="G356" t="str">
        <f>VLOOKUP(A:A,INVENTÁRIO_04_2025!A:A,1,0)</f>
        <v>SPRDAPDIPGRU01</v>
      </c>
      <c r="H356" t="str">
        <f>VLOOKUP(A:A,INVENTÁRIO_06_2025!A:A,1,0)</f>
        <v>SPRDAPDIPGRU01</v>
      </c>
    </row>
    <row r="357" spans="1:8" ht="11.25" customHeight="1">
      <c r="A357" t="s">
        <v>176</v>
      </c>
      <c r="B357" t="s">
        <v>61</v>
      </c>
      <c r="C357" t="s">
        <v>116</v>
      </c>
      <c r="D357" t="s">
        <v>126</v>
      </c>
      <c r="E357" t="s">
        <v>156</v>
      </c>
      <c r="F357" t="s">
        <v>75</v>
      </c>
      <c r="G357" t="str">
        <f>VLOOKUP(A:A,INVENTÁRIO_04_2025!A:A,1,0)</f>
        <v>SPRDAPDHCPGRU02</v>
      </c>
      <c r="H357" t="str">
        <f>VLOOKUP(A:A,INVENTÁRIO_06_2025!A:A,1,0)</f>
        <v>SPRDAPDHCPGRU02</v>
      </c>
    </row>
    <row r="358" spans="1:8" ht="11.25" customHeight="1">
      <c r="A358" t="s">
        <v>175</v>
      </c>
      <c r="B358" t="s">
        <v>61</v>
      </c>
      <c r="C358" t="s">
        <v>116</v>
      </c>
      <c r="D358" t="s">
        <v>126</v>
      </c>
      <c r="E358" t="s">
        <v>156</v>
      </c>
      <c r="F358" t="s">
        <v>75</v>
      </c>
      <c r="G358" t="str">
        <f>VLOOKUP(A:A,INVENTÁRIO_04_2025!A:A,1,0)</f>
        <v>SPRDAPDHCPGRU01</v>
      </c>
      <c r="H358" t="str">
        <f>VLOOKUP(A:A,INVENTÁRIO_06_2025!A:A,1,0)</f>
        <v>SPRDAPDHCPGRU01</v>
      </c>
    </row>
    <row r="359" spans="1:8" ht="11.25" customHeight="1">
      <c r="A359" t="s">
        <v>173</v>
      </c>
      <c r="B359" t="s">
        <v>61</v>
      </c>
      <c r="C359" t="s">
        <v>116</v>
      </c>
      <c r="D359" t="s">
        <v>129</v>
      </c>
      <c r="E359" t="s">
        <v>156</v>
      </c>
      <c r="F359" t="s">
        <v>75</v>
      </c>
      <c r="G359" t="str">
        <f>VLOOKUP(A:A,INVENTÁRIO_04_2025!A:A,1,0)</f>
        <v>SPRDAPDGFGRU02</v>
      </c>
      <c r="H359" t="str">
        <f>VLOOKUP(A:A,INVENTÁRIO_06_2025!A:A,1,0)</f>
        <v>SPRDAPDGFGRU02</v>
      </c>
    </row>
    <row r="360" spans="1:8" ht="11.25" customHeight="1">
      <c r="A360" t="s">
        <v>429</v>
      </c>
      <c r="B360" t="s">
        <v>61</v>
      </c>
      <c r="C360" t="s">
        <v>116</v>
      </c>
      <c r="D360" t="s">
        <v>126</v>
      </c>
      <c r="E360" t="s">
        <v>156</v>
      </c>
      <c r="F360" t="s">
        <v>560</v>
      </c>
      <c r="G360" t="str">
        <f>VLOOKUP(A:A,INVENTÁRIO_04_2025!A:A,1,0)</f>
        <v>SPRDAPDCLGRU02</v>
      </c>
      <c r="H360" t="str">
        <f>VLOOKUP(A:A,INVENTÁRIO_06_2025!A:A,1,0)</f>
        <v>SPRDAPDCLGRU02</v>
      </c>
    </row>
    <row r="361" spans="1:8" ht="11.25" customHeight="1">
      <c r="A361" t="s">
        <v>428</v>
      </c>
      <c r="B361" t="s">
        <v>61</v>
      </c>
      <c r="C361" t="s">
        <v>116</v>
      </c>
      <c r="D361" t="s">
        <v>126</v>
      </c>
      <c r="E361" t="s">
        <v>156</v>
      </c>
      <c r="F361" t="s">
        <v>560</v>
      </c>
      <c r="G361" t="str">
        <f>VLOOKUP(A:A,INVENTÁRIO_04_2025!A:A,1,0)</f>
        <v>SPRDAPDCLGRU01</v>
      </c>
      <c r="H361" t="str">
        <f>VLOOKUP(A:A,INVENTÁRIO_06_2025!A:A,1,0)</f>
        <v>SPRDAPDCLGRU01</v>
      </c>
    </row>
    <row r="362" spans="1:8" ht="11.25" customHeight="1">
      <c r="A362" t="s">
        <v>427</v>
      </c>
      <c r="B362" t="s">
        <v>61</v>
      </c>
      <c r="C362" t="s">
        <v>116</v>
      </c>
      <c r="D362" t="s">
        <v>174</v>
      </c>
      <c r="E362" t="s">
        <v>156</v>
      </c>
      <c r="F362" t="s">
        <v>560</v>
      </c>
      <c r="G362" t="str">
        <f>VLOOKUP(A:A,INVENTÁRIO_04_2025!A:A,1,0)</f>
        <v>SPRDAPDBGRU01</v>
      </c>
      <c r="H362" t="str">
        <f>VLOOKUP(A:A,INVENTÁRIO_06_2025!A:A,1,0)</f>
        <v>SPRDAPDBGRU01</v>
      </c>
    </row>
    <row r="363" spans="1:8" ht="11.25" customHeight="1">
      <c r="A363" t="s">
        <v>362</v>
      </c>
      <c r="B363" t="s">
        <v>61</v>
      </c>
      <c r="C363" t="s">
        <v>116</v>
      </c>
      <c r="D363" t="s">
        <v>117</v>
      </c>
      <c r="E363" t="s">
        <v>156</v>
      </c>
      <c r="F363" t="s">
        <v>560</v>
      </c>
      <c r="G363" t="str">
        <f>VLOOKUP(A:A,INVENTÁRIO_04_2025!A:A,1,0)</f>
        <v>SPRDAPDATGRU01</v>
      </c>
      <c r="H363" t="str">
        <f>VLOOKUP(A:A,INVENTÁRIO_06_2025!A:A,1,0)</f>
        <v>SPRDAPDATGRU01</v>
      </c>
    </row>
    <row r="364" spans="1:8" ht="11.25" customHeight="1">
      <c r="A364" t="s">
        <v>426</v>
      </c>
      <c r="B364" t="s">
        <v>61</v>
      </c>
      <c r="C364" t="s">
        <v>116</v>
      </c>
      <c r="D364" t="s">
        <v>126</v>
      </c>
      <c r="E364" t="s">
        <v>156</v>
      </c>
      <c r="F364" t="s">
        <v>560</v>
      </c>
      <c r="G364" t="str">
        <f>VLOOKUP(A:A,INVENTÁRIO_04_2025!A:A,1,0)</f>
        <v>SPRDAPDACGRU01</v>
      </c>
      <c r="H364" t="str">
        <f>VLOOKUP(A:A,INVENTÁRIO_06_2025!A:A,1,0)</f>
        <v>SPRDAPDACGRU01</v>
      </c>
    </row>
    <row r="365" spans="1:8" ht="11.25" customHeight="1">
      <c r="A365" t="s">
        <v>296</v>
      </c>
      <c r="B365" t="s">
        <v>61</v>
      </c>
      <c r="C365" t="s">
        <v>51</v>
      </c>
      <c r="D365" t="s">
        <v>295</v>
      </c>
      <c r="E365" t="s">
        <v>156</v>
      </c>
      <c r="F365" t="s">
        <v>75</v>
      </c>
      <c r="G365" t="str">
        <f>VLOOKUP(A:A,INVENTÁRIO_04_2025!A:A,1,0)</f>
        <v>SPRDAPCUPSGRU04</v>
      </c>
      <c r="H365" t="str">
        <f>VLOOKUP(A:A,INVENTÁRIO_06_2025!A:A,1,0)</f>
        <v>SPRDAPCUPSGRU04</v>
      </c>
    </row>
    <row r="366" spans="1:8" ht="11.25" customHeight="1">
      <c r="A366" t="s">
        <v>294</v>
      </c>
      <c r="B366" t="s">
        <v>61</v>
      </c>
      <c r="C366" t="s">
        <v>51</v>
      </c>
      <c r="D366" t="s">
        <v>295</v>
      </c>
      <c r="E366" t="s">
        <v>156</v>
      </c>
      <c r="F366" t="s">
        <v>75</v>
      </c>
      <c r="G366" t="str">
        <f>VLOOKUP(A:A,INVENTÁRIO_04_2025!A:A,1,0)</f>
        <v>SPRDAPCUPSGRU03</v>
      </c>
      <c r="H366" t="str">
        <f>VLOOKUP(A:A,INVENTÁRIO_06_2025!A:A,1,0)</f>
        <v>SPRDAPCUPSGRU03</v>
      </c>
    </row>
    <row r="367" spans="1:8" ht="11.25" customHeight="1">
      <c r="A367" t="s">
        <v>466</v>
      </c>
      <c r="B367" t="s">
        <v>61</v>
      </c>
      <c r="C367" t="s">
        <v>116</v>
      </c>
      <c r="D367" t="s">
        <v>425</v>
      </c>
      <c r="E367" t="s">
        <v>156</v>
      </c>
      <c r="F367" t="s">
        <v>560</v>
      </c>
      <c r="G367" t="str">
        <f>VLOOKUP(A:A,INVENTÁRIO_04_2025!A:A,1,0)</f>
        <v>SPRDAPCTDGRU01</v>
      </c>
      <c r="H367" t="str">
        <f>VLOOKUP(A:A,INVENTÁRIO_06_2025!A:A,1,0)</f>
        <v>SPRDAPCTDGRU01</v>
      </c>
    </row>
    <row r="368" spans="1:8" ht="11.25" customHeight="1">
      <c r="A368" t="s">
        <v>424</v>
      </c>
      <c r="B368" t="s">
        <v>61</v>
      </c>
      <c r="C368" t="s">
        <v>116</v>
      </c>
      <c r="D368" t="s">
        <v>425</v>
      </c>
      <c r="E368" t="s">
        <v>156</v>
      </c>
      <c r="F368" t="s">
        <v>560</v>
      </c>
      <c r="G368" t="str">
        <f>VLOOKUP(A:A,INVENTÁRIO_04_2025!A:A,1,0)</f>
        <v>SPRDAPCTBGRU01</v>
      </c>
      <c r="H368" t="str">
        <f>VLOOKUP(A:A,INVENTÁRIO_06_2025!A:A,1,0)</f>
        <v>SPRDAPCTBGRU01</v>
      </c>
    </row>
    <row r="369" spans="1:8" ht="11.25" customHeight="1">
      <c r="A369" t="s">
        <v>465</v>
      </c>
      <c r="B369" t="s">
        <v>61</v>
      </c>
      <c r="C369" t="s">
        <v>116</v>
      </c>
      <c r="D369" t="s">
        <v>136</v>
      </c>
      <c r="E369" t="s">
        <v>156</v>
      </c>
      <c r="F369" t="s">
        <v>560</v>
      </c>
      <c r="G369" t="str">
        <f>VLOOKUP(A:A,INVENTÁRIO_04_2025!A:A,1,0)</f>
        <v>SPRDAPCOVGRU02</v>
      </c>
      <c r="H369" t="str">
        <f>VLOOKUP(A:A,INVENTÁRIO_06_2025!A:A,1,0)</f>
        <v>SPRDAPCOVGRU02</v>
      </c>
    </row>
    <row r="370" spans="1:8" ht="11.25" customHeight="1">
      <c r="A370" t="s">
        <v>464</v>
      </c>
      <c r="B370" t="s">
        <v>61</v>
      </c>
      <c r="C370" t="s">
        <v>116</v>
      </c>
      <c r="D370" t="s">
        <v>136</v>
      </c>
      <c r="E370" t="s">
        <v>156</v>
      </c>
      <c r="F370" t="s">
        <v>560</v>
      </c>
      <c r="G370" t="str">
        <f>VLOOKUP(A:A,INVENTÁRIO_04_2025!A:A,1,0)</f>
        <v>SPRDAPCOVGRU01</v>
      </c>
      <c r="H370" t="str">
        <f>VLOOKUP(A:A,INVENTÁRIO_06_2025!A:A,1,0)</f>
        <v>SPRDAPCOVGRU01</v>
      </c>
    </row>
    <row r="371" spans="1:8" ht="11.25" customHeight="1">
      <c r="A371" t="s">
        <v>422</v>
      </c>
      <c r="B371" t="s">
        <v>61</v>
      </c>
      <c r="C371" t="s">
        <v>116</v>
      </c>
      <c r="D371" t="s">
        <v>423</v>
      </c>
      <c r="E371" t="s">
        <v>156</v>
      </c>
      <c r="F371" t="s">
        <v>560</v>
      </c>
      <c r="G371" t="str">
        <f>VLOOKUP(A:A,INVENTÁRIO_04_2025!A:A,1,0)</f>
        <v>SPRDAPCONVGRU03</v>
      </c>
      <c r="H371" t="str">
        <f>VLOOKUP(A:A,INVENTÁRIO_06_2025!A:A,1,0)</f>
        <v>SPRDAPCONVGRU03</v>
      </c>
    </row>
    <row r="372" spans="1:8" ht="11.25" customHeight="1">
      <c r="A372" t="s">
        <v>215</v>
      </c>
      <c r="B372" t="s">
        <v>61</v>
      </c>
      <c r="C372" t="s">
        <v>116</v>
      </c>
      <c r="D372" t="s">
        <v>419</v>
      </c>
      <c r="E372" t="s">
        <v>156</v>
      </c>
      <c r="F372" t="s">
        <v>75</v>
      </c>
      <c r="G372" t="str">
        <f>VLOOKUP(A:A,INVENTÁRIO_04_2025!A:A,1,0)</f>
        <v>SPRDAPCONVGRU01</v>
      </c>
      <c r="H372" t="str">
        <f>VLOOKUP(A:A,INVENTÁRIO_06_2025!A:A,1,0)</f>
        <v>SPRDAPCONVGRU01</v>
      </c>
    </row>
    <row r="373" spans="1:8" ht="11.25" customHeight="1">
      <c r="A373" t="s">
        <v>421</v>
      </c>
      <c r="B373" t="s">
        <v>61</v>
      </c>
      <c r="C373" t="s">
        <v>116</v>
      </c>
      <c r="D373" t="s">
        <v>126</v>
      </c>
      <c r="E373" t="s">
        <v>156</v>
      </c>
      <c r="F373" t="s">
        <v>560</v>
      </c>
      <c r="G373" t="str">
        <f>VLOOKUP(A:A,INVENTÁRIO_04_2025!A:A,1,0)</f>
        <v>SPRDAPCNWGRU01</v>
      </c>
      <c r="H373" t="str">
        <f>VLOOKUP(A:A,INVENTÁRIO_06_2025!A:A,1,0)</f>
        <v>SPRDAPCNWGRU01</v>
      </c>
    </row>
    <row r="374" spans="1:8" ht="11.25" customHeight="1">
      <c r="A374" t="s">
        <v>420</v>
      </c>
      <c r="B374" t="s">
        <v>61</v>
      </c>
      <c r="C374" t="s">
        <v>116</v>
      </c>
      <c r="D374" t="s">
        <v>126</v>
      </c>
      <c r="E374" t="s">
        <v>156</v>
      </c>
      <c r="F374" t="s">
        <v>560</v>
      </c>
      <c r="G374" t="str">
        <f>VLOOKUP(A:A,INVENTÁRIO_04_2025!A:A,1,0)</f>
        <v>SPRDAPCNIGRU01</v>
      </c>
      <c r="H374" t="str">
        <f>VLOOKUP(A:A,INVENTÁRIO_06_2025!A:A,1,0)</f>
        <v>SPRDAPCNIGRU01</v>
      </c>
    </row>
    <row r="375" spans="1:8" ht="11.25" customHeight="1">
      <c r="A375" t="s">
        <v>631</v>
      </c>
      <c r="B375" t="s">
        <v>61</v>
      </c>
      <c r="C375" t="s">
        <v>51</v>
      </c>
      <c r="D375" t="s">
        <v>295</v>
      </c>
      <c r="E375" t="s">
        <v>156</v>
      </c>
      <c r="F375" t="s">
        <v>75</v>
      </c>
      <c r="G375" t="str">
        <f>VLOOKUP(A:A,INVENTÁRIO_04_2025!A:A,1,0)</f>
        <v>SPRDAPCMSW02</v>
      </c>
      <c r="H375" t="str">
        <f>VLOOKUP(A:A,INVENTÁRIO_06_2025!A:A,1,0)</f>
        <v>SPRDAPCMSW02</v>
      </c>
    </row>
    <row r="376" spans="1:8" ht="11.25" customHeight="1">
      <c r="A376" t="s">
        <v>630</v>
      </c>
      <c r="B376" t="s">
        <v>61</v>
      </c>
      <c r="C376" t="s">
        <v>51</v>
      </c>
      <c r="D376" t="s">
        <v>295</v>
      </c>
      <c r="E376" t="s">
        <v>156</v>
      </c>
      <c r="F376" t="s">
        <v>75</v>
      </c>
      <c r="G376" t="str">
        <f>VLOOKUP(A:A,INVENTÁRIO_04_2025!A:A,1,0)</f>
        <v>SPRDAPCMSW01</v>
      </c>
      <c r="H376" t="str">
        <f>VLOOKUP(A:A,INVENTÁRIO_06_2025!A:A,1,0)</f>
        <v>SPRDAPCMSW01</v>
      </c>
    </row>
    <row r="377" spans="1:8" ht="11.25" customHeight="1">
      <c r="A377" t="s">
        <v>629</v>
      </c>
      <c r="B377" t="s">
        <v>61</v>
      </c>
      <c r="C377" t="s">
        <v>51</v>
      </c>
      <c r="D377" t="s">
        <v>295</v>
      </c>
      <c r="E377" t="s">
        <v>156</v>
      </c>
      <c r="F377" t="s">
        <v>75</v>
      </c>
      <c r="G377" t="str">
        <f>VLOOKUP(A:A,INVENTÁRIO_04_2025!A:A,1,0)</f>
        <v>SPRDAPCMSP03</v>
      </c>
      <c r="H377" t="str">
        <f>VLOOKUP(A:A,INVENTÁRIO_06_2025!A:A,1,0)</f>
        <v>SPRDAPCMSP03</v>
      </c>
    </row>
    <row r="378" spans="1:8" ht="11.25" customHeight="1">
      <c r="A378" t="s">
        <v>628</v>
      </c>
      <c r="B378" t="s">
        <v>61</v>
      </c>
      <c r="C378" t="s">
        <v>51</v>
      </c>
      <c r="D378" t="s">
        <v>295</v>
      </c>
      <c r="E378" t="s">
        <v>156</v>
      </c>
      <c r="F378" t="s">
        <v>75</v>
      </c>
      <c r="G378" t="str">
        <f>VLOOKUP(A:A,INVENTÁRIO_04_2025!A:A,1,0)</f>
        <v>SPRDAPCMSP02</v>
      </c>
      <c r="H378" t="str">
        <f>VLOOKUP(A:A,INVENTÁRIO_06_2025!A:A,1,0)</f>
        <v>SPRDAPCMSP02</v>
      </c>
    </row>
    <row r="379" spans="1:8" ht="11.25" customHeight="1">
      <c r="A379" t="s">
        <v>627</v>
      </c>
      <c r="B379" t="s">
        <v>61</v>
      </c>
      <c r="C379" t="s">
        <v>51</v>
      </c>
      <c r="D379" t="s">
        <v>295</v>
      </c>
      <c r="E379" t="s">
        <v>156</v>
      </c>
      <c r="F379" t="s">
        <v>75</v>
      </c>
      <c r="G379" t="str">
        <f>VLOOKUP(A:A,INVENTÁRIO_04_2025!A:A,1,0)</f>
        <v>SPRDAPCMSP01</v>
      </c>
      <c r="H379" t="str">
        <f>VLOOKUP(A:A,INVENTÁRIO_06_2025!A:A,1,0)</f>
        <v>SPRDAPCMSP01</v>
      </c>
    </row>
    <row r="380" spans="1:8" ht="11.25" customHeight="1">
      <c r="A380" t="s">
        <v>626</v>
      </c>
      <c r="B380" t="s">
        <v>61</v>
      </c>
      <c r="C380" t="s">
        <v>51</v>
      </c>
      <c r="D380" t="s">
        <v>295</v>
      </c>
      <c r="E380" t="s">
        <v>156</v>
      </c>
      <c r="F380" t="s">
        <v>75</v>
      </c>
      <c r="G380" t="str">
        <f>VLOOKUP(A:A,INVENTÁRIO_04_2025!A:A,1,0)</f>
        <v>SPRDAPCMSM01</v>
      </c>
      <c r="H380" t="str">
        <f>VLOOKUP(A:A,INVENTÁRIO_06_2025!A:A,1,0)</f>
        <v>SPRDAPCMSM01</v>
      </c>
    </row>
    <row r="381" spans="1:8" ht="11.25" customHeight="1">
      <c r="A381" t="s">
        <v>571</v>
      </c>
      <c r="B381" t="s">
        <v>61</v>
      </c>
      <c r="C381" t="s">
        <v>116</v>
      </c>
      <c r="D381" t="s">
        <v>572</v>
      </c>
      <c r="E381" t="s">
        <v>156</v>
      </c>
      <c r="F381" t="s">
        <v>75</v>
      </c>
      <c r="G381" t="str">
        <f>VLOOKUP(A:A,INVENTÁRIO_04_2025!A:A,1,0)</f>
        <v>SPRDAPCMSGRU10</v>
      </c>
      <c r="H381" t="str">
        <f>VLOOKUP(A:A,INVENTÁRIO_06_2025!A:A,1,0)</f>
        <v>SPRDAPCMSGRU10</v>
      </c>
    </row>
    <row r="382" spans="1:8" ht="11.25" customHeight="1">
      <c r="A382" t="s">
        <v>112</v>
      </c>
      <c r="B382" t="s">
        <v>61</v>
      </c>
      <c r="C382" t="s">
        <v>51</v>
      </c>
      <c r="D382" t="s">
        <v>111</v>
      </c>
      <c r="E382" t="s">
        <v>53</v>
      </c>
      <c r="F382" t="s">
        <v>58</v>
      </c>
      <c r="G382" t="str">
        <f>VLOOKUP(A:A,INVENTÁRIO_04_2025!A:A,1,0)</f>
        <v>SPRDAPCMSGRU08</v>
      </c>
      <c r="H382" t="str">
        <f>VLOOKUP(A:A,INVENTÁRIO_06_2025!A:A,1,0)</f>
        <v>SPRDAPCMSGRU08</v>
      </c>
    </row>
    <row r="383" spans="1:8" ht="11.25" customHeight="1">
      <c r="A383" t="s">
        <v>88</v>
      </c>
      <c r="B383" t="s">
        <v>61</v>
      </c>
      <c r="C383" t="s">
        <v>51</v>
      </c>
      <c r="D383" t="s">
        <v>85</v>
      </c>
      <c r="E383" t="s">
        <v>53</v>
      </c>
      <c r="F383" t="s">
        <v>63</v>
      </c>
      <c r="G383" t="str">
        <f>VLOOKUP(A:A,INVENTÁRIO_04_2025!A:A,1,0)</f>
        <v>SPRDAPCMSGRU07</v>
      </c>
      <c r="H383" t="str">
        <f>VLOOKUP(A:A,INVENTÁRIO_06_2025!A:A,1,0)</f>
        <v>SPRDAPCMSGRU07</v>
      </c>
    </row>
    <row r="384" spans="1:8" ht="11.25" customHeight="1">
      <c r="A384" t="s">
        <v>110</v>
      </c>
      <c r="B384" t="s">
        <v>61</v>
      </c>
      <c r="C384" t="s">
        <v>51</v>
      </c>
      <c r="D384" t="s">
        <v>111</v>
      </c>
      <c r="E384" t="s">
        <v>53</v>
      </c>
      <c r="F384" t="s">
        <v>67</v>
      </c>
      <c r="G384" t="str">
        <f>VLOOKUP(A:A,INVENTÁRIO_04_2025!A:A,1,0)</f>
        <v>SPRDAPCMSGRU06</v>
      </c>
      <c r="H384" t="str">
        <f>VLOOKUP(A:A,INVENTÁRIO_06_2025!A:A,1,0)</f>
        <v>SPRDAPCMSGRU06</v>
      </c>
    </row>
    <row r="385" spans="1:8" ht="11.25" customHeight="1">
      <c r="A385" t="s">
        <v>92</v>
      </c>
      <c r="B385" t="s">
        <v>61</v>
      </c>
      <c r="C385" t="s">
        <v>51</v>
      </c>
      <c r="D385" t="s">
        <v>85</v>
      </c>
      <c r="E385" t="s">
        <v>53</v>
      </c>
      <c r="F385" t="s">
        <v>67</v>
      </c>
      <c r="G385" t="str">
        <f>VLOOKUP(A:A,INVENTÁRIO_04_2025!A:A,1,0)</f>
        <v>SPRDAPCMSGRU05</v>
      </c>
      <c r="H385" t="str">
        <f>VLOOKUP(A:A,INVENTÁRIO_06_2025!A:A,1,0)</f>
        <v>SPRDAPCMSGRU05</v>
      </c>
    </row>
    <row r="386" spans="1:8" ht="11.25" customHeight="1">
      <c r="A386" t="s">
        <v>91</v>
      </c>
      <c r="B386" t="s">
        <v>61</v>
      </c>
      <c r="C386" t="s">
        <v>51</v>
      </c>
      <c r="D386" t="s">
        <v>85</v>
      </c>
      <c r="E386" t="s">
        <v>53</v>
      </c>
      <c r="F386" t="s">
        <v>67</v>
      </c>
      <c r="G386" t="str">
        <f>VLOOKUP(A:A,INVENTÁRIO_04_2025!A:A,1,0)</f>
        <v>SPRDAPCMSGRU04</v>
      </c>
      <c r="H386" t="str">
        <f>VLOOKUP(A:A,INVENTÁRIO_06_2025!A:A,1,0)</f>
        <v>SPRDAPCMSGRU04</v>
      </c>
    </row>
    <row r="387" spans="1:8" ht="11.25" customHeight="1">
      <c r="A387" t="s">
        <v>86</v>
      </c>
      <c r="B387" t="s">
        <v>61</v>
      </c>
      <c r="C387" t="s">
        <v>51</v>
      </c>
      <c r="D387" t="s">
        <v>85</v>
      </c>
      <c r="E387" t="s">
        <v>53</v>
      </c>
      <c r="F387" t="s">
        <v>63</v>
      </c>
      <c r="G387" t="str">
        <f>VLOOKUP(A:A,INVENTÁRIO_04_2025!A:A,1,0)</f>
        <v>SPRDAPCMSGRU02</v>
      </c>
      <c r="H387" t="str">
        <f>VLOOKUP(A:A,INVENTÁRIO_06_2025!A:A,1,0)</f>
        <v>SPRDAPCMSGRU02</v>
      </c>
    </row>
    <row r="388" spans="1:8" ht="11.25" customHeight="1">
      <c r="A388" t="s">
        <v>328</v>
      </c>
      <c r="B388" t="s">
        <v>61</v>
      </c>
      <c r="C388" t="s">
        <v>51</v>
      </c>
      <c r="D388" t="s">
        <v>329</v>
      </c>
      <c r="E388" t="s">
        <v>156</v>
      </c>
      <c r="F388" t="s">
        <v>560</v>
      </c>
      <c r="G388" t="str">
        <f>VLOOKUP(A:A,INVENTÁRIO_04_2025!A:A,1,0)</f>
        <v>SPRDAPCLTGRU02</v>
      </c>
      <c r="H388" t="str">
        <f>VLOOKUP(A:A,INVENTÁRIO_06_2025!A:A,1,0)</f>
        <v>SPRDAPCLTGRU02</v>
      </c>
    </row>
    <row r="389" spans="1:8" ht="11.25" customHeight="1">
      <c r="A389" t="s">
        <v>293</v>
      </c>
      <c r="B389" t="s">
        <v>61</v>
      </c>
      <c r="C389" t="s">
        <v>51</v>
      </c>
      <c r="D389" t="s">
        <v>111</v>
      </c>
      <c r="E389" t="s">
        <v>156</v>
      </c>
      <c r="F389" t="s">
        <v>75</v>
      </c>
      <c r="G389" t="str">
        <f>VLOOKUP(A:A,INVENTÁRIO_04_2025!A:A,1,0)</f>
        <v>SPRDAPCCPRGRU02</v>
      </c>
      <c r="H389" t="str">
        <f>VLOOKUP(A:A,INVENTÁRIO_06_2025!A:A,1,0)</f>
        <v>SPRDAPCCPRGRU02</v>
      </c>
    </row>
    <row r="390" spans="1:8" ht="11.25" customHeight="1">
      <c r="A390" t="s">
        <v>292</v>
      </c>
      <c r="B390" t="s">
        <v>61</v>
      </c>
      <c r="C390" t="s">
        <v>51</v>
      </c>
      <c r="D390" t="s">
        <v>111</v>
      </c>
      <c r="E390" t="s">
        <v>156</v>
      </c>
      <c r="F390" t="s">
        <v>75</v>
      </c>
      <c r="G390" t="str">
        <f>VLOOKUP(A:A,INVENTÁRIO_04_2025!A:A,1,0)</f>
        <v>SPRDAPCCPRGRU01</v>
      </c>
      <c r="H390" t="str">
        <f>VLOOKUP(A:A,INVENTÁRIO_06_2025!A:A,1,0)</f>
        <v>SPRDAPCCPRGRU01</v>
      </c>
    </row>
    <row r="391" spans="1:8" ht="11.25" customHeight="1">
      <c r="A391" t="s">
        <v>336</v>
      </c>
      <c r="B391" t="s">
        <v>61</v>
      </c>
      <c r="C391" t="s">
        <v>116</v>
      </c>
      <c r="D391" t="s">
        <v>337</v>
      </c>
      <c r="E391" t="s">
        <v>156</v>
      </c>
      <c r="F391" t="s">
        <v>560</v>
      </c>
      <c r="G391" t="str">
        <f>VLOOKUP(A:A,INVENTÁRIO_04_2025!A:A,1,0)</f>
        <v>SPRDAPCCGRU04</v>
      </c>
      <c r="H391" t="str">
        <f>VLOOKUP(A:A,INVENTÁRIO_06_2025!A:A,1,0)</f>
        <v>SPRDAPCCGRU04</v>
      </c>
    </row>
    <row r="392" spans="1:8" ht="11.25" customHeight="1">
      <c r="A392" t="s">
        <v>214</v>
      </c>
      <c r="B392" t="s">
        <v>61</v>
      </c>
      <c r="C392" t="s">
        <v>116</v>
      </c>
      <c r="D392" t="s">
        <v>425</v>
      </c>
      <c r="E392" t="s">
        <v>156</v>
      </c>
      <c r="F392" t="s">
        <v>75</v>
      </c>
      <c r="G392" t="str">
        <f>VLOOKUP(A:A,INVENTÁRIO_04_2025!A:A,1,0)</f>
        <v>SPRDAPCCGRU03</v>
      </c>
      <c r="H392" t="str">
        <f>VLOOKUP(A:A,INVENTÁRIO_06_2025!A:A,1,0)</f>
        <v>SPRDAPCCGRU03</v>
      </c>
    </row>
    <row r="393" spans="1:8" ht="11.25" customHeight="1">
      <c r="A393" t="s">
        <v>418</v>
      </c>
      <c r="B393" t="s">
        <v>61</v>
      </c>
      <c r="C393" t="s">
        <v>116</v>
      </c>
      <c r="D393" t="s">
        <v>419</v>
      </c>
      <c r="E393" t="s">
        <v>156</v>
      </c>
      <c r="F393" t="s">
        <v>560</v>
      </c>
      <c r="G393" t="str">
        <f>VLOOKUP(A:A,INVENTÁRIO_04_2025!A:A,1,0)</f>
        <v>SPRDAPCCGRU01</v>
      </c>
      <c r="H393" t="str">
        <f>VLOOKUP(A:A,INVENTÁRIO_06_2025!A:A,1,0)</f>
        <v>SPRDAPCCGRU01</v>
      </c>
    </row>
    <row r="394" spans="1:8" ht="11.25" customHeight="1">
      <c r="A394" t="s">
        <v>167</v>
      </c>
      <c r="B394" t="s">
        <v>61</v>
      </c>
      <c r="C394" t="s">
        <v>116</v>
      </c>
      <c r="D394" t="s">
        <v>122</v>
      </c>
      <c r="E394" t="s">
        <v>156</v>
      </c>
      <c r="F394" t="s">
        <v>75</v>
      </c>
      <c r="G394" t="str">
        <f>VLOOKUP(A:A,INVENTÁRIO_04_2025!A:A,1,0)</f>
        <v>SPRDAPCADGRU01</v>
      </c>
      <c r="H394" t="str">
        <f>VLOOKUP(A:A,INVENTÁRIO_06_2025!A:A,1,0)</f>
        <v>SPRDAPCADGRU01</v>
      </c>
    </row>
    <row r="395" spans="1:8" ht="11.25" customHeight="1">
      <c r="A395" t="s">
        <v>59</v>
      </c>
      <c r="B395" t="s">
        <v>50</v>
      </c>
      <c r="C395" t="s">
        <v>51</v>
      </c>
      <c r="D395" t="s">
        <v>52</v>
      </c>
      <c r="E395" t="s">
        <v>53</v>
      </c>
      <c r="F395" t="s">
        <v>58</v>
      </c>
      <c r="G395" t="str">
        <f>VLOOKUP(A:A,INVENTÁRIO_04_2025!A:A,1,0)</f>
        <v>SPRDAPBWGRU02</v>
      </c>
      <c r="H395" t="str">
        <f>VLOOKUP(A:A,INVENTÁRIO_06_2025!A:A,1,0)</f>
        <v>SPRDAPBWGRU02</v>
      </c>
    </row>
    <row r="396" spans="1:8" ht="11.25" customHeight="1">
      <c r="A396" t="s">
        <v>57</v>
      </c>
      <c r="B396" t="s">
        <v>50</v>
      </c>
      <c r="C396" t="s">
        <v>51</v>
      </c>
      <c r="D396" t="s">
        <v>52</v>
      </c>
      <c r="E396" t="s">
        <v>53</v>
      </c>
      <c r="F396" t="s">
        <v>56</v>
      </c>
      <c r="G396" t="str">
        <f>VLOOKUP(A:A,INVENTÁRIO_04_2025!A:A,1,0)</f>
        <v>SPRDAPBWGRU01</v>
      </c>
      <c r="H396" t="str">
        <f>VLOOKUP(A:A,INVENTÁRIO_06_2025!A:A,1,0)</f>
        <v>SPRDAPBWGRU01</v>
      </c>
    </row>
    <row r="397" spans="1:8" ht="11.25" customHeight="1">
      <c r="A397" t="s">
        <v>417</v>
      </c>
      <c r="B397" t="s">
        <v>61</v>
      </c>
      <c r="C397" t="s">
        <v>116</v>
      </c>
      <c r="D397" t="s">
        <v>136</v>
      </c>
      <c r="E397" t="s">
        <v>156</v>
      </c>
      <c r="F397" t="s">
        <v>560</v>
      </c>
      <c r="G397" t="str">
        <f>VLOOKUP(A:A,INVENTÁRIO_04_2025!A:A,1,0)</f>
        <v>SPRDAPBROGRU01</v>
      </c>
      <c r="H397" t="str">
        <f>VLOOKUP(A:A,INVENTÁRIO_06_2025!A:A,1,0)</f>
        <v>SPRDAPBROGRU01</v>
      </c>
    </row>
    <row r="398" spans="1:8" ht="11.25" customHeight="1">
      <c r="A398" t="s">
        <v>128</v>
      </c>
      <c r="B398" t="s">
        <v>50</v>
      </c>
      <c r="C398" t="s">
        <v>116</v>
      </c>
      <c r="D398" t="s">
        <v>129</v>
      </c>
      <c r="E398" t="s">
        <v>53</v>
      </c>
      <c r="F398" t="s">
        <v>58</v>
      </c>
      <c r="G398" t="str">
        <f>VLOOKUP(A:A,INVENTÁRIO_04_2025!A:A,1,0)</f>
        <v>SPRDAPBPGRU02</v>
      </c>
      <c r="H398" t="str">
        <f>VLOOKUP(A:A,INVENTÁRIO_06_2025!A:A,1,0)</f>
        <v>SPRDAPBPGRU02</v>
      </c>
    </row>
    <row r="399" spans="1:8" ht="11.25" customHeight="1">
      <c r="A399" t="s">
        <v>121</v>
      </c>
      <c r="B399" t="s">
        <v>50</v>
      </c>
      <c r="C399" t="s">
        <v>116</v>
      </c>
      <c r="D399" t="s">
        <v>122</v>
      </c>
      <c r="E399" t="s">
        <v>53</v>
      </c>
      <c r="F399" t="s">
        <v>120</v>
      </c>
      <c r="G399" t="str">
        <f>VLOOKUP(A:A,INVENTÁRIO_04_2025!A:A,1,0)</f>
        <v>SPRDAPBMSGRUB_O</v>
      </c>
      <c r="H399" t="str">
        <f>VLOOKUP(A:A,INVENTÁRIO_06_2025!A:A,1,0)</f>
        <v>SPRDAPBMSGRUB_O</v>
      </c>
    </row>
    <row r="400" spans="1:8" ht="11.25" customHeight="1">
      <c r="A400" t="s">
        <v>361</v>
      </c>
      <c r="B400" t="s">
        <v>61</v>
      </c>
      <c r="C400" t="s">
        <v>116</v>
      </c>
      <c r="D400" t="s">
        <v>122</v>
      </c>
      <c r="E400" t="s">
        <v>156</v>
      </c>
      <c r="F400" t="s">
        <v>560</v>
      </c>
      <c r="G400" t="str">
        <f>VLOOKUP(A:A,INVENTÁRIO_04_2025!A:A,1,0)</f>
        <v>SPRDAPBMSGRUB</v>
      </c>
      <c r="H400" t="str">
        <f>VLOOKUP(A:A,INVENTÁRIO_06_2025!A:A,1,0)</f>
        <v>SPRDAPBMSGRUB</v>
      </c>
    </row>
    <row r="401" spans="1:8" ht="11.25" customHeight="1">
      <c r="A401" t="s">
        <v>123</v>
      </c>
      <c r="B401" t="s">
        <v>50</v>
      </c>
      <c r="C401" t="s">
        <v>116</v>
      </c>
      <c r="D401" t="s">
        <v>122</v>
      </c>
      <c r="E401" t="s">
        <v>53</v>
      </c>
      <c r="F401" t="s">
        <v>120</v>
      </c>
      <c r="G401" t="str">
        <f>VLOOKUP(A:A,INVENTÁRIO_04_2025!A:A,1,0)</f>
        <v>SPRDAPBMSGRUA</v>
      </c>
      <c r="H401" t="str">
        <f>VLOOKUP(A:A,INVENTÁRIO_06_2025!A:A,1,0)</f>
        <v>SPRDAPBMSGRUA</v>
      </c>
    </row>
    <row r="402" spans="1:8" ht="11.25" customHeight="1">
      <c r="A402" t="s">
        <v>123</v>
      </c>
      <c r="B402" t="s">
        <v>61</v>
      </c>
      <c r="C402" t="s">
        <v>116</v>
      </c>
      <c r="D402" t="s">
        <v>122</v>
      </c>
      <c r="E402" t="s">
        <v>156</v>
      </c>
      <c r="F402" t="s">
        <v>560</v>
      </c>
      <c r="G402" t="str">
        <f>VLOOKUP(A:A,INVENTÁRIO_04_2025!A:A,1,0)</f>
        <v>SPRDAPBMSGRUA</v>
      </c>
      <c r="H402" t="str">
        <f>VLOOKUP(A:A,INVENTÁRIO_06_2025!A:A,1,0)</f>
        <v>SPRDAPBMSGRUA</v>
      </c>
    </row>
    <row r="403" spans="1:8" ht="11.25" customHeight="1">
      <c r="A403" t="s">
        <v>461</v>
      </c>
      <c r="B403" t="s">
        <v>61</v>
      </c>
      <c r="C403" t="s">
        <v>116</v>
      </c>
      <c r="D403" t="s">
        <v>425</v>
      </c>
      <c r="E403" t="s">
        <v>156</v>
      </c>
      <c r="F403" t="s">
        <v>560</v>
      </c>
      <c r="G403" t="str">
        <f>VLOOKUP(A:A,INVENTÁRIO_04_2025!A:A,1,0)</f>
        <v>SPRDAPBMSGRU02</v>
      </c>
      <c r="H403" t="str">
        <f>VLOOKUP(A:A,INVENTÁRIO_06_2025!A:A,1,0)</f>
        <v>SPRDAPBMSGRU02</v>
      </c>
    </row>
    <row r="404" spans="1:8" ht="11.25" customHeight="1">
      <c r="A404" t="s">
        <v>130</v>
      </c>
      <c r="B404" t="s">
        <v>61</v>
      </c>
      <c r="C404" t="s">
        <v>116</v>
      </c>
      <c r="D404" t="s">
        <v>129</v>
      </c>
      <c r="E404" t="s">
        <v>53</v>
      </c>
      <c r="F404" t="s">
        <v>120</v>
      </c>
      <c r="G404" t="str">
        <f>VLOOKUP(A:A,INVENTÁRIO_04_2025!A:A,1,0)</f>
        <v>SPRDAPBKPGRU02</v>
      </c>
      <c r="H404" t="str">
        <f>VLOOKUP(A:A,INVENTÁRIO_06_2025!A:A,1,0)</f>
        <v>SPRDAPBKPGRU02</v>
      </c>
    </row>
    <row r="405" spans="1:8" ht="11.25" customHeight="1">
      <c r="A405" t="s">
        <v>131</v>
      </c>
      <c r="B405" t="s">
        <v>61</v>
      </c>
      <c r="C405" t="s">
        <v>116</v>
      </c>
      <c r="D405" t="s">
        <v>129</v>
      </c>
      <c r="E405" t="s">
        <v>53</v>
      </c>
      <c r="F405" t="s">
        <v>120</v>
      </c>
      <c r="G405" t="str">
        <f>VLOOKUP(A:A,INVENTÁRIO_04_2025!A:A,1,0)</f>
        <v>SPRDAPBKPGRU01</v>
      </c>
      <c r="H405" t="str">
        <f>VLOOKUP(A:A,INVENTÁRIO_06_2025!A:A,1,0)</f>
        <v>SPRDAPBKPGRU01</v>
      </c>
    </row>
    <row r="406" spans="1:8" ht="11.25" customHeight="1">
      <c r="A406" t="s">
        <v>101</v>
      </c>
      <c r="B406" t="s">
        <v>61</v>
      </c>
      <c r="C406" t="s">
        <v>51</v>
      </c>
      <c r="D406" t="s">
        <v>85</v>
      </c>
      <c r="E406" t="s">
        <v>53</v>
      </c>
      <c r="F406" t="s">
        <v>58</v>
      </c>
      <c r="G406" t="str">
        <f>VLOOKUP(A:A,INVENTÁRIO_04_2025!A:A,1,0)</f>
        <v>SPRDAPBIGRU02</v>
      </c>
      <c r="H406" t="str">
        <f>VLOOKUP(A:A,INVENTÁRIO_06_2025!A:A,1,0)</f>
        <v>SPRDAPBIGRU02</v>
      </c>
    </row>
    <row r="407" spans="1:8" ht="11.25" customHeight="1">
      <c r="A407" t="s">
        <v>94</v>
      </c>
      <c r="B407" t="s">
        <v>61</v>
      </c>
      <c r="C407" t="s">
        <v>51</v>
      </c>
      <c r="D407" t="s">
        <v>85</v>
      </c>
      <c r="E407" t="s">
        <v>53</v>
      </c>
      <c r="F407" t="s">
        <v>56</v>
      </c>
      <c r="G407" t="str">
        <f>VLOOKUP(A:A,INVENTÁRIO_04_2025!A:A,1,0)</f>
        <v>SPRDAPBIGRU01</v>
      </c>
      <c r="H407" t="str">
        <f>VLOOKUP(A:A,INVENTÁRIO_06_2025!A:A,1,0)</f>
        <v>SPRDAPBIGRU01</v>
      </c>
    </row>
    <row r="408" spans="1:8" ht="11.25" customHeight="1">
      <c r="A408" t="s">
        <v>460</v>
      </c>
      <c r="B408" t="s">
        <v>61</v>
      </c>
      <c r="C408" t="s">
        <v>116</v>
      </c>
      <c r="D408" t="s">
        <v>141</v>
      </c>
      <c r="E408" t="s">
        <v>156</v>
      </c>
      <c r="F408" t="s">
        <v>560</v>
      </c>
      <c r="G408" t="str">
        <f>VLOOKUP(A:A,INVENTÁRIO_04_2025!A:A,1,0)</f>
        <v>SPRDAPBHSGRU03</v>
      </c>
      <c r="H408" t="str">
        <f>VLOOKUP(A:A,INVENTÁRIO_06_2025!A:A,1,0)</f>
        <v>SPRDAPBHSGRU03</v>
      </c>
    </row>
    <row r="409" spans="1:8" ht="11.25" customHeight="1">
      <c r="A409" t="s">
        <v>459</v>
      </c>
      <c r="B409" t="s">
        <v>61</v>
      </c>
      <c r="C409" t="s">
        <v>116</v>
      </c>
      <c r="D409" t="s">
        <v>141</v>
      </c>
      <c r="E409" t="s">
        <v>156</v>
      </c>
      <c r="F409" t="s">
        <v>560</v>
      </c>
      <c r="G409" t="str">
        <f>VLOOKUP(A:A,INVENTÁRIO_04_2025!A:A,1,0)</f>
        <v>SPRDAPBHSGRU02</v>
      </c>
      <c r="H409" t="str">
        <f>VLOOKUP(A:A,INVENTÁRIO_06_2025!A:A,1,0)</f>
        <v>SPRDAPBHSGRU02</v>
      </c>
    </row>
    <row r="410" spans="1:8" ht="11.25" customHeight="1">
      <c r="A410" t="s">
        <v>416</v>
      </c>
      <c r="B410" t="s">
        <v>61</v>
      </c>
      <c r="C410" t="s">
        <v>116</v>
      </c>
      <c r="D410" t="s">
        <v>671</v>
      </c>
      <c r="E410" t="s">
        <v>156</v>
      </c>
      <c r="F410" t="s">
        <v>560</v>
      </c>
      <c r="G410" t="str">
        <f>VLOOKUP(A:A,INVENTÁRIO_04_2025!A:A,1,0)</f>
        <v>SPRDAPBHSGRU01</v>
      </c>
      <c r="H410" t="str">
        <f>VLOOKUP(A:A,INVENTÁRIO_06_2025!A:A,1,0)</f>
        <v>SPRDAPBHSGRU01</v>
      </c>
    </row>
    <row r="411" spans="1:8" ht="11.25" customHeight="1">
      <c r="A411" t="s">
        <v>213</v>
      </c>
      <c r="B411" t="s">
        <v>61</v>
      </c>
      <c r="C411" t="s">
        <v>116</v>
      </c>
      <c r="D411" t="s">
        <v>136</v>
      </c>
      <c r="E411" t="s">
        <v>156</v>
      </c>
      <c r="F411" t="s">
        <v>75</v>
      </c>
      <c r="G411" t="str">
        <f>VLOOKUP(A:A,INVENTÁRIO_04_2025!A:A,1,0)</f>
        <v>SPRDAPBENGRU01</v>
      </c>
      <c r="H411" t="str">
        <f>VLOOKUP(A:A,INVENTÁRIO_06_2025!A:A,1,0)</f>
        <v>SPRDAPBENGRU01</v>
      </c>
    </row>
    <row r="412" spans="1:8" ht="11.25" customHeight="1">
      <c r="A412" t="s">
        <v>212</v>
      </c>
      <c r="B412" t="s">
        <v>61</v>
      </c>
      <c r="C412" t="s">
        <v>116</v>
      </c>
      <c r="D412" t="s">
        <v>136</v>
      </c>
      <c r="E412" t="s">
        <v>156</v>
      </c>
      <c r="F412" t="s">
        <v>75</v>
      </c>
      <c r="G412" t="str">
        <f>VLOOKUP(A:A,INVENTÁRIO_04_2025!A:A,1,0)</f>
        <v>SPRDAPBCCGRU02</v>
      </c>
      <c r="H412" t="str">
        <f>VLOOKUP(A:A,INVENTÁRIO_06_2025!A:A,1,0)</f>
        <v>SPRDAPBCCGRU02</v>
      </c>
    </row>
    <row r="413" spans="1:8" ht="11.25" customHeight="1">
      <c r="A413" t="s">
        <v>211</v>
      </c>
      <c r="B413" t="s">
        <v>61</v>
      </c>
      <c r="C413" t="s">
        <v>116</v>
      </c>
      <c r="D413" t="s">
        <v>136</v>
      </c>
      <c r="E413" t="s">
        <v>156</v>
      </c>
      <c r="F413" t="s">
        <v>75</v>
      </c>
      <c r="G413" t="str">
        <f>VLOOKUP(A:A,INVENTÁRIO_04_2025!A:A,1,0)</f>
        <v>SPRDAPBCCGRU01</v>
      </c>
      <c r="H413" t="str">
        <f>VLOOKUP(A:A,INVENTÁRIO_06_2025!A:A,1,0)</f>
        <v>SPRDAPBCCGRU01</v>
      </c>
    </row>
    <row r="414" spans="1:8" ht="11.25" customHeight="1">
      <c r="A414" t="s">
        <v>248</v>
      </c>
      <c r="B414" t="s">
        <v>61</v>
      </c>
      <c r="C414" t="s">
        <v>116</v>
      </c>
      <c r="D414" t="s">
        <v>572</v>
      </c>
      <c r="E414" t="s">
        <v>156</v>
      </c>
      <c r="F414" t="s">
        <v>75</v>
      </c>
      <c r="G414" t="str">
        <f>VLOOKUP(A:A,INVENTÁRIO_04_2025!A:A,1,0)</f>
        <v>SPRDAPBCBPGRU02</v>
      </c>
      <c r="H414" t="str">
        <f>VLOOKUP(A:A,INVENTÁRIO_06_2025!A:A,1,0)</f>
        <v>SPRDAPBCBPGRU02</v>
      </c>
    </row>
    <row r="415" spans="1:8" ht="11.25" customHeight="1">
      <c r="A415" t="s">
        <v>246</v>
      </c>
      <c r="B415" t="s">
        <v>61</v>
      </c>
      <c r="C415" t="s">
        <v>116</v>
      </c>
      <c r="D415" t="s">
        <v>572</v>
      </c>
      <c r="E415" t="s">
        <v>156</v>
      </c>
      <c r="F415" t="s">
        <v>75</v>
      </c>
      <c r="G415" t="str">
        <f>VLOOKUP(A:A,INVENTÁRIO_04_2025!A:A,1,0)</f>
        <v>SPRDAPBCBPGRU01</v>
      </c>
      <c r="H415" t="str">
        <f>VLOOKUP(A:A,INVENTÁRIO_06_2025!A:A,1,0)</f>
        <v>SPRDAPBCBPGRU01</v>
      </c>
    </row>
    <row r="416" spans="1:8" ht="11.25" customHeight="1">
      <c r="A416" t="s">
        <v>458</v>
      </c>
      <c r="B416" t="s">
        <v>61</v>
      </c>
      <c r="C416" t="s">
        <v>116</v>
      </c>
      <c r="D416" t="s">
        <v>425</v>
      </c>
      <c r="E416" t="s">
        <v>156</v>
      </c>
      <c r="F416" t="s">
        <v>560</v>
      </c>
      <c r="G416" t="str">
        <f>VLOOKUP(A:A,INVENTÁRIO_04_2025!A:A,1,0)</f>
        <v>SPRDAPBBGRU01</v>
      </c>
      <c r="H416" t="str">
        <f>VLOOKUP(A:A,INVENTÁRIO_06_2025!A:A,1,0)</f>
        <v>SPRDAPBBGRU01</v>
      </c>
    </row>
    <row r="417" spans="1:8" ht="11.25" customHeight="1">
      <c r="A417" t="s">
        <v>209</v>
      </c>
      <c r="B417" t="s">
        <v>61</v>
      </c>
      <c r="C417" t="s">
        <v>116</v>
      </c>
      <c r="D417" t="s">
        <v>136</v>
      </c>
      <c r="E417" t="s">
        <v>156</v>
      </c>
      <c r="F417" t="s">
        <v>75</v>
      </c>
      <c r="G417" t="str">
        <f>VLOOKUP(A:A,INVENTÁRIO_04_2025!A:A,1,0)</f>
        <v>SPRDAPAUDGRU01</v>
      </c>
      <c r="H417" t="str">
        <f>VLOOKUP(A:A,INVENTÁRIO_06_2025!A:A,1,0)</f>
        <v>SPRDAPAUDGRU01</v>
      </c>
    </row>
    <row r="418" spans="1:8" ht="11.25" customHeight="1">
      <c r="A418" t="s">
        <v>415</v>
      </c>
      <c r="B418" t="s">
        <v>61</v>
      </c>
      <c r="C418" t="s">
        <v>116</v>
      </c>
      <c r="D418" t="s">
        <v>126</v>
      </c>
      <c r="E418" t="s">
        <v>156</v>
      </c>
      <c r="F418" t="s">
        <v>560</v>
      </c>
      <c r="G418" t="str">
        <f>VLOOKUP(A:A,INVENTÁRIO_04_2025!A:A,1,0)</f>
        <v>SPRDAPATKGRU01</v>
      </c>
      <c r="H418" t="str">
        <f>VLOOKUP(A:A,INVENTÁRIO_06_2025!A:A,1,0)</f>
        <v>SPRDAPATKGRU01</v>
      </c>
    </row>
    <row r="419" spans="1:8" ht="11.25" customHeight="1">
      <c r="A419" t="s">
        <v>414</v>
      </c>
      <c r="B419" t="s">
        <v>61</v>
      </c>
      <c r="C419" t="s">
        <v>116</v>
      </c>
      <c r="D419" t="s">
        <v>126</v>
      </c>
      <c r="E419" t="s">
        <v>156</v>
      </c>
      <c r="F419" t="s">
        <v>560</v>
      </c>
      <c r="G419" t="str">
        <f>VLOOKUP(A:A,INVENTÁRIO_04_2025!A:A,1,0)</f>
        <v>SPRDAPATGRU01</v>
      </c>
      <c r="H419" t="str">
        <f>VLOOKUP(A:A,INVENTÁRIO_06_2025!A:A,1,0)</f>
        <v>SPRDAPATGRU01</v>
      </c>
    </row>
    <row r="420" spans="1:8" ht="11.25" customHeight="1">
      <c r="A420" t="s">
        <v>457</v>
      </c>
      <c r="B420" t="s">
        <v>61</v>
      </c>
      <c r="C420" t="s">
        <v>116</v>
      </c>
      <c r="D420" t="s">
        <v>425</v>
      </c>
      <c r="E420" t="s">
        <v>156</v>
      </c>
      <c r="F420" t="s">
        <v>560</v>
      </c>
      <c r="G420" t="str">
        <f>VLOOKUP(A:A,INVENTÁRIO_04_2025!A:A,1,0)</f>
        <v>SPRDAPATEGRU01</v>
      </c>
      <c r="H420" t="str">
        <f>VLOOKUP(A:A,INVENTÁRIO_06_2025!A:A,1,0)</f>
        <v>SPRDAPATEGRU01</v>
      </c>
    </row>
    <row r="421" spans="1:8" ht="11.25" customHeight="1">
      <c r="A421" t="s">
        <v>413</v>
      </c>
      <c r="B421" t="s">
        <v>61</v>
      </c>
      <c r="C421" t="s">
        <v>116</v>
      </c>
      <c r="D421" t="s">
        <v>126</v>
      </c>
      <c r="E421" t="s">
        <v>156</v>
      </c>
      <c r="F421" t="s">
        <v>560</v>
      </c>
      <c r="G421" t="str">
        <f>VLOOKUP(A:A,INVENTÁRIO_04_2025!A:A,1,0)</f>
        <v>SPRDAPAGPMGRU01</v>
      </c>
      <c r="H421" t="str">
        <f>VLOOKUP(A:A,INVENTÁRIO_06_2025!A:A,1,0)</f>
        <v>SPRDAPAGPMGRU01</v>
      </c>
    </row>
    <row r="422" spans="1:8" ht="11.25" customHeight="1">
      <c r="A422" t="s">
        <v>358</v>
      </c>
      <c r="B422" t="s">
        <v>61</v>
      </c>
      <c r="C422" t="s">
        <v>116</v>
      </c>
      <c r="D422" t="s">
        <v>117</v>
      </c>
      <c r="E422" t="s">
        <v>156</v>
      </c>
      <c r="F422" t="s">
        <v>560</v>
      </c>
      <c r="G422" t="str">
        <f>VLOOKUP(A:A,INVENTÁRIO_04_2025!A:A,1,0)</f>
        <v>SPRDAPACSGRU01</v>
      </c>
      <c r="H422" t="str">
        <f>VLOOKUP(A:A,INVENTÁRIO_06_2025!A:A,1,0)</f>
        <v>SPRDAPACSGRU01</v>
      </c>
    </row>
    <row r="423" spans="1:8" ht="11.25" customHeight="1">
      <c r="A423" t="s">
        <v>241</v>
      </c>
      <c r="B423" t="s">
        <v>61</v>
      </c>
      <c r="C423" t="s">
        <v>116</v>
      </c>
      <c r="D423" t="s">
        <v>419</v>
      </c>
      <c r="E423" t="s">
        <v>156</v>
      </c>
      <c r="F423" t="s">
        <v>75</v>
      </c>
      <c r="G423" t="str">
        <f>VLOOKUP(A:A,INVENTÁRIO_04_2025!A:A,1,0)</f>
        <v>SPRDADGRU04</v>
      </c>
      <c r="H423" t="str">
        <f>VLOOKUP(A:A,INVENTÁRIO_06_2025!A:A,1,0)</f>
        <v>SPRDADGRU04</v>
      </c>
    </row>
    <row r="424" spans="1:8" ht="11.25" customHeight="1">
      <c r="A424" t="s">
        <v>208</v>
      </c>
      <c r="B424" t="s">
        <v>61</v>
      </c>
      <c r="C424" t="s">
        <v>116</v>
      </c>
      <c r="D424" t="s">
        <v>419</v>
      </c>
      <c r="E424" t="s">
        <v>156</v>
      </c>
      <c r="F424" t="s">
        <v>75</v>
      </c>
      <c r="G424" t="str">
        <f>VLOOKUP(A:A,INVENTÁRIO_04_2025!A:A,1,0)</f>
        <v>SPRDADGRU03</v>
      </c>
      <c r="H424" t="str">
        <f>VLOOKUP(A:A,INVENTÁRIO_06_2025!A:A,1,0)</f>
        <v>SPRDADGRU03</v>
      </c>
    </row>
    <row r="425" spans="1:8" ht="11.25" customHeight="1">
      <c r="A425" t="s">
        <v>166</v>
      </c>
      <c r="B425" t="s">
        <v>61</v>
      </c>
      <c r="C425" t="s">
        <v>116</v>
      </c>
      <c r="D425" t="s">
        <v>122</v>
      </c>
      <c r="E425" t="s">
        <v>156</v>
      </c>
      <c r="F425" t="s">
        <v>75</v>
      </c>
      <c r="G425" t="str">
        <f>VLOOKUP(A:A,INVENTÁRIO_04_2025!A:A,1,0)</f>
        <v>SPRDADGRU02</v>
      </c>
      <c r="H425" t="str">
        <f>VLOOKUP(A:A,INVENTÁRIO_06_2025!A:A,1,0)</f>
        <v>SPRDADGRU02</v>
      </c>
    </row>
    <row r="426" spans="1:8" ht="11.25" customHeight="1">
      <c r="A426" t="s">
        <v>119</v>
      </c>
      <c r="B426" t="s">
        <v>61</v>
      </c>
      <c r="C426" t="s">
        <v>116</v>
      </c>
      <c r="D426" t="s">
        <v>117</v>
      </c>
      <c r="E426" t="s">
        <v>53</v>
      </c>
      <c r="F426" t="s">
        <v>120</v>
      </c>
      <c r="G426" t="str">
        <f>VLOOKUP(A:A,INVENTÁRIO_04_2025!A:A,1,0)</f>
        <v>SPRDADGRU01</v>
      </c>
      <c r="H426" t="str">
        <f>VLOOKUP(A:A,INVENTÁRIO_06_2025!A:A,1,0)</f>
        <v>SPRDADGRU01</v>
      </c>
    </row>
    <row r="427" spans="1:8" ht="11.25" customHeight="1">
      <c r="A427" t="s">
        <v>412</v>
      </c>
      <c r="B427" t="s">
        <v>61</v>
      </c>
      <c r="C427" t="s">
        <v>116</v>
      </c>
      <c r="D427" t="s">
        <v>174</v>
      </c>
      <c r="E427" t="s">
        <v>156</v>
      </c>
      <c r="F427" t="s">
        <v>560</v>
      </c>
      <c r="G427" t="str">
        <f>VLOOKUP(A:A,INVENTÁRIO_04_2025!A:A,1,0)</f>
        <v>SPRDACSINV01</v>
      </c>
      <c r="H427" t="str">
        <f>VLOOKUP(A:A,INVENTÁRIO_06_2025!A:A,1,0)</f>
        <v>SPRDACSINV01</v>
      </c>
    </row>
    <row r="428" spans="1:8" ht="11.25" customHeight="1">
      <c r="A428" t="s">
        <v>49</v>
      </c>
      <c r="B428" t="s">
        <v>50</v>
      </c>
      <c r="C428" t="s">
        <v>51</v>
      </c>
      <c r="D428" t="s">
        <v>52</v>
      </c>
      <c r="E428" t="s">
        <v>53</v>
      </c>
      <c r="F428" t="s">
        <v>54</v>
      </c>
      <c r="G428" t="str">
        <f>VLOOKUP(A:A,INVENTÁRIO_04_2025!A:A,1,0)</f>
        <v>SLOT-01</v>
      </c>
      <c r="H428" t="str">
        <f>VLOOKUP(A:A,INVENTÁRIO_06_2025!A:A,1,0)</f>
        <v>SLOT-01</v>
      </c>
    </row>
    <row r="429" spans="1:8" ht="11.25" customHeight="1">
      <c r="A429" t="s">
        <v>356</v>
      </c>
      <c r="B429" t="s">
        <v>61</v>
      </c>
      <c r="C429" t="s">
        <v>116</v>
      </c>
      <c r="D429" t="s">
        <v>163</v>
      </c>
      <c r="E429" t="s">
        <v>156</v>
      </c>
      <c r="F429" t="s">
        <v>560</v>
      </c>
      <c r="G429" t="str">
        <f>VLOOKUP(A:A,INVENTÁRIO_04_2025!A:A,1,0)</f>
        <v>SIAS1-GRU-new</v>
      </c>
      <c r="H429" t="str">
        <f>VLOOKUP(A:A,INVENTÁRIO_06_2025!A:A,1,0)</f>
        <v>SIAS1-GRU-new</v>
      </c>
    </row>
    <row r="430" spans="1:8" ht="11.25" customHeight="1">
      <c r="A430" t="s">
        <v>530</v>
      </c>
      <c r="B430" t="s">
        <v>61</v>
      </c>
      <c r="C430" t="s">
        <v>51</v>
      </c>
      <c r="D430" t="s">
        <v>109</v>
      </c>
      <c r="E430" t="s">
        <v>156</v>
      </c>
      <c r="F430" t="s">
        <v>560</v>
      </c>
      <c r="G430" t="str">
        <f>VLOOKUP(A:A,INVENTÁRIO_04_2025!A:A,1,0)</f>
        <v>SHOMWBCMSGRU01</v>
      </c>
      <c r="H430" t="str">
        <f>VLOOKUP(A:A,INVENTÁRIO_06_2025!A:A,1,0)</f>
        <v>SHOMWBCMSGRU01</v>
      </c>
    </row>
    <row r="431" spans="1:8" ht="11.25" customHeight="1">
      <c r="A431" t="s">
        <v>456</v>
      </c>
      <c r="B431" t="s">
        <v>61</v>
      </c>
      <c r="C431" t="s">
        <v>116</v>
      </c>
      <c r="D431" t="s">
        <v>242</v>
      </c>
      <c r="E431" t="s">
        <v>156</v>
      </c>
      <c r="F431" t="s">
        <v>560</v>
      </c>
      <c r="G431" t="str">
        <f>VLOOKUP(A:A,INVENTÁRIO_04_2025!A:A,1,0)</f>
        <v>SHOMTEMPGRU01</v>
      </c>
      <c r="H431" t="str">
        <f>VLOOKUP(A:A,INVENTÁRIO_06_2025!A:A,1,0)</f>
        <v>SHOMTEMPGRU01</v>
      </c>
    </row>
    <row r="432" spans="1:8" ht="11.25" customHeight="1">
      <c r="A432" t="s">
        <v>90</v>
      </c>
      <c r="B432" t="s">
        <v>61</v>
      </c>
      <c r="C432" t="s">
        <v>51</v>
      </c>
      <c r="D432" t="s">
        <v>85</v>
      </c>
      <c r="E432" t="s">
        <v>53</v>
      </c>
      <c r="F432" t="s">
        <v>67</v>
      </c>
      <c r="G432" t="str">
        <f>VLOOKUP(A:A,INVENTÁRIO_04_2025!A:A,1,0)</f>
        <v>SHOMBDORAGRU02</v>
      </c>
      <c r="H432" t="str">
        <f>VLOOKUP(A:A,INVENTÁRIO_06_2025!A:A,1,0)</f>
        <v>SHOMBDORAGRU02</v>
      </c>
    </row>
    <row r="433" spans="1:8" ht="11.25" customHeight="1">
      <c r="A433" t="s">
        <v>84</v>
      </c>
      <c r="B433" t="s">
        <v>61</v>
      </c>
      <c r="C433" t="s">
        <v>51</v>
      </c>
      <c r="D433" t="s">
        <v>85</v>
      </c>
      <c r="E433" t="s">
        <v>53</v>
      </c>
      <c r="F433" t="s">
        <v>63</v>
      </c>
      <c r="G433" t="str">
        <f>VLOOKUP(A:A,INVENTÁRIO_04_2025!A:A,1,0)</f>
        <v>SHOMBDORAGRU01</v>
      </c>
      <c r="H433" t="str">
        <f>VLOOKUP(A:A,INVENTÁRIO_06_2025!A:A,1,0)</f>
        <v>SHOMBDORAGRU01</v>
      </c>
    </row>
    <row r="434" spans="1:8" ht="11.25" customHeight="1">
      <c r="A434" t="s">
        <v>455</v>
      </c>
      <c r="B434" t="s">
        <v>61</v>
      </c>
      <c r="C434" t="s">
        <v>116</v>
      </c>
      <c r="D434" t="s">
        <v>242</v>
      </c>
      <c r="E434" t="s">
        <v>156</v>
      </c>
      <c r="F434" t="s">
        <v>560</v>
      </c>
      <c r="G434" t="str">
        <f>VLOOKUP(A:A,INVENTÁRIO_04_2025!A:A,1,0)</f>
        <v>SHOMBDCMSGRU01</v>
      </c>
      <c r="H434" t="str">
        <f>VLOOKUP(A:A,INVENTÁRIO_06_2025!A:A,1,0)</f>
        <v>SHOMBDCMSGRU01</v>
      </c>
    </row>
    <row r="435" spans="1:8" ht="11.25" customHeight="1">
      <c r="A435" t="s">
        <v>565</v>
      </c>
      <c r="B435" t="s">
        <v>61</v>
      </c>
      <c r="C435" t="s">
        <v>116</v>
      </c>
      <c r="D435" t="s">
        <v>562</v>
      </c>
      <c r="E435" t="s">
        <v>156</v>
      </c>
      <c r="F435" t="s">
        <v>560</v>
      </c>
      <c r="G435" t="str">
        <f>VLOOKUP(A:A,INVENTÁRIO_04_2025!A:A,1,0)</f>
        <v>SHOMAPRIMAGRU01</v>
      </c>
      <c r="H435" t="str">
        <f>VLOOKUP(A:A,INVENTÁRIO_06_2025!A:A,1,0)</f>
        <v>SHOMAPRIMAGRU01</v>
      </c>
    </row>
    <row r="436" spans="1:8" ht="11.25" customHeight="1">
      <c r="A436" t="s">
        <v>354</v>
      </c>
      <c r="B436" t="s">
        <v>61</v>
      </c>
      <c r="C436" t="s">
        <v>116</v>
      </c>
      <c r="D436" t="s">
        <v>163</v>
      </c>
      <c r="E436" t="s">
        <v>156</v>
      </c>
      <c r="F436" t="s">
        <v>560</v>
      </c>
      <c r="G436" t="str">
        <f>VLOOKUP(A:A,INVENTÁRIO_04_2025!A:A,1,0)</f>
        <v>SHOMAPPTCAGRU01</v>
      </c>
      <c r="H436" t="str">
        <f>VLOOKUP(A:A,INVENTÁRIO_06_2025!A:A,1,0)</f>
        <v>SHOMAPPTCAGRU01</v>
      </c>
    </row>
    <row r="437" spans="1:8" ht="11.25" customHeight="1">
      <c r="A437" t="s">
        <v>648</v>
      </c>
      <c r="B437" t="s">
        <v>61</v>
      </c>
      <c r="C437" t="s">
        <v>51</v>
      </c>
      <c r="D437" t="s">
        <v>111</v>
      </c>
      <c r="E437" t="s">
        <v>156</v>
      </c>
      <c r="F437" t="s">
        <v>560</v>
      </c>
      <c r="G437" t="e">
        <f>VLOOKUP(A:A,INVENTÁRIO_04_2025!A:A,1,0)</f>
        <v>#N/A</v>
      </c>
      <c r="H437" t="str">
        <f>VLOOKUP(A:A,INVENTÁRIO_06_2025!A:A,1,0)</f>
        <v>SHOMAPPOSTGRU01</v>
      </c>
    </row>
    <row r="438" spans="1:8" ht="11.25" customHeight="1">
      <c r="A438" t="s">
        <v>619</v>
      </c>
      <c r="B438" t="s">
        <v>61</v>
      </c>
      <c r="C438" t="s">
        <v>51</v>
      </c>
      <c r="D438" t="s">
        <v>295</v>
      </c>
      <c r="E438" t="s">
        <v>156</v>
      </c>
      <c r="F438" t="s">
        <v>560</v>
      </c>
      <c r="G438" t="str">
        <f>VLOOKUP(A:A,INVENTÁRIO_04_2025!A:A,1,0)</f>
        <v>SHOMAPPHPIGRU01</v>
      </c>
      <c r="H438" t="str">
        <f>VLOOKUP(A:A,INVENTÁRIO_06_2025!A:A,1,0)</f>
        <v>SHOMAPPHPIGRU01</v>
      </c>
    </row>
    <row r="439" spans="1:8" ht="11.25" customHeight="1">
      <c r="A439" t="s">
        <v>353</v>
      </c>
      <c r="B439" t="s">
        <v>61</v>
      </c>
      <c r="C439" t="s">
        <v>116</v>
      </c>
      <c r="D439" t="s">
        <v>122</v>
      </c>
      <c r="E439" t="s">
        <v>156</v>
      </c>
      <c r="F439" t="s">
        <v>560</v>
      </c>
      <c r="G439" t="str">
        <f>VLOOKUP(A:A,INVENTÁRIO_04_2025!A:A,1,0)</f>
        <v>SHOMAPITLGRU01</v>
      </c>
      <c r="H439" t="str">
        <f>VLOOKUP(A:A,INVENTÁRIO_06_2025!A:A,1,0)</f>
        <v>SHOMAPITLGRU01</v>
      </c>
    </row>
    <row r="440" spans="1:8" ht="11.25" customHeight="1">
      <c r="A440" t="s">
        <v>529</v>
      </c>
      <c r="B440" t="s">
        <v>61</v>
      </c>
      <c r="C440" t="s">
        <v>51</v>
      </c>
      <c r="D440" t="s">
        <v>295</v>
      </c>
      <c r="E440" t="s">
        <v>156</v>
      </c>
      <c r="F440" t="s">
        <v>560</v>
      </c>
      <c r="G440" t="str">
        <f>VLOOKUP(A:A,INVENTÁRIO_04_2025!A:A,1,0)</f>
        <v>SHOMAPIHSGRU02</v>
      </c>
      <c r="H440" t="str">
        <f>VLOOKUP(A:A,INVENTÁRIO_06_2025!A:A,1,0)</f>
        <v>SHOMAPIHSGRU02</v>
      </c>
    </row>
    <row r="441" spans="1:8" ht="11.25" customHeight="1">
      <c r="A441" t="s">
        <v>618</v>
      </c>
      <c r="B441" t="s">
        <v>61</v>
      </c>
      <c r="C441" t="s">
        <v>51</v>
      </c>
      <c r="D441" t="s">
        <v>295</v>
      </c>
      <c r="E441" t="s">
        <v>156</v>
      </c>
      <c r="F441" t="s">
        <v>560</v>
      </c>
      <c r="G441" t="str">
        <f>VLOOKUP(A:A,INVENTÁRIO_04_2025!A:A,1,0)</f>
        <v>SHOMAPGPROGRU01</v>
      </c>
      <c r="H441" t="str">
        <f>VLOOKUP(A:A,INVENTÁRIO_06_2025!A:A,1,0)</f>
        <v>SHOMAPGPROGRU01</v>
      </c>
    </row>
    <row r="442" spans="1:8" ht="11.25" customHeight="1">
      <c r="A442" t="s">
        <v>514</v>
      </c>
      <c r="B442" t="s">
        <v>61</v>
      </c>
      <c r="C442" t="s">
        <v>116</v>
      </c>
      <c r="D442" t="s">
        <v>572</v>
      </c>
      <c r="E442" t="s">
        <v>156</v>
      </c>
      <c r="F442" t="s">
        <v>560</v>
      </c>
      <c r="G442" t="str">
        <f>VLOOKUP(A:A,INVENTÁRIO_04_2025!A:A,1,0)</f>
        <v>SHOMAPESBGRU07</v>
      </c>
      <c r="H442" t="str">
        <f>VLOOKUP(A:A,INVENTÁRIO_06_2025!A:A,1,0)</f>
        <v>SHOMAPESBGRU07</v>
      </c>
    </row>
    <row r="443" spans="1:8" ht="11.25" customHeight="1">
      <c r="A443" t="s">
        <v>649</v>
      </c>
      <c r="B443" t="s">
        <v>61</v>
      </c>
      <c r="C443" t="s">
        <v>51</v>
      </c>
      <c r="D443" t="s">
        <v>295</v>
      </c>
      <c r="E443" t="s">
        <v>156</v>
      </c>
      <c r="F443" t="s">
        <v>560</v>
      </c>
      <c r="G443" t="e">
        <f>VLOOKUP(A:A,INVENTÁRIO_04_2025!A:A,1,0)</f>
        <v>#N/A</v>
      </c>
      <c r="H443" t="str">
        <f>VLOOKUP(A:A,INVENTÁRIO_06_2025!A:A,1,0)</f>
        <v>SHOMAPCUPSGRU01_RESTORE</v>
      </c>
    </row>
    <row r="444" spans="1:8" ht="11.25" customHeight="1">
      <c r="A444" t="s">
        <v>564</v>
      </c>
      <c r="B444" t="s">
        <v>61</v>
      </c>
      <c r="C444" t="s">
        <v>116</v>
      </c>
      <c r="D444" t="s">
        <v>562</v>
      </c>
      <c r="E444" t="s">
        <v>156</v>
      </c>
      <c r="F444" t="s">
        <v>560</v>
      </c>
      <c r="G444" t="str">
        <f>VLOOKUP(A:A,INVENTÁRIO_04_2025!A:A,1,0)</f>
        <v>SHOMAPCMSGRU05</v>
      </c>
      <c r="H444" t="str">
        <f>VLOOKUP(A:A,INVENTÁRIO_06_2025!A:A,1,0)</f>
        <v>SHOMAPCMSGRU05</v>
      </c>
    </row>
    <row r="445" spans="1:8" ht="11.25" customHeight="1">
      <c r="A445" t="s">
        <v>528</v>
      </c>
      <c r="B445" t="s">
        <v>61</v>
      </c>
      <c r="C445" t="s">
        <v>51</v>
      </c>
      <c r="D445" t="s">
        <v>109</v>
      </c>
      <c r="E445" t="s">
        <v>156</v>
      </c>
      <c r="F445" t="s">
        <v>560</v>
      </c>
      <c r="G445" t="str">
        <f>VLOOKUP(A:A,INVENTÁRIO_04_2025!A:A,1,0)</f>
        <v>SHOMAPCMSGRU03</v>
      </c>
      <c r="H445" t="str">
        <f>VLOOKUP(A:A,INVENTÁRIO_06_2025!A:A,1,0)</f>
        <v>SHOMAPCMSGRU03</v>
      </c>
    </row>
    <row r="446" spans="1:8" ht="11.25" customHeight="1">
      <c r="A446" t="s">
        <v>89</v>
      </c>
      <c r="B446" t="s">
        <v>61</v>
      </c>
      <c r="C446" t="s">
        <v>51</v>
      </c>
      <c r="D446" t="s">
        <v>85</v>
      </c>
      <c r="E446" t="s">
        <v>53</v>
      </c>
      <c r="F446" t="s">
        <v>67</v>
      </c>
      <c r="G446" t="str">
        <f>VLOOKUP(A:A,INVENTÁRIO_04_2025!A:A,1,0)</f>
        <v>SHOMAPCMSGRU02</v>
      </c>
      <c r="H446" t="str">
        <f>VLOOKUP(A:A,INVENTÁRIO_06_2025!A:A,1,0)</f>
        <v>SHOMAPCMSGRU02</v>
      </c>
    </row>
    <row r="447" spans="1:8" ht="11.25" customHeight="1">
      <c r="A447" t="s">
        <v>614</v>
      </c>
      <c r="B447" t="s">
        <v>61</v>
      </c>
      <c r="C447" t="s">
        <v>116</v>
      </c>
      <c r="D447" t="s">
        <v>562</v>
      </c>
      <c r="E447" t="s">
        <v>156</v>
      </c>
      <c r="F447" t="s">
        <v>560</v>
      </c>
      <c r="G447" t="str">
        <f>VLOOKUP(A:A,INVENTÁRIO_04_2025!A:A,1,0)</f>
        <v>SHOMAPBCBPGRU02</v>
      </c>
      <c r="H447" t="str">
        <f>VLOOKUP(A:A,INVENTÁRIO_06_2025!A:A,1,0)</f>
        <v>SHOMAPBCBPGRU02</v>
      </c>
    </row>
    <row r="448" spans="1:8" ht="11.25" customHeight="1">
      <c r="A448" t="s">
        <v>563</v>
      </c>
      <c r="B448" t="s">
        <v>61</v>
      </c>
      <c r="C448" t="s">
        <v>116</v>
      </c>
      <c r="D448" t="s">
        <v>562</v>
      </c>
      <c r="E448" t="s">
        <v>156</v>
      </c>
      <c r="F448" t="s">
        <v>560</v>
      </c>
      <c r="G448" t="str">
        <f>VLOOKUP(A:A,INVENTÁRIO_04_2025!A:A,1,0)</f>
        <v>SHOMAPBCBPGRU01</v>
      </c>
      <c r="H448" t="str">
        <f>VLOOKUP(A:A,INVENTÁRIO_06_2025!A:A,1,0)</f>
        <v>SHOMAPBCBPGRU01</v>
      </c>
    </row>
    <row r="449" spans="1:8" ht="11.25" customHeight="1">
      <c r="A449" t="s">
        <v>411</v>
      </c>
      <c r="B449" t="s">
        <v>61</v>
      </c>
      <c r="C449" t="s">
        <v>116</v>
      </c>
      <c r="D449" t="s">
        <v>174</v>
      </c>
      <c r="E449" t="s">
        <v>156</v>
      </c>
      <c r="F449" t="s">
        <v>560</v>
      </c>
      <c r="G449" t="str">
        <f>VLOOKUP(A:A,INVENTÁRIO_04_2025!A:A,1,0)</f>
        <v>SHOMAPAMSWGRU01</v>
      </c>
      <c r="H449" t="str">
        <f>VLOOKUP(A:A,INVENTÁRIO_06_2025!A:A,1,0)</f>
        <v>SHOMAPAMSWGRU01</v>
      </c>
    </row>
    <row r="450" spans="1:8" ht="11.25" customHeight="1">
      <c r="A450" t="s">
        <v>352</v>
      </c>
      <c r="B450" t="s">
        <v>61</v>
      </c>
      <c r="C450" t="s">
        <v>116</v>
      </c>
      <c r="D450" t="s">
        <v>163</v>
      </c>
      <c r="E450" t="s">
        <v>156</v>
      </c>
      <c r="F450" t="s">
        <v>560</v>
      </c>
      <c r="G450" t="str">
        <f>VLOOKUP(A:A,INVENTÁRIO_04_2025!A:A,1,0)</f>
        <v>SHOMAPAMSGRU02</v>
      </c>
      <c r="H450" t="str">
        <f>VLOOKUP(A:A,INVENTÁRIO_06_2025!A:A,1,0)</f>
        <v>SHOMAPAMSGRU02</v>
      </c>
    </row>
    <row r="451" spans="1:8" ht="11.25" customHeight="1">
      <c r="A451" t="s">
        <v>351</v>
      </c>
      <c r="B451" t="s">
        <v>61</v>
      </c>
      <c r="C451" t="s">
        <v>116</v>
      </c>
      <c r="D451" t="s">
        <v>163</v>
      </c>
      <c r="E451" t="s">
        <v>156</v>
      </c>
      <c r="F451" t="s">
        <v>560</v>
      </c>
      <c r="G451" t="str">
        <f>VLOOKUP(A:A,INVENTÁRIO_04_2025!A:A,1,0)</f>
        <v>SHOMAPAMSGRU01</v>
      </c>
      <c r="H451" t="str">
        <f>VLOOKUP(A:A,INVENTÁRIO_06_2025!A:A,1,0)</f>
        <v>SHOMAPAMSGRU01</v>
      </c>
    </row>
    <row r="452" spans="1:8" ht="11.25" customHeight="1">
      <c r="A452" t="s">
        <v>561</v>
      </c>
      <c r="B452" t="s">
        <v>61</v>
      </c>
      <c r="C452" t="s">
        <v>116</v>
      </c>
      <c r="D452" t="s">
        <v>562</v>
      </c>
      <c r="E452" t="s">
        <v>156</v>
      </c>
      <c r="F452" t="s">
        <v>560</v>
      </c>
      <c r="G452" t="str">
        <f>VLOOKUP(A:A,INVENTÁRIO_04_2025!A:A,1,0)</f>
        <v>SHOMADGRU02</v>
      </c>
      <c r="H452" t="str">
        <f>VLOOKUP(A:A,INVENTÁRIO_06_2025!A:A,1,0)</f>
        <v>SHOMADGRU02</v>
      </c>
    </row>
    <row r="453" spans="1:8" ht="11.25" customHeight="1">
      <c r="A453" t="s">
        <v>410</v>
      </c>
      <c r="B453" t="s">
        <v>61</v>
      </c>
      <c r="C453" t="s">
        <v>116</v>
      </c>
      <c r="D453" t="s">
        <v>174</v>
      </c>
      <c r="E453" t="s">
        <v>156</v>
      </c>
      <c r="F453" t="s">
        <v>560</v>
      </c>
      <c r="G453" t="str">
        <f>VLOOKUP(A:A,INVENTÁRIO_04_2025!A:A,1,0)</f>
        <v>SHOMADGRU01</v>
      </c>
      <c r="H453" t="str">
        <f>VLOOKUP(A:A,INVENTÁRIO_06_2025!A:A,1,0)</f>
        <v>SHOMADGRU01</v>
      </c>
    </row>
    <row r="454" spans="1:8" ht="11.25" customHeight="1">
      <c r="A454" t="s">
        <v>658</v>
      </c>
      <c r="B454" t="s">
        <v>61</v>
      </c>
      <c r="C454" t="s">
        <v>116</v>
      </c>
      <c r="D454" t="s">
        <v>572</v>
      </c>
      <c r="E454" t="s">
        <v>156</v>
      </c>
      <c r="F454" t="s">
        <v>560</v>
      </c>
      <c r="G454" t="e">
        <f>VLOOKUP(A:A,INVENTÁRIO_04_2025!A:A,1,0)</f>
        <v>#N/A</v>
      </c>
      <c r="H454" t="str">
        <f>VLOOKUP(A:A,INVENTÁRIO_06_2025!A:A,1,0)</f>
        <v>SHOMADGRU003</v>
      </c>
    </row>
    <row r="455" spans="1:8" ht="11.25" customHeight="1">
      <c r="A455" t="s">
        <v>656</v>
      </c>
      <c r="B455" t="s">
        <v>61</v>
      </c>
      <c r="C455" t="s">
        <v>116</v>
      </c>
      <c r="D455" t="s">
        <v>572</v>
      </c>
      <c r="E455" t="s">
        <v>156</v>
      </c>
      <c r="F455" t="s">
        <v>560</v>
      </c>
      <c r="G455" t="e">
        <f>VLOOKUP(A:A,INVENTÁRIO_04_2025!A:A,1,0)</f>
        <v>#N/A</v>
      </c>
      <c r="H455" t="str">
        <f>VLOOKUP(A:A,INVENTÁRIO_06_2025!A:A,1,0)</f>
        <v>SHOMADGRU002</v>
      </c>
    </row>
    <row r="456" spans="1:8" ht="11.25" customHeight="1">
      <c r="A456" t="s">
        <v>655</v>
      </c>
      <c r="B456" t="s">
        <v>61</v>
      </c>
      <c r="C456" t="s">
        <v>116</v>
      </c>
      <c r="D456" t="s">
        <v>572</v>
      </c>
      <c r="E456" t="s">
        <v>156</v>
      </c>
      <c r="F456" t="s">
        <v>560</v>
      </c>
      <c r="G456" t="e">
        <f>VLOOKUP(A:A,INVENTÁRIO_04_2025!A:A,1,0)</f>
        <v>#N/A</v>
      </c>
      <c r="H456" t="str">
        <f>VLOOKUP(A:A,INVENTÁRIO_06_2025!A:A,1,0)</f>
        <v>SHOMADGRU001</v>
      </c>
    </row>
    <row r="457" spans="1:8" ht="11.25" customHeight="1">
      <c r="A457" t="s">
        <v>340</v>
      </c>
      <c r="B457" t="s">
        <v>61</v>
      </c>
      <c r="C457" t="s">
        <v>116</v>
      </c>
      <c r="D457" t="s">
        <v>341</v>
      </c>
      <c r="E457" t="s">
        <v>156</v>
      </c>
      <c r="F457" t="s">
        <v>560</v>
      </c>
      <c r="G457" t="str">
        <f>VLOOKUP(A:A,INVENTÁRIO_04_2025!A:A,1,0)</f>
        <v>S-GRAN247</v>
      </c>
      <c r="H457" t="str">
        <f>VLOOKUP(A:A,INVENTÁRIO_06_2025!A:A,1,0)</f>
        <v>S-GRAN247</v>
      </c>
    </row>
    <row r="458" spans="1:8" ht="11.25" customHeight="1">
      <c r="A458" t="s">
        <v>165</v>
      </c>
      <c r="B458" t="s">
        <v>61</v>
      </c>
      <c r="C458" t="s">
        <v>116</v>
      </c>
      <c r="D458" t="s">
        <v>122</v>
      </c>
      <c r="E458" t="s">
        <v>156</v>
      </c>
      <c r="F458" t="s">
        <v>75</v>
      </c>
      <c r="G458" t="str">
        <f>VLOOKUP(A:A,INVENTÁRIO_04_2025!A:A,1,0)</f>
        <v>SFTP1-GRU</v>
      </c>
      <c r="H458" t="str">
        <f>VLOOKUP(A:A,INVENTÁRIO_06_2025!A:A,1,0)</f>
        <v>SFTP1-GRU</v>
      </c>
    </row>
    <row r="459" spans="1:8" ht="11.25" customHeight="1">
      <c r="A459" t="s">
        <v>409</v>
      </c>
      <c r="B459" t="s">
        <v>61</v>
      </c>
      <c r="C459" t="s">
        <v>116</v>
      </c>
      <c r="D459" t="s">
        <v>174</v>
      </c>
      <c r="E459" t="s">
        <v>156</v>
      </c>
      <c r="F459" t="s">
        <v>560</v>
      </c>
      <c r="G459" t="str">
        <f>VLOOKUP(A:A,INVENTÁRIO_04_2025!A:A,1,0)</f>
        <v>SDQOEMCWGRU01</v>
      </c>
      <c r="H459" t="str">
        <f>VLOOKUP(A:A,INVENTÁRIO_06_2025!A:A,1,0)</f>
        <v>SDQOEMCWGRU01</v>
      </c>
    </row>
    <row r="460" spans="1:8" ht="11.25" customHeight="1">
      <c r="A460" t="s">
        <v>524</v>
      </c>
      <c r="B460" t="s">
        <v>61</v>
      </c>
      <c r="C460" t="s">
        <v>51</v>
      </c>
      <c r="D460" t="s">
        <v>85</v>
      </c>
      <c r="E460" t="s">
        <v>156</v>
      </c>
      <c r="F460" t="s">
        <v>560</v>
      </c>
      <c r="G460" t="str">
        <f>VLOOKUP(A:A,INVENTÁRIO_04_2025!A:A,1,0)</f>
        <v>SDQBDORAGRU02</v>
      </c>
      <c r="H460" t="str">
        <f>VLOOKUP(A:A,INVENTÁRIO_06_2025!A:A,1,0)</f>
        <v>SDQBDORAGRU02</v>
      </c>
    </row>
    <row r="461" spans="1:8" ht="11.25" customHeight="1">
      <c r="A461" t="s">
        <v>523</v>
      </c>
      <c r="B461" t="s">
        <v>61</v>
      </c>
      <c r="C461" t="s">
        <v>51</v>
      </c>
      <c r="D461" t="s">
        <v>85</v>
      </c>
      <c r="E461" t="s">
        <v>156</v>
      </c>
      <c r="F461" t="s">
        <v>560</v>
      </c>
      <c r="G461" t="str">
        <f>VLOOKUP(A:A,INVENTÁRIO_04_2025!A:A,1,0)</f>
        <v>SDQBDORAGRU01</v>
      </c>
      <c r="H461" t="str">
        <f>VLOOKUP(A:A,INVENTÁRIO_06_2025!A:A,1,0)</f>
        <v>SDQBDORAGRU01</v>
      </c>
    </row>
    <row r="462" spans="1:8" ht="11.25" customHeight="1">
      <c r="A462" t="s">
        <v>522</v>
      </c>
      <c r="B462" t="s">
        <v>61</v>
      </c>
      <c r="C462" t="s">
        <v>51</v>
      </c>
      <c r="D462" t="s">
        <v>85</v>
      </c>
      <c r="E462" t="s">
        <v>156</v>
      </c>
      <c r="F462" t="s">
        <v>560</v>
      </c>
      <c r="G462" t="str">
        <f>VLOOKUP(A:A,INVENTÁRIO_04_2025!A:A,1,0)</f>
        <v>SDEVAPECGRU01</v>
      </c>
      <c r="H462" t="str">
        <f>VLOOKUP(A:A,INVENTÁRIO_06_2025!A:A,1,0)</f>
        <v>SDEVAPECGRU01</v>
      </c>
    </row>
    <row r="463" spans="1:8" ht="11.25" customHeight="1">
      <c r="A463" t="s">
        <v>350</v>
      </c>
      <c r="B463" t="s">
        <v>61</v>
      </c>
      <c r="C463" t="s">
        <v>116</v>
      </c>
      <c r="D463" t="s">
        <v>117</v>
      </c>
      <c r="E463" t="s">
        <v>156</v>
      </c>
      <c r="F463" t="s">
        <v>560</v>
      </c>
      <c r="G463" t="str">
        <f>VLOOKUP(A:A,INVENTÁRIO_04_2025!A:A,1,0)</f>
        <v>SDESAPMNTGRU01</v>
      </c>
      <c r="H463" t="str">
        <f>VLOOKUP(A:A,INVENTÁRIO_06_2025!A:A,1,0)</f>
        <v>SDESAPMNTGRU01</v>
      </c>
    </row>
    <row r="464" spans="1:8" ht="11.25" customHeight="1">
      <c r="A464" t="s">
        <v>348</v>
      </c>
      <c r="B464" t="s">
        <v>61</v>
      </c>
      <c r="C464" t="s">
        <v>116</v>
      </c>
      <c r="D464" t="s">
        <v>163</v>
      </c>
      <c r="E464" t="s">
        <v>156</v>
      </c>
      <c r="F464" t="s">
        <v>560</v>
      </c>
      <c r="G464" t="str">
        <f>VLOOKUP(A:A,INVENTÁRIO_04_2025!A:A,1,0)</f>
        <v>SADGUESTGRU01</v>
      </c>
      <c r="H464" t="str">
        <f>VLOOKUP(A:A,INVENTÁRIO_06_2025!A:A,1,0)</f>
        <v>SADGUESTGRU01</v>
      </c>
    </row>
    <row r="465" spans="1:8" ht="11.25" customHeight="1">
      <c r="A465" t="s">
        <v>164</v>
      </c>
      <c r="B465" t="s">
        <v>61</v>
      </c>
      <c r="C465" t="s">
        <v>116</v>
      </c>
      <c r="D465" t="s">
        <v>122</v>
      </c>
      <c r="E465" t="s">
        <v>156</v>
      </c>
      <c r="F465" t="s">
        <v>75</v>
      </c>
      <c r="G465" t="str">
        <f>VLOOKUP(A:A,INVENTÁRIO_04_2025!A:A,1,0)</f>
        <v>SAD2-GRU</v>
      </c>
      <c r="H465" t="str">
        <f>VLOOKUP(A:A,INVENTÁRIO_06_2025!A:A,1,0)</f>
        <v>SAD2-GRU</v>
      </c>
    </row>
    <row r="466" spans="1:8" ht="11.25" customHeight="1">
      <c r="A466" t="s">
        <v>207</v>
      </c>
      <c r="B466" t="s">
        <v>61</v>
      </c>
      <c r="C466" t="s">
        <v>116</v>
      </c>
      <c r="D466" t="s">
        <v>136</v>
      </c>
      <c r="E466" t="s">
        <v>156</v>
      </c>
      <c r="F466" t="s">
        <v>75</v>
      </c>
      <c r="G466" t="str">
        <f>VLOOKUP(A:A,INVENTÁRIO_04_2025!A:A,1,0)</f>
        <v>PRDSQLSC020</v>
      </c>
      <c r="H466" t="str">
        <f>VLOOKUP(A:A,INVENTÁRIO_06_2025!A:A,1,0)</f>
        <v>PRDSQLSC020</v>
      </c>
    </row>
    <row r="467" spans="1:8" ht="11.25" customHeight="1">
      <c r="A467" t="s">
        <v>291</v>
      </c>
      <c r="B467" t="s">
        <v>61</v>
      </c>
      <c r="C467" t="s">
        <v>51</v>
      </c>
      <c r="D467" t="s">
        <v>111</v>
      </c>
      <c r="E467" t="s">
        <v>156</v>
      </c>
      <c r="F467" t="s">
        <v>75</v>
      </c>
      <c r="G467" t="str">
        <f>VLOOKUP(A:A,INVENTÁRIO_04_2025!A:A,1,0)</f>
        <v>PRDRMADS02</v>
      </c>
      <c r="H467" t="str">
        <f>VLOOKUP(A:A,INVENTÁRIO_06_2025!A:A,1,0)</f>
        <v>PRDRMADS02</v>
      </c>
    </row>
    <row r="468" spans="1:8" ht="11.25" customHeight="1">
      <c r="A468" t="s">
        <v>609</v>
      </c>
      <c r="B468" t="s">
        <v>50</v>
      </c>
      <c r="C468" t="s">
        <v>116</v>
      </c>
      <c r="D468" t="s">
        <v>153</v>
      </c>
      <c r="E468" t="s">
        <v>53</v>
      </c>
      <c r="F468" t="s">
        <v>133</v>
      </c>
      <c r="G468" t="str">
        <f>VLOOKUP(A:A,INVENTÁRIO_04_2025!A:A,1,0)</f>
        <v>GRUSPRDCFTV220</v>
      </c>
      <c r="H468" t="str">
        <f>VLOOKUP(A:A,INVENTÁRIO_06_2025!A:A,1,0)</f>
        <v>GRUSPRDCFTV220</v>
      </c>
    </row>
    <row r="469" spans="1:8" ht="11.25" customHeight="1">
      <c r="A469" t="s">
        <v>608</v>
      </c>
      <c r="B469" t="s">
        <v>50</v>
      </c>
      <c r="C469" t="s">
        <v>116</v>
      </c>
      <c r="D469" t="s">
        <v>153</v>
      </c>
      <c r="E469" t="s">
        <v>53</v>
      </c>
      <c r="F469" t="s">
        <v>133</v>
      </c>
      <c r="G469" t="str">
        <f>VLOOKUP(A:A,INVENTÁRIO_04_2025!A:A,1,0)</f>
        <v>GRUSPRDCFTV219</v>
      </c>
      <c r="H469" t="str">
        <f>VLOOKUP(A:A,INVENTÁRIO_06_2025!A:A,1,0)</f>
        <v>GRUSPRDCFTV219</v>
      </c>
    </row>
    <row r="470" spans="1:8" ht="11.25" customHeight="1">
      <c r="A470" t="s">
        <v>607</v>
      </c>
      <c r="B470" t="s">
        <v>50</v>
      </c>
      <c r="C470" t="s">
        <v>116</v>
      </c>
      <c r="D470" t="s">
        <v>153</v>
      </c>
      <c r="E470" t="s">
        <v>53</v>
      </c>
      <c r="F470" t="s">
        <v>133</v>
      </c>
      <c r="G470" t="str">
        <f>VLOOKUP(A:A,INVENTÁRIO_04_2025!A:A,1,0)</f>
        <v>GRUSPRDCFTV218</v>
      </c>
      <c r="H470" t="str">
        <f>VLOOKUP(A:A,INVENTÁRIO_06_2025!A:A,1,0)</f>
        <v>GRUSPRDCFTV218</v>
      </c>
    </row>
    <row r="471" spans="1:8" ht="11.25" customHeight="1">
      <c r="A471" t="s">
        <v>606</v>
      </c>
      <c r="B471" t="s">
        <v>50</v>
      </c>
      <c r="C471" t="s">
        <v>116</v>
      </c>
      <c r="D471" t="s">
        <v>153</v>
      </c>
      <c r="E471" t="s">
        <v>53</v>
      </c>
      <c r="F471" t="s">
        <v>133</v>
      </c>
      <c r="G471" t="str">
        <f>VLOOKUP(A:A,INVENTÁRIO_04_2025!A:A,1,0)</f>
        <v>GRUSPRDCFTV217</v>
      </c>
      <c r="H471" t="str">
        <f>VLOOKUP(A:A,INVENTÁRIO_06_2025!A:A,1,0)</f>
        <v>GRUSPRDCFTV217</v>
      </c>
    </row>
    <row r="472" spans="1:8" ht="11.25" customHeight="1">
      <c r="A472" t="s">
        <v>605</v>
      </c>
      <c r="B472" t="s">
        <v>50</v>
      </c>
      <c r="C472" t="s">
        <v>116</v>
      </c>
      <c r="D472" t="s">
        <v>153</v>
      </c>
      <c r="E472" t="s">
        <v>53</v>
      </c>
      <c r="F472" t="s">
        <v>133</v>
      </c>
      <c r="G472" t="str">
        <f>VLOOKUP(A:A,INVENTÁRIO_04_2025!A:A,1,0)</f>
        <v>GRUSPRDCFTV216</v>
      </c>
      <c r="H472" t="str">
        <f>VLOOKUP(A:A,INVENTÁRIO_06_2025!A:A,1,0)</f>
        <v>GRUSPRDCFTV216</v>
      </c>
    </row>
    <row r="473" spans="1:8" ht="11.25" customHeight="1">
      <c r="A473" t="s">
        <v>604</v>
      </c>
      <c r="B473" t="s">
        <v>50</v>
      </c>
      <c r="C473" t="s">
        <v>116</v>
      </c>
      <c r="D473" t="s">
        <v>153</v>
      </c>
      <c r="E473" t="s">
        <v>53</v>
      </c>
      <c r="F473" t="s">
        <v>133</v>
      </c>
      <c r="G473" t="str">
        <f>VLOOKUP(A:A,INVENTÁRIO_04_2025!A:A,1,0)</f>
        <v>GRUSPRDCFTV215</v>
      </c>
      <c r="H473" t="str">
        <f>VLOOKUP(A:A,INVENTÁRIO_06_2025!A:A,1,0)</f>
        <v>GRUSPRDCFTV215</v>
      </c>
    </row>
    <row r="474" spans="1:8" ht="11.25" customHeight="1">
      <c r="A474" t="s">
        <v>603</v>
      </c>
      <c r="B474" t="s">
        <v>50</v>
      </c>
      <c r="C474" t="s">
        <v>116</v>
      </c>
      <c r="D474" t="s">
        <v>153</v>
      </c>
      <c r="E474" t="s">
        <v>53</v>
      </c>
      <c r="F474" t="s">
        <v>133</v>
      </c>
      <c r="G474" t="str">
        <f>VLOOKUP(A:A,INVENTÁRIO_04_2025!A:A,1,0)</f>
        <v>GRUSPRDCFTV214</v>
      </c>
      <c r="H474" t="str">
        <f>VLOOKUP(A:A,INVENTÁRIO_06_2025!A:A,1,0)</f>
        <v>GRUSPRDCFTV214</v>
      </c>
    </row>
    <row r="475" spans="1:8" ht="11.25" customHeight="1">
      <c r="A475" t="s">
        <v>602</v>
      </c>
      <c r="B475" t="s">
        <v>50</v>
      </c>
      <c r="C475" t="s">
        <v>116</v>
      </c>
      <c r="D475" t="s">
        <v>153</v>
      </c>
      <c r="E475" t="s">
        <v>53</v>
      </c>
      <c r="F475" t="s">
        <v>133</v>
      </c>
      <c r="G475" t="str">
        <f>VLOOKUP(A:A,INVENTÁRIO_04_2025!A:A,1,0)</f>
        <v>GRUSPRDCFTV213</v>
      </c>
      <c r="H475" t="str">
        <f>VLOOKUP(A:A,INVENTÁRIO_06_2025!A:A,1,0)</f>
        <v>GRUSPRDCFTV213</v>
      </c>
    </row>
    <row r="476" spans="1:8" ht="11.25" customHeight="1">
      <c r="A476" t="s">
        <v>601</v>
      </c>
      <c r="B476" t="s">
        <v>50</v>
      </c>
      <c r="C476" t="s">
        <v>116</v>
      </c>
      <c r="D476" t="s">
        <v>153</v>
      </c>
      <c r="E476" t="s">
        <v>53</v>
      </c>
      <c r="F476" t="s">
        <v>133</v>
      </c>
      <c r="G476" t="str">
        <f>VLOOKUP(A:A,INVENTÁRIO_04_2025!A:A,1,0)</f>
        <v>GRUSPRDCFTV212</v>
      </c>
      <c r="H476" t="str">
        <f>VLOOKUP(A:A,INVENTÁRIO_06_2025!A:A,1,0)</f>
        <v>GRUSPRDCFTV212</v>
      </c>
    </row>
    <row r="477" spans="1:8" ht="11.25" customHeight="1">
      <c r="A477" t="s">
        <v>600</v>
      </c>
      <c r="B477" t="s">
        <v>50</v>
      </c>
      <c r="C477" t="s">
        <v>116</v>
      </c>
      <c r="D477" t="s">
        <v>153</v>
      </c>
      <c r="E477" t="s">
        <v>53</v>
      </c>
      <c r="F477" t="s">
        <v>133</v>
      </c>
      <c r="G477" t="str">
        <f>VLOOKUP(A:A,INVENTÁRIO_04_2025!A:A,1,0)</f>
        <v>GRUSPRDCFTV211</v>
      </c>
      <c r="H477" t="str">
        <f>VLOOKUP(A:A,INVENTÁRIO_06_2025!A:A,1,0)</f>
        <v>GRUSPRDCFTV211</v>
      </c>
    </row>
    <row r="478" spans="1:8" ht="11.25" customHeight="1">
      <c r="A478" t="s">
        <v>599</v>
      </c>
      <c r="B478" t="s">
        <v>50</v>
      </c>
      <c r="C478" t="s">
        <v>116</v>
      </c>
      <c r="D478" t="s">
        <v>153</v>
      </c>
      <c r="E478" t="s">
        <v>53</v>
      </c>
      <c r="F478" t="s">
        <v>133</v>
      </c>
      <c r="G478" t="str">
        <f>VLOOKUP(A:A,INVENTÁRIO_04_2025!A:A,1,0)</f>
        <v>GRUSPRDCFTV210</v>
      </c>
      <c r="H478" t="str">
        <f>VLOOKUP(A:A,INVENTÁRIO_06_2025!A:A,1,0)</f>
        <v>GRUSPRDCFTV210</v>
      </c>
    </row>
    <row r="479" spans="1:8" ht="11.25" customHeight="1">
      <c r="A479" t="s">
        <v>598</v>
      </c>
      <c r="B479" t="s">
        <v>50</v>
      </c>
      <c r="C479" t="s">
        <v>116</v>
      </c>
      <c r="D479" t="s">
        <v>153</v>
      </c>
      <c r="E479" t="s">
        <v>53</v>
      </c>
      <c r="F479" t="s">
        <v>133</v>
      </c>
      <c r="G479" t="str">
        <f>VLOOKUP(A:A,INVENTÁRIO_04_2025!A:A,1,0)</f>
        <v>GRUSPRDCFTV209</v>
      </c>
      <c r="H479" t="str">
        <f>VLOOKUP(A:A,INVENTÁRIO_06_2025!A:A,1,0)</f>
        <v>GRUSPRDCFTV209</v>
      </c>
    </row>
    <row r="480" spans="1:8" ht="11.25" customHeight="1">
      <c r="A480" t="s">
        <v>597</v>
      </c>
      <c r="B480" t="s">
        <v>50</v>
      </c>
      <c r="C480" t="s">
        <v>116</v>
      </c>
      <c r="D480" t="s">
        <v>153</v>
      </c>
      <c r="E480" t="s">
        <v>53</v>
      </c>
      <c r="F480" t="s">
        <v>133</v>
      </c>
      <c r="G480" t="str">
        <f>VLOOKUP(A:A,INVENTÁRIO_04_2025!A:A,1,0)</f>
        <v>GRUSPRDCFTV208</v>
      </c>
      <c r="H480" t="str">
        <f>VLOOKUP(A:A,INVENTÁRIO_06_2025!A:A,1,0)</f>
        <v>GRUSPRDCFTV208</v>
      </c>
    </row>
    <row r="481" spans="1:8" ht="11.25" customHeight="1">
      <c r="A481" t="s">
        <v>596</v>
      </c>
      <c r="B481" t="s">
        <v>50</v>
      </c>
      <c r="C481" t="s">
        <v>116</v>
      </c>
      <c r="D481" t="s">
        <v>153</v>
      </c>
      <c r="E481" t="s">
        <v>53</v>
      </c>
      <c r="F481" t="s">
        <v>133</v>
      </c>
      <c r="G481" t="str">
        <f>VLOOKUP(A:A,INVENTÁRIO_04_2025!A:A,1,0)</f>
        <v>GRUSPRDCFTV207</v>
      </c>
      <c r="H481" t="str">
        <f>VLOOKUP(A:A,INVENTÁRIO_06_2025!A:A,1,0)</f>
        <v>GRUSPRDCFTV207</v>
      </c>
    </row>
    <row r="482" spans="1:8" ht="11.25" customHeight="1">
      <c r="A482" t="s">
        <v>595</v>
      </c>
      <c r="B482" t="s">
        <v>50</v>
      </c>
      <c r="C482" t="s">
        <v>116</v>
      </c>
      <c r="D482" t="s">
        <v>153</v>
      </c>
      <c r="E482" t="s">
        <v>53</v>
      </c>
      <c r="F482" t="s">
        <v>133</v>
      </c>
      <c r="G482" t="str">
        <f>VLOOKUP(A:A,INVENTÁRIO_04_2025!A:A,1,0)</f>
        <v>GRUSPRDCFTV206</v>
      </c>
      <c r="H482" t="str">
        <f>VLOOKUP(A:A,INVENTÁRIO_06_2025!A:A,1,0)</f>
        <v>GRUSPRDCFTV206</v>
      </c>
    </row>
    <row r="483" spans="1:8" ht="11.25" customHeight="1">
      <c r="A483" t="s">
        <v>594</v>
      </c>
      <c r="B483" t="s">
        <v>50</v>
      </c>
      <c r="C483" t="s">
        <v>116</v>
      </c>
      <c r="D483" t="s">
        <v>153</v>
      </c>
      <c r="E483" t="s">
        <v>53</v>
      </c>
      <c r="F483" t="s">
        <v>133</v>
      </c>
      <c r="G483" t="str">
        <f>VLOOKUP(A:A,INVENTÁRIO_04_2025!A:A,1,0)</f>
        <v>GRUSPRDCFTV205</v>
      </c>
      <c r="H483" t="str">
        <f>VLOOKUP(A:A,INVENTÁRIO_06_2025!A:A,1,0)</f>
        <v>GRUSPRDCFTV205</v>
      </c>
    </row>
    <row r="484" spans="1:8" ht="11.25" customHeight="1">
      <c r="A484" t="s">
        <v>593</v>
      </c>
      <c r="B484" t="s">
        <v>50</v>
      </c>
      <c r="C484" t="s">
        <v>116</v>
      </c>
      <c r="D484" t="s">
        <v>153</v>
      </c>
      <c r="E484" t="s">
        <v>53</v>
      </c>
      <c r="F484" t="s">
        <v>133</v>
      </c>
      <c r="G484" t="str">
        <f>VLOOKUP(A:A,INVENTÁRIO_04_2025!A:A,1,0)</f>
        <v>GRUSPRDCFTV204</v>
      </c>
      <c r="H484" t="str">
        <f>VLOOKUP(A:A,INVENTÁRIO_06_2025!A:A,1,0)</f>
        <v>GRUSPRDCFTV204</v>
      </c>
    </row>
    <row r="485" spans="1:8" ht="11.25" customHeight="1">
      <c r="A485" t="s">
        <v>592</v>
      </c>
      <c r="B485" t="s">
        <v>50</v>
      </c>
      <c r="C485" t="s">
        <v>116</v>
      </c>
      <c r="D485" t="s">
        <v>153</v>
      </c>
      <c r="E485" t="s">
        <v>53</v>
      </c>
      <c r="F485" t="s">
        <v>133</v>
      </c>
      <c r="G485" t="str">
        <f>VLOOKUP(A:A,INVENTÁRIO_04_2025!A:A,1,0)</f>
        <v>GRUSPRDCFTV203</v>
      </c>
      <c r="H485" t="str">
        <f>VLOOKUP(A:A,INVENTÁRIO_06_2025!A:A,1,0)</f>
        <v>GRUSPRDCFTV203</v>
      </c>
    </row>
    <row r="486" spans="1:8" ht="11.25" customHeight="1">
      <c r="A486" t="s">
        <v>591</v>
      </c>
      <c r="B486" t="s">
        <v>50</v>
      </c>
      <c r="C486" t="s">
        <v>116</v>
      </c>
      <c r="D486" t="s">
        <v>153</v>
      </c>
      <c r="E486" t="s">
        <v>53</v>
      </c>
      <c r="F486" t="s">
        <v>133</v>
      </c>
      <c r="G486" t="str">
        <f>VLOOKUP(A:A,INVENTÁRIO_04_2025!A:A,1,0)</f>
        <v>GRUSPRDCFTV202</v>
      </c>
      <c r="H486" t="str">
        <f>VLOOKUP(A:A,INVENTÁRIO_06_2025!A:A,1,0)</f>
        <v>GRUSPRDCFTV202</v>
      </c>
    </row>
    <row r="487" spans="1:8" ht="11.25" customHeight="1">
      <c r="A487" t="s">
        <v>590</v>
      </c>
      <c r="B487" t="s">
        <v>50</v>
      </c>
      <c r="C487" t="s">
        <v>116</v>
      </c>
      <c r="D487" t="s">
        <v>153</v>
      </c>
      <c r="E487" t="s">
        <v>53</v>
      </c>
      <c r="F487" t="s">
        <v>133</v>
      </c>
      <c r="G487" t="str">
        <f>VLOOKUP(A:A,INVENTÁRIO_04_2025!A:A,1,0)</f>
        <v>GRUSPRDCFTV201</v>
      </c>
      <c r="H487" t="str">
        <f>VLOOKUP(A:A,INVENTÁRIO_06_2025!A:A,1,0)</f>
        <v>GRUSPRDCFTV201</v>
      </c>
    </row>
    <row r="488" spans="1:8" ht="11.25" customHeight="1">
      <c r="A488" t="s">
        <v>589</v>
      </c>
      <c r="B488" t="s">
        <v>50</v>
      </c>
      <c r="C488" t="s">
        <v>116</v>
      </c>
      <c r="D488" t="s">
        <v>153</v>
      </c>
      <c r="E488" t="s">
        <v>53</v>
      </c>
      <c r="F488" t="s">
        <v>133</v>
      </c>
      <c r="G488" t="str">
        <f>VLOOKUP(A:A,INVENTÁRIO_04_2025!A:A,1,0)</f>
        <v>GRUSPRDCFTV200</v>
      </c>
      <c r="H488" t="str">
        <f>VLOOKUP(A:A,INVENTÁRIO_06_2025!A:A,1,0)</f>
        <v>GRUSPRDCFTV200</v>
      </c>
    </row>
    <row r="489" spans="1:8" ht="11.25" customHeight="1">
      <c r="A489" t="s">
        <v>162</v>
      </c>
      <c r="B489" t="s">
        <v>61</v>
      </c>
      <c r="C489" t="s">
        <v>116</v>
      </c>
      <c r="D489" t="s">
        <v>117</v>
      </c>
      <c r="E489" t="s">
        <v>156</v>
      </c>
      <c r="F489" t="s">
        <v>75</v>
      </c>
      <c r="G489" t="str">
        <f>VLOOKUP(A:A,INVENTÁRIO_04_2025!A:A,1,0)</f>
        <v>CCTVGRU20</v>
      </c>
      <c r="H489" t="str">
        <f>VLOOKUP(A:A,INVENTÁRIO_06_2025!A:A,1,0)</f>
        <v>CCTVGRU20</v>
      </c>
    </row>
  </sheetData>
  <autoFilter ref="A1:H489"/>
  <conditionalFormatting sqref="A2:A285 A288:A489">
    <cfRule type="duplicateValues" dxfId="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56"/>
  <sheetViews>
    <sheetView showGridLines="0" showRowColHeaders="0" zoomScale="85" zoomScaleNormal="85" workbookViewId="0">
      <selection activeCell="R20" sqref="R20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1" spans="2:12" ht="18" thickBot="1"/>
    <row r="2" spans="2:12" ht="20.399999999999999" customHeight="1" thickBot="1">
      <c r="B2" s="49" t="s">
        <v>673</v>
      </c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ht="21" thickBot="1">
      <c r="B3" s="4"/>
      <c r="C3" s="4"/>
      <c r="D3" s="4"/>
      <c r="E3" s="4"/>
      <c r="F3" s="4"/>
      <c r="G3" s="4"/>
      <c r="H3" s="4"/>
      <c r="I3" s="4"/>
    </row>
    <row r="4" spans="2:12" ht="20.399999999999999">
      <c r="B4" s="52" t="s">
        <v>1</v>
      </c>
      <c r="C4" s="53"/>
      <c r="D4" s="4"/>
      <c r="E4" s="52" t="s">
        <v>2</v>
      </c>
      <c r="F4" s="53"/>
      <c r="G4" s="4"/>
      <c r="H4" s="52" t="s">
        <v>3</v>
      </c>
      <c r="I4" s="53"/>
      <c r="K4" s="52" t="s">
        <v>4</v>
      </c>
      <c r="L4" s="53"/>
    </row>
    <row r="5" spans="2:12">
      <c r="B5" s="5" t="s">
        <v>5</v>
      </c>
      <c r="C5" s="6">
        <f>COUNTIFS(INVENTÁRIO_06_2025!C:C,"Linux",INVENTÁRIO_06_2025!E:E,"Virtual")</f>
        <v>97</v>
      </c>
      <c r="D5" s="7"/>
      <c r="E5" s="5" t="s">
        <v>6</v>
      </c>
      <c r="F5" s="6">
        <f>COUNTIFS(INVENTÁRIO_06_2025!C:C,"Linux",INVENTÁRIO_06_2025!E:E,"Fisico")</f>
        <v>50</v>
      </c>
      <c r="G5" s="7"/>
      <c r="H5" s="5" t="s">
        <v>5</v>
      </c>
      <c r="I5" s="6">
        <f>COUNTIFS(INVENTÁRIO_06_2025!C:C,"Windows",INVENTÁRIO_06_2025!E:E,"Virtual")</f>
        <v>268</v>
      </c>
      <c r="K5" s="5" t="s">
        <v>6</v>
      </c>
      <c r="L5" s="6">
        <f>COUNTIFS(INVENTÁRIO_06_2025!C:C,"Windows",INVENTÁRIO_06_2025!E:E,"Fisico")</f>
        <v>49</v>
      </c>
    </row>
    <row r="6" spans="2:12">
      <c r="B6" s="5" t="s">
        <v>7</v>
      </c>
      <c r="C6" s="6">
        <f>COUNTIFS(INVENTÁRIO_06_2025!B:B,"poweredOff",INVENTÁRIO_06_2025!C:C,"Linux",INVENTÁRIO_06_2025!E:E,"Virtual")</f>
        <v>4</v>
      </c>
      <c r="D6" s="7"/>
      <c r="E6" s="5" t="s">
        <v>7</v>
      </c>
      <c r="F6" s="6">
        <f>COUNTIFS(INVENTÁRIO_06_2025!B:B,"poweredOff",INVENTÁRIO_06_2025!C:C,"Linux",INVENTÁRIO_06_2025!E:E,"Fisico")</f>
        <v>5</v>
      </c>
      <c r="G6" s="7"/>
      <c r="H6" s="5" t="s">
        <v>7</v>
      </c>
      <c r="I6" s="6">
        <f>COUNTIFS(INVENTÁRIO_06_2025!B:B,"poweredOff",INVENTÁRIO_06_2025!C:C,"Windows",INVENTÁRIO_06_2025!E:E,"Virtual")</f>
        <v>14</v>
      </c>
      <c r="K6" s="5" t="s">
        <v>7</v>
      </c>
      <c r="L6" s="6">
        <f>COUNTIFS(INVENTÁRIO_06_2025!B:B,"poweredOff",INVENTÁRIO_06_2025!C:C,"Windows",INVENTÁRIO_06_2025!E:E,"Fisico")</f>
        <v>28</v>
      </c>
    </row>
    <row r="7" spans="2:12">
      <c r="B7" s="5" t="s">
        <v>8</v>
      </c>
      <c r="C7" s="6">
        <f>COUNTIFS(INVENTÁRIO_06_2025!B:B,"poweredOn",INVENTÁRIO_06_2025!C:C,"Linux",INVENTÁRIO_06_2025!E:E,"Virtual")</f>
        <v>93</v>
      </c>
      <c r="D7" s="7"/>
      <c r="E7" s="5" t="s">
        <v>8</v>
      </c>
      <c r="F7" s="6">
        <f>COUNTIFS(INVENTÁRIO_06_2025!B:B,"poweredOn",INVENTÁRIO_06_2025!C:C,"Linux",INVENTÁRIO_06_2025!E:E,"Fisico")</f>
        <v>45</v>
      </c>
      <c r="G7" s="7"/>
      <c r="H7" s="5" t="s">
        <v>8</v>
      </c>
      <c r="I7" s="6">
        <f>COUNTIFS(INVENTÁRIO_06_2025!B:B,"poweredOn",INVENTÁRIO_06_2025!C:C,"Windows",INVENTÁRIO_06_2025!E:E,"Virtual")</f>
        <v>254</v>
      </c>
      <c r="K7" s="5" t="s">
        <v>8</v>
      </c>
      <c r="L7" s="6">
        <f>COUNTIFS(INVENTÁRIO_06_2025!B:B,"poweredOn",INVENTÁRIO_06_2025!C:C,"Windows",INVENTÁRIO_06_2025!E:E,"Fisico")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COUNTIFS(INVENTÁRIO_06_2025!C:C,"Linux",INVENTÁRIO_06_2025!D:D,"*RedHat 9*",INVENTÁRIO_06_2025!E:E,"Virtual")</f>
        <v>14</v>
      </c>
      <c r="D9" s="7"/>
      <c r="E9" s="5" t="s">
        <v>9</v>
      </c>
      <c r="F9" s="6">
        <f>COUNTIFS(INVENTÁRIO_06_2025!C:C,"Linux",INVENTÁRIO_06_2025!D:D,"*RedHat 9*",INVENTÁRIO_06_2025!E:E,"Fisico")</f>
        <v>0</v>
      </c>
      <c r="G9" s="7"/>
      <c r="H9" s="5" t="s">
        <v>10</v>
      </c>
      <c r="I9" s="6">
        <f>COUNTIFS(INVENTÁRIO_06_2025!C:C,"Windows",INVENTÁRIO_06_2025!D:D,"*2022*",INVENTÁRIO_06_2025!E:E,"Virtual")</f>
        <v>28</v>
      </c>
      <c r="K9" s="5" t="s">
        <v>10</v>
      </c>
      <c r="L9" s="6">
        <f>COUNTIFS(INVENTÁRIO_06_2025!C:C,"Windows",INVENTÁRIO_06_2025!D:D,"*2022*",INVENTÁRIO_06_2025!E:E,"Fisico")</f>
        <v>22</v>
      </c>
    </row>
    <row r="10" spans="2:12">
      <c r="B10" s="5" t="s">
        <v>11</v>
      </c>
      <c r="C10" s="6">
        <f>COUNTIFS(INVENTÁRIO_06_2025!C:C,"Linux",INVENTÁRIO_06_2025!D:D,"*RedHat 8*",INVENTÁRIO_06_2025!E:E,"Virtual")</f>
        <v>9</v>
      </c>
      <c r="D10" s="7"/>
      <c r="E10" s="5" t="s">
        <v>11</v>
      </c>
      <c r="F10" s="6">
        <f>COUNTIFS(INVENTÁRIO_06_2025!C:C,"Linux",INVENTÁRIO_06_2025!D:D,"*RedHat 8*",INVENTÁRIO_06_2025!E:E,"Fisico")</f>
        <v>2</v>
      </c>
      <c r="G10" s="7"/>
      <c r="H10" s="5" t="s">
        <v>12</v>
      </c>
      <c r="I10" s="6">
        <f>COUNTIFS(INVENTÁRIO_06_2025!C:C,"Windows",INVENTÁRIO_06_2025!D:D,"*2019*",INVENTÁRIO_06_2025!E:E,"Virtual")</f>
        <v>48</v>
      </c>
      <c r="K10" s="5" t="s">
        <v>12</v>
      </c>
      <c r="L10" s="6">
        <f>COUNTIFS(INVENTÁRIO_06_2025!C:C,"Windows",INVENTÁRIO_06_2025!D:D,"*2019*",INVENTÁRIO_06_2025!E:E,"Fisico")</f>
        <v>14</v>
      </c>
    </row>
    <row r="11" spans="2:12">
      <c r="B11" s="5" t="s">
        <v>13</v>
      </c>
      <c r="C11" s="6">
        <f>COUNTIFS(INVENTÁRIO_06_2025!C:C,"Linux",INVENTÁRIO_06_2025!D:D,"*RedHat 7*",INVENTÁRIO_06_2025!E:E,"Virtual")</f>
        <v>7</v>
      </c>
      <c r="D11" s="7"/>
      <c r="E11" s="5" t="s">
        <v>13</v>
      </c>
      <c r="F11" s="6">
        <f>COUNTIFS(INVENTÁRIO_06_2025!C:C,"Linux",INVENTÁRIO_06_2025!D:D,"*RedHat 7*",INVENTÁRIO_06_2025!E:E,"Fisico")</f>
        <v>1</v>
      </c>
      <c r="G11" s="7"/>
      <c r="H11" s="5" t="s">
        <v>14</v>
      </c>
      <c r="I11" s="6">
        <f>COUNTIFS(INVENTÁRIO_06_2025!C:C,"Windows",INVENTÁRIO_06_2025!D:D,"*2016*",INVENTÁRIO_06_2025!E:E,"Virtual")</f>
        <v>76</v>
      </c>
      <c r="K11" s="5" t="s">
        <v>14</v>
      </c>
      <c r="L11" s="6">
        <f>COUNTIFS(INVENTÁRIO_06_2025!C:C,"Windows",INVENTÁRIO_06_2025!D:D,"*2016*",INVENTÁRIO_06_2025!E:E,"Fisico")</f>
        <v>0</v>
      </c>
    </row>
    <row r="12" spans="2:12">
      <c r="B12" s="5" t="s">
        <v>15</v>
      </c>
      <c r="C12" s="6">
        <f>COUNTIFS(INVENTÁRIO_06_2025!C:C,"Linux",INVENTÁRIO_06_2025!D:D,"*RedHat 6*",INVENTÁRIO_06_2025!E:E,"Virtual")</f>
        <v>8</v>
      </c>
      <c r="D12" s="7"/>
      <c r="E12" s="5" t="s">
        <v>15</v>
      </c>
      <c r="F12" s="6">
        <f>COUNTIFS(INVENTÁRIO_06_2025!C:C,"Linux",INVENTÁRIO_06_2025!D:D,"*RedHat 6*",INVENTÁRIO_06_2025!E:E,"Fisico")</f>
        <v>23</v>
      </c>
      <c r="G12" s="7"/>
      <c r="H12" s="5" t="s">
        <v>16</v>
      </c>
      <c r="I12" s="6">
        <f>COUNTIFS(INVENTÁRIO_06_2025!C:C,"Windows",INVENTÁRIO_06_2025!D:D,"*2012*",INVENTÁRIO_06_2025!E:E,"Virtual")</f>
        <v>53</v>
      </c>
      <c r="K12" s="5" t="s">
        <v>16</v>
      </c>
      <c r="L12" s="6">
        <f>COUNTIFS(INVENTÁRIO_06_2025!C:C,"Windows",INVENTÁRIO_06_2025!D:D,"*2012*",INVENTÁRIO_06_2025!E:E,"Fisico")</f>
        <v>7</v>
      </c>
    </row>
    <row r="13" spans="2:12">
      <c r="B13" s="5" t="s">
        <v>17</v>
      </c>
      <c r="C13" s="6">
        <f>COUNTIFS(INVENTÁRIO_06_2025!C:C,"Linux",INVENTÁRIO_06_2025!D:D,"*RedHat 5*",INVENTÁRIO_06_2025!E:E,"Virtual")</f>
        <v>0</v>
      </c>
      <c r="D13" s="7"/>
      <c r="E13" s="5" t="s">
        <v>17</v>
      </c>
      <c r="F13" s="6">
        <f>COUNTIFS(INVENTÁRIO_06_2025!C:C,"Linux",INVENTÁRIO_06_2025!D:D,"*RedHat 5*",INVENTÁRIO_06_2025!E:E,"Fisico")</f>
        <v>1</v>
      </c>
      <c r="G13" s="7"/>
      <c r="H13" s="5" t="s">
        <v>18</v>
      </c>
      <c r="I13" s="6">
        <f>COUNTIFS(INVENTÁRIO_06_2025!C:C,"Windows",INVENTÁRIO_06_2025!D:D,"*2008*",INVENTÁRIO_06_2025!E:E,"Virtual")</f>
        <v>57</v>
      </c>
      <c r="K13" s="5" t="s">
        <v>18</v>
      </c>
      <c r="L13" s="6">
        <f>COUNTIFS(INVENTÁRIO_06_2025!C:C,"Windows",INVENTÁRIO_06_2025!D:D,"*2008*",INVENTÁRIO_06_2025!E:E,"Fisico")</f>
        <v>6</v>
      </c>
    </row>
    <row r="14" spans="2:12">
      <c r="B14" s="5" t="s">
        <v>19</v>
      </c>
      <c r="C14" s="6">
        <f>COUNTIFS(INVENTÁRIO_06_2025!C:C,"Linux",INVENTÁRIO_06_2025!D:D,"*Ubuntu*",INVENTÁRIO_06_2025!E:E,"Virtual")</f>
        <v>28</v>
      </c>
      <c r="D14" s="7"/>
      <c r="E14" s="5" t="s">
        <v>19</v>
      </c>
      <c r="F14" s="6">
        <f>COUNTIFS(INVENTÁRIO_06_2025!C:C,"Linux",INVENTÁRIO_06_2025!D:D,"*Ubuntu*",INVENTÁRIO_06_2025!E:E,"Fisico")</f>
        <v>1</v>
      </c>
      <c r="G14" s="7"/>
      <c r="H14" s="5" t="s">
        <v>20</v>
      </c>
      <c r="I14" s="6">
        <f>COUNTIFS(INVENTÁRIO_06_2025!C:C,"Windows",INVENTÁRIO_06_2025!D:D,"*10*",INVENTÁRIO_06_2025!E:E,"Virtual")</f>
        <v>3</v>
      </c>
      <c r="K14" s="5" t="s">
        <v>20</v>
      </c>
      <c r="L14" s="6">
        <f>COUNTIFS(INVENTÁRIO_06_2025!C:C,"Windows",INVENTÁRIO_06_2025!D:D,"*10*",INVENTÁRIO_06_2025!E:E,"Fisico")</f>
        <v>0</v>
      </c>
    </row>
    <row r="15" spans="2:12">
      <c r="B15" s="5" t="s">
        <v>21</v>
      </c>
      <c r="C15" s="6">
        <f>COUNTIFS(INVENTÁRIO_06_2025!C:C,"Linux",INVENTÁRIO_06_2025!D:D,"*Centos*",INVENTÁRIO_06_2025!E:E,"Virtual")</f>
        <v>6</v>
      </c>
      <c r="D15" s="7"/>
      <c r="E15" s="5" t="s">
        <v>21</v>
      </c>
      <c r="F15" s="6">
        <f>COUNTIFS(INVENTÁRIO_06_2025!C:C,"Linux",INVENTÁRIO_06_2025!D:D,"*Centos*",INVENTÁRIO_06_2025!E:E,"Fisico")</f>
        <v>0</v>
      </c>
      <c r="G15" s="7"/>
      <c r="H15" s="5" t="s">
        <v>22</v>
      </c>
      <c r="I15" s="6">
        <f>COUNTIFS(INVENTÁRIO_06_2025!C:C,"Windows",INVENTÁRIO_06_2025!D:D,"*Windows 8*",INVENTÁRIO_06_2025!E:E,"Virtual")</f>
        <v>0</v>
      </c>
      <c r="K15" s="5" t="s">
        <v>22</v>
      </c>
      <c r="L15" s="6">
        <f>COUNTIFS(INVENTÁRIO_06_2025!C:C,"Windows",INVENTÁRIO_06_2025!D:D,"*Windows 8*",INVENTÁRIO_06_2025!E:E,"Fisico")</f>
        <v>0</v>
      </c>
    </row>
    <row r="16" spans="2:12" ht="18" thickBot="1">
      <c r="B16" s="5" t="s">
        <v>23</v>
      </c>
      <c r="C16" s="6">
        <f>COUNTIFS(INVENTÁRIO_06_2025!C:C,"Linux",INVENTÁRIO_06_2025!D:D,"*Debian*",INVENTÁRIO_06_2025!E:E,"Virtual")</f>
        <v>6</v>
      </c>
      <c r="D16" s="7"/>
      <c r="E16" s="5" t="s">
        <v>23</v>
      </c>
      <c r="F16" s="6">
        <f>COUNTIFS(INVENTÁRIO_06_2025!C:C,"Linux",INVENTÁRIO_06_2025!D:D,"*Debian*",INVENTÁRIO_06_2025!E:E,"Fisico")</f>
        <v>0</v>
      </c>
      <c r="G16" s="7"/>
      <c r="H16" s="12" t="s">
        <v>24</v>
      </c>
      <c r="I16" s="13">
        <f>COUNTIFS(INVENTÁRIO_06_2025!C:C,"Windows",INVENTÁRIO_06_2025!D:D,"*7*",INVENTÁRIO_06_2025!E:E,"Virtual")</f>
        <v>3</v>
      </c>
      <c r="K16" s="12" t="s">
        <v>24</v>
      </c>
      <c r="L16" s="13">
        <f>COUNTIFS(INVENTÁRIO_06_2025!C:C,"Windows",INVENTÁRIO_06_2025!D:D,"*7*",INVENTÁRIO_06_2025!E:E,"Fisico")</f>
        <v>0</v>
      </c>
    </row>
    <row r="17" spans="2:12">
      <c r="B17" s="5" t="s">
        <v>25</v>
      </c>
      <c r="C17" s="6">
        <f>COUNTIFS(INVENTÁRIO_06_2025!C:C,"Linux",INVENTÁRIO_06_2025!D:D,"*Suse*",INVENTÁRIO_06_2025!E:E,"Virtual")</f>
        <v>9</v>
      </c>
      <c r="D17" s="7"/>
      <c r="E17" s="5" t="s">
        <v>25</v>
      </c>
      <c r="F17" s="6">
        <f>COUNTIFS(INVENTÁRIO_06_2025!C:C,"Linux",INVENTÁRIO_06_2025!D:D,"*Suse*",INVENTÁRIO_06_2025!E:E,"Fisico")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87</v>
      </c>
      <c r="D18" s="7"/>
      <c r="E18" s="5" t="s">
        <v>26</v>
      </c>
      <c r="F18" s="6">
        <f>SUM(F9:F17)</f>
        <v>28</v>
      </c>
      <c r="G18" s="7"/>
    </row>
    <row r="19" spans="2:12" ht="18" thickBot="1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1" spans="2:12" ht="18" thickBot="1"/>
    <row r="22" spans="2:12" ht="21" thickBot="1">
      <c r="B22" s="52" t="s">
        <v>28</v>
      </c>
      <c r="C22" s="53"/>
      <c r="E22" s="52" t="s">
        <v>611</v>
      </c>
      <c r="F22" s="53"/>
      <c r="H22" s="52" t="s">
        <v>30</v>
      </c>
      <c r="I22" s="53"/>
      <c r="K22" s="52" t="s">
        <v>612</v>
      </c>
      <c r="L22" s="53"/>
    </row>
    <row r="23" spans="2:12">
      <c r="B23" s="8" t="s">
        <v>10</v>
      </c>
      <c r="C23" s="9">
        <f>I9+L9</f>
        <v>50</v>
      </c>
      <c r="E23" s="36" t="s">
        <v>674</v>
      </c>
      <c r="F23" s="37"/>
      <c r="H23" s="36" t="s">
        <v>519</v>
      </c>
      <c r="I23" s="37"/>
      <c r="K23" s="8" t="s">
        <v>32</v>
      </c>
      <c r="L23" s="9">
        <f>L25+L24</f>
        <v>464</v>
      </c>
    </row>
    <row r="24" spans="2:12">
      <c r="B24" s="8" t="s">
        <v>12</v>
      </c>
      <c r="C24" s="9">
        <f>I10+L10</f>
        <v>62</v>
      </c>
      <c r="E24" s="24" t="s">
        <v>675</v>
      </c>
      <c r="F24" s="41" t="s">
        <v>676</v>
      </c>
      <c r="H24" s="24" t="s">
        <v>346</v>
      </c>
      <c r="I24" s="41" t="s">
        <v>676</v>
      </c>
      <c r="K24" s="8" t="s">
        <v>33</v>
      </c>
      <c r="L24" s="9">
        <f>C5+F5</f>
        <v>147</v>
      </c>
    </row>
    <row r="25" spans="2:12">
      <c r="B25" s="8" t="s">
        <v>14</v>
      </c>
      <c r="C25" s="9">
        <f>I11</f>
        <v>76</v>
      </c>
      <c r="E25" s="24" t="s">
        <v>677</v>
      </c>
      <c r="F25" s="41" t="s">
        <v>676</v>
      </c>
      <c r="H25" s="24" t="s">
        <v>344</v>
      </c>
      <c r="I25" s="41" t="s">
        <v>676</v>
      </c>
      <c r="K25" s="8" t="s">
        <v>34</v>
      </c>
      <c r="L25" s="9">
        <f>L5+I5</f>
        <v>317</v>
      </c>
    </row>
    <row r="26" spans="2:12">
      <c r="B26" s="8" t="s">
        <v>18</v>
      </c>
      <c r="C26" s="9">
        <f>I13+L13</f>
        <v>63</v>
      </c>
      <c r="E26" s="24" t="s">
        <v>678</v>
      </c>
      <c r="F26" s="41" t="s">
        <v>676</v>
      </c>
      <c r="H26" s="24" t="s">
        <v>349</v>
      </c>
      <c r="I26" s="41" t="s">
        <v>676</v>
      </c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60</v>
      </c>
      <c r="E27" s="24" t="s">
        <v>679</v>
      </c>
      <c r="F27" s="41" t="s">
        <v>676</v>
      </c>
      <c r="H27" s="24" t="s">
        <v>520</v>
      </c>
      <c r="I27" s="41" t="s">
        <v>676</v>
      </c>
      <c r="K27" s="8" t="s">
        <v>5</v>
      </c>
      <c r="L27" s="9">
        <f>C5+I5</f>
        <v>365</v>
      </c>
    </row>
    <row r="28" spans="2:12">
      <c r="B28" s="8" t="s">
        <v>35</v>
      </c>
      <c r="C28" s="9">
        <f>C9+C10+C11+C12+C13+F9+F10+F11+F12+F13</f>
        <v>65</v>
      </c>
      <c r="E28" s="24" t="s">
        <v>680</v>
      </c>
      <c r="F28" s="41" t="s">
        <v>676</v>
      </c>
      <c r="H28" s="24" t="s">
        <v>521</v>
      </c>
      <c r="I28" s="41" t="s">
        <v>676</v>
      </c>
      <c r="K28" s="8" t="s">
        <v>37</v>
      </c>
      <c r="L28" s="9">
        <f>C7+F7+I7+L7</f>
        <v>413</v>
      </c>
    </row>
    <row r="29" spans="2:12">
      <c r="B29" s="8" t="s">
        <v>36</v>
      </c>
      <c r="C29" s="9">
        <f>C14+F14</f>
        <v>29</v>
      </c>
      <c r="E29" s="24" t="s">
        <v>681</v>
      </c>
      <c r="F29" s="41" t="s">
        <v>676</v>
      </c>
      <c r="H29" s="24" t="s">
        <v>617</v>
      </c>
      <c r="I29" s="41" t="s">
        <v>676</v>
      </c>
      <c r="K29" s="8" t="s">
        <v>39</v>
      </c>
      <c r="L29" s="9">
        <f>C6+F6+I6+L6</f>
        <v>51</v>
      </c>
    </row>
    <row r="30" spans="2:12">
      <c r="B30" s="8" t="s">
        <v>38</v>
      </c>
      <c r="C30" s="9">
        <f>C15+F15</f>
        <v>6</v>
      </c>
      <c r="E30" s="24" t="s">
        <v>682</v>
      </c>
      <c r="F30" s="41" t="s">
        <v>676</v>
      </c>
      <c r="H30" s="24" t="s">
        <v>355</v>
      </c>
      <c r="I30" s="41" t="s">
        <v>676</v>
      </c>
      <c r="K30" s="8" t="s">
        <v>621</v>
      </c>
      <c r="L30" s="9">
        <v>10</v>
      </c>
    </row>
    <row r="31" spans="2:12">
      <c r="B31" s="8" t="s">
        <v>40</v>
      </c>
      <c r="C31" s="9">
        <f>C17+F17</f>
        <v>9</v>
      </c>
      <c r="E31" s="24" t="s">
        <v>683</v>
      </c>
      <c r="F31" s="41" t="s">
        <v>676</v>
      </c>
      <c r="H31" s="24" t="s">
        <v>357</v>
      </c>
      <c r="I31" s="41" t="s">
        <v>676</v>
      </c>
      <c r="K31" s="8" t="s">
        <v>623</v>
      </c>
      <c r="L31" s="9">
        <v>34</v>
      </c>
    </row>
    <row r="32" spans="2:12">
      <c r="B32" s="14" t="s">
        <v>654</v>
      </c>
      <c r="C32" s="11">
        <f>C19+F19+I14+I15+I16+C16+F16</f>
        <v>44</v>
      </c>
      <c r="E32" s="39" t="s">
        <v>684</v>
      </c>
      <c r="F32" s="40" t="s">
        <v>685</v>
      </c>
      <c r="H32" s="24" t="s">
        <v>359</v>
      </c>
      <c r="I32" s="41" t="s">
        <v>676</v>
      </c>
    </row>
    <row r="33" spans="5:14">
      <c r="E33"/>
      <c r="F33"/>
      <c r="H33" s="24" t="s">
        <v>360</v>
      </c>
      <c r="I33" s="41" t="s">
        <v>676</v>
      </c>
    </row>
    <row r="34" spans="5:14">
      <c r="E34"/>
      <c r="F34"/>
      <c r="H34" s="24" t="s">
        <v>515</v>
      </c>
      <c r="I34" s="41" t="s">
        <v>676</v>
      </c>
    </row>
    <row r="35" spans="5:14">
      <c r="E35"/>
      <c r="F35"/>
      <c r="H35" s="24" t="s">
        <v>325</v>
      </c>
      <c r="I35" s="41" t="s">
        <v>676</v>
      </c>
    </row>
    <row r="36" spans="5:14">
      <c r="E36"/>
      <c r="F36"/>
      <c r="H36" s="24" t="s">
        <v>363</v>
      </c>
      <c r="I36" s="41" t="s">
        <v>676</v>
      </c>
    </row>
    <row r="37" spans="5:14">
      <c r="E37"/>
      <c r="F37"/>
      <c r="H37" s="24" t="s">
        <v>217</v>
      </c>
      <c r="I37" s="41" t="s">
        <v>676</v>
      </c>
      <c r="M37" s="7"/>
      <c r="N37" s="7"/>
    </row>
    <row r="38" spans="5:14">
      <c r="E38"/>
      <c r="F38"/>
      <c r="H38" s="24" t="s">
        <v>468</v>
      </c>
      <c r="I38" s="41" t="s">
        <v>676</v>
      </c>
      <c r="M38" s="7"/>
      <c r="N38" s="7"/>
    </row>
    <row r="39" spans="5:14">
      <c r="H39" s="24" t="s">
        <v>388</v>
      </c>
      <c r="I39" s="41" t="s">
        <v>676</v>
      </c>
    </row>
    <row r="40" spans="5:14">
      <c r="H40" s="24" t="s">
        <v>389</v>
      </c>
      <c r="I40" s="41" t="s">
        <v>676</v>
      </c>
    </row>
    <row r="41" spans="5:14">
      <c r="H41" s="24" t="s">
        <v>686</v>
      </c>
      <c r="I41" s="41" t="s">
        <v>676</v>
      </c>
    </row>
    <row r="42" spans="5:14">
      <c r="H42" s="24" t="s">
        <v>667</v>
      </c>
      <c r="I42" s="41" t="s">
        <v>676</v>
      </c>
    </row>
    <row r="43" spans="5:14">
      <c r="H43" s="24" t="s">
        <v>668</v>
      </c>
      <c r="I43" s="41" t="s">
        <v>676</v>
      </c>
    </row>
    <row r="44" spans="5:14">
      <c r="H44" s="24" t="s">
        <v>396</v>
      </c>
      <c r="I44" s="41" t="s">
        <v>676</v>
      </c>
    </row>
    <row r="45" spans="5:14">
      <c r="H45" s="24" t="s">
        <v>666</v>
      </c>
      <c r="I45" s="41" t="s">
        <v>676</v>
      </c>
    </row>
    <row r="46" spans="5:14">
      <c r="H46" s="24" t="s">
        <v>397</v>
      </c>
      <c r="I46" s="41" t="s">
        <v>676</v>
      </c>
    </row>
    <row r="47" spans="5:14">
      <c r="H47" s="24" t="s">
        <v>398</v>
      </c>
      <c r="I47" s="41" t="s">
        <v>676</v>
      </c>
    </row>
    <row r="48" spans="5:14">
      <c r="H48" s="24" t="s">
        <v>399</v>
      </c>
      <c r="I48" s="41" t="s">
        <v>676</v>
      </c>
    </row>
    <row r="49" spans="8:9">
      <c r="H49" s="24" t="s">
        <v>669</v>
      </c>
      <c r="I49" s="41" t="s">
        <v>676</v>
      </c>
    </row>
    <row r="50" spans="8:9">
      <c r="H50" s="24" t="s">
        <v>670</v>
      </c>
      <c r="I50" s="41" t="s">
        <v>676</v>
      </c>
    </row>
    <row r="51" spans="8:9">
      <c r="H51" s="24" t="s">
        <v>509</v>
      </c>
      <c r="I51" s="41" t="s">
        <v>676</v>
      </c>
    </row>
    <row r="52" spans="8:9">
      <c r="H52" s="24" t="s">
        <v>533</v>
      </c>
      <c r="I52" s="41" t="s">
        <v>676</v>
      </c>
    </row>
    <row r="53" spans="8:9">
      <c r="H53" s="24" t="s">
        <v>622</v>
      </c>
      <c r="I53" s="41" t="s">
        <v>676</v>
      </c>
    </row>
    <row r="54" spans="8:9">
      <c r="H54" s="24" t="s">
        <v>624</v>
      </c>
      <c r="I54" s="41" t="s">
        <v>676</v>
      </c>
    </row>
    <row r="55" spans="8:9">
      <c r="H55" s="24" t="s">
        <v>245</v>
      </c>
      <c r="I55" s="38"/>
    </row>
    <row r="56" spans="8:9" ht="18" thickBot="1">
      <c r="H56" s="39" t="s">
        <v>556</v>
      </c>
      <c r="I56" s="40" t="s">
        <v>685</v>
      </c>
    </row>
  </sheetData>
  <sortState ref="E23:E32">
    <sortCondition ref="E23"/>
  </sortState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1:G465"/>
  <sheetViews>
    <sheetView zoomScaleNormal="100" workbookViewId="0">
      <pane ySplit="1" topLeftCell="A101" activePane="bottomLeft" state="frozen"/>
      <selection pane="bottomLeft" activeCell="A55" sqref="A55:XFD55"/>
    </sheetView>
  </sheetViews>
  <sheetFormatPr defaultColWidth="9" defaultRowHeight="13.8"/>
  <cols>
    <col min="1" max="1" width="43" customWidth="1"/>
    <col min="2" max="2" width="17" customWidth="1"/>
    <col min="3" max="3" width="9.59765625" bestFit="1" customWidth="1"/>
    <col min="4" max="4" width="39.296875" bestFit="1" customWidth="1"/>
    <col min="5" max="5" width="17.8984375" customWidth="1"/>
    <col min="6" max="6" width="22.69921875" bestFit="1" customWidth="1"/>
    <col min="7" max="7" width="37" customWidth="1"/>
    <col min="8" max="8" width="16.8984375" customWidth="1"/>
  </cols>
  <sheetData>
    <row r="1" spans="1:7">
      <c r="A1" t="s">
        <v>43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</row>
    <row r="2" spans="1:7" hidden="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VLOOKUP(A:A,INVENTÁRIO_05_2025!A:A,1,0)</f>
        <v>SLOT-01</v>
      </c>
    </row>
    <row r="3" spans="1:7" hidden="1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VLOOKUP(A:A,INVENTÁRIO_05_2025!A:A,1,0)</f>
        <v>SPRDAPTRGRU01</v>
      </c>
    </row>
    <row r="4" spans="1:7" hidden="1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56</v>
      </c>
      <c r="G4" t="str">
        <f>VLOOKUP(A:A,INVENTÁRIO_05_2025!A:A,1,0)</f>
        <v>SPRDAPBWGRU01</v>
      </c>
    </row>
    <row r="5" spans="1:7" hidden="1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VLOOKUP(A:A,INVENTÁRIO_05_2025!A:A,1,0)</f>
        <v>SPRDAPBWGRU02</v>
      </c>
    </row>
    <row r="6" spans="1:7" hidden="1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VLOOKUP(A:A,INVENTÁRIO_05_2025!A:A,1,0)</f>
        <v>SPRDVMGRU01</v>
      </c>
    </row>
    <row r="7" spans="1:7" hidden="1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VLOOKUP(A:A,INVENTÁRIO_05_2025!A:A,1,0)</f>
        <v>SPRDVMGRU02</v>
      </c>
    </row>
    <row r="8" spans="1:7" hidden="1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VLOOKUP(A:A,INVENTÁRIO_05_2025!A:A,1,0)</f>
        <v>SPRDVMGRU05</v>
      </c>
    </row>
    <row r="9" spans="1:7" hidden="1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VLOOKUP(A:A,INVENTÁRIO_05_2025!A:A,1,0)</f>
        <v>SPRDVMGRU03</v>
      </c>
    </row>
    <row r="10" spans="1:7" hidden="1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VLOOKUP(A:A,INVENTÁRIO_05_2025!A:A,1,0)</f>
        <v>SPRDVMGRU04</v>
      </c>
    </row>
    <row r="11" spans="1:7" hidden="1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VLOOKUP(A:A,INVENTÁRIO_05_2025!A:A,1,0)</f>
        <v>SPRDVMGRU06</v>
      </c>
    </row>
    <row r="12" spans="1:7" hidden="1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VLOOKUP(A:A,INVENTÁRIO_05_2025!A:A,1,0)</f>
        <v>SPRDVMSAPGRU01</v>
      </c>
    </row>
    <row r="13" spans="1:7" hidden="1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VLOOKUP(A:A,INVENTÁRIO_05_2025!A:A,1,0)</f>
        <v>SPRDVMSAPGRU02</v>
      </c>
    </row>
    <row r="14" spans="1:7" hidden="1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VLOOKUP(A:A,INVENTÁRIO_05_2025!A:A,1,0)</f>
        <v>SPRDVMSAPGRU03</v>
      </c>
    </row>
    <row r="15" spans="1:7" hidden="1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VLOOKUP(A:A,INVENTÁRIO_05_2025!A:A,1,0)</f>
        <v>SPRDVMSAPGRU04</v>
      </c>
    </row>
    <row r="16" spans="1:7" hidden="1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VLOOKUP(A:A,INVENTÁRIO_05_2025!A:A,1,0)</f>
        <v>SPRDESXIGRU01</v>
      </c>
    </row>
    <row r="17" spans="1:7" hidden="1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VLOOKUP(A:A,INVENTÁRIO_05_2025!A:A,1,0)</f>
        <v>SPRDESXIGRU02</v>
      </c>
    </row>
    <row r="18" spans="1:7" hidden="1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VLOOKUP(A:A,INVENTÁRIO_05_2025!A:A,1,0)</f>
        <v>SPRDESXIGRU03</v>
      </c>
    </row>
    <row r="19" spans="1:7" hidden="1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VLOOKUP(A:A,INVENTÁRIO_05_2025!A:A,1,0)</f>
        <v>SPRDESXIGRU04</v>
      </c>
    </row>
    <row r="20" spans="1:7" hidden="1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VLOOKUP(A:A,INVENTÁRIO_05_2025!A:A,1,0)</f>
        <v>SPRDESXIGRU05</v>
      </c>
    </row>
    <row r="21" spans="1:7" hidden="1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VLOOKUP(A:A,INVENTÁRIO_05_2025!A:A,1,0)</f>
        <v>SPRDESXIGRU06</v>
      </c>
    </row>
    <row r="22" spans="1:7" hidden="1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VLOOKUP(A:A,INVENTÁRIO_05_2025!A:A,1,0)</f>
        <v>SPRDESXIGRU07</v>
      </c>
    </row>
    <row r="23" spans="1:7" hidden="1">
      <c r="A23" t="s">
        <v>558</v>
      </c>
      <c r="B23" t="s">
        <v>61</v>
      </c>
      <c r="C23" t="s">
        <v>51</v>
      </c>
      <c r="D23" t="s">
        <v>559</v>
      </c>
      <c r="E23" t="s">
        <v>53</v>
      </c>
      <c r="F23" t="s">
        <v>560</v>
      </c>
      <c r="G23" t="str">
        <f>VLOOKUP(A:A,INVENTÁRIO_05_2025!A:A,1,0)</f>
        <v>SPRDCCTVGRU31-OLD</v>
      </c>
    </row>
    <row r="24" spans="1:7" hidden="1">
      <c r="A24" t="s">
        <v>82</v>
      </c>
      <c r="B24" t="s">
        <v>61</v>
      </c>
      <c r="C24" t="s">
        <v>51</v>
      </c>
      <c r="D24" t="s">
        <v>83</v>
      </c>
      <c r="E24" t="s">
        <v>53</v>
      </c>
      <c r="F24" t="s">
        <v>63</v>
      </c>
      <c r="G24" t="str">
        <f>VLOOKUP(A:A,INVENTÁRIO_05_2025!A:A,1,0)</f>
        <v>SPRDBDORAGRU03</v>
      </c>
    </row>
    <row r="25" spans="1:7" hidden="1">
      <c r="A25" t="s">
        <v>84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VLOOKUP(A:A,INVENTÁRIO_05_2025!A:A,1,0)</f>
        <v>SHOMBDORAGRU01</v>
      </c>
    </row>
    <row r="26" spans="1:7" hidden="1">
      <c r="A26" t="s">
        <v>86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VLOOKUP(A:A,INVENTÁRIO_05_2025!A:A,1,0)</f>
        <v>SPRDAPCMSGRU02</v>
      </c>
    </row>
    <row r="27" spans="1:7" hidden="1">
      <c r="A27" t="s">
        <v>87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VLOOKUP(A:A,INVENTÁRIO_05_2025!A:A,1,0)</f>
        <v>SPRDBDORAGRU04</v>
      </c>
    </row>
    <row r="28" spans="1:7" hidden="1">
      <c r="A28" t="s">
        <v>88</v>
      </c>
      <c r="B28" t="s">
        <v>61</v>
      </c>
      <c r="C28" t="s">
        <v>51</v>
      </c>
      <c r="D28" t="s">
        <v>85</v>
      </c>
      <c r="E28" t="s">
        <v>53</v>
      </c>
      <c r="F28" t="s">
        <v>63</v>
      </c>
      <c r="G28" t="str">
        <f>VLOOKUP(A:A,INVENTÁRIO_05_2025!A:A,1,0)</f>
        <v>SPRDAPCMSGRU07</v>
      </c>
    </row>
    <row r="29" spans="1:7" hidden="1">
      <c r="A29" t="s">
        <v>89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VLOOKUP(A:A,INVENTÁRIO_05_2025!A:A,1,0)</f>
        <v>SHOMAPCMSGRU02</v>
      </c>
    </row>
    <row r="30" spans="1:7" hidden="1">
      <c r="A30" t="s">
        <v>90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VLOOKUP(A:A,INVENTÁRIO_05_2025!A:A,1,0)</f>
        <v>SHOMBDORAGRU02</v>
      </c>
    </row>
    <row r="31" spans="1:7" hidden="1">
      <c r="A31" t="s">
        <v>91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VLOOKUP(A:A,INVENTÁRIO_05_2025!A:A,1,0)</f>
        <v>SPRDAPCMSGRU04</v>
      </c>
    </row>
    <row r="32" spans="1:7" hidden="1">
      <c r="A32" t="s">
        <v>92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VLOOKUP(A:A,INVENTÁRIO_05_2025!A:A,1,0)</f>
        <v>SPRDAPCMSGRU05</v>
      </c>
    </row>
    <row r="33" spans="1:7" hidden="1">
      <c r="A33" t="s">
        <v>93</v>
      </c>
      <c r="B33" t="s">
        <v>61</v>
      </c>
      <c r="C33" t="s">
        <v>51</v>
      </c>
      <c r="D33" t="s">
        <v>85</v>
      </c>
      <c r="E33" t="s">
        <v>53</v>
      </c>
      <c r="F33" t="s">
        <v>67</v>
      </c>
      <c r="G33" t="str">
        <f>VLOOKUP(A:A,INVENTÁRIO_05_2025!A:A,1,0)</f>
        <v>SPRDBDORAGRU05</v>
      </c>
    </row>
    <row r="34" spans="1:7" hidden="1">
      <c r="A34" t="s">
        <v>94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VLOOKUP(A:A,INVENTÁRIO_05_2025!A:A,1,0)</f>
        <v>SPRDAPBIGRU01</v>
      </c>
    </row>
    <row r="35" spans="1:7" hidden="1">
      <c r="A35" t="s">
        <v>95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VLOOKUP(A:A,INVENTÁRIO_05_2025!A:A,1,0)</f>
        <v>SPRDAPECGRU01</v>
      </c>
    </row>
    <row r="36" spans="1:7" hidden="1">
      <c r="A36" t="s">
        <v>96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VLOOKUP(A:A,INVENTÁRIO_05_2025!A:A,1,0)</f>
        <v>SPRDAPECGRU02</v>
      </c>
    </row>
    <row r="37" spans="1:7" hidden="1">
      <c r="A37" t="s">
        <v>97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VLOOKUP(A:A,INVENTÁRIO_05_2025!A:A,1,0)</f>
        <v>SPRDAPECGRU03</v>
      </c>
    </row>
    <row r="38" spans="1:7" hidden="1">
      <c r="A38" t="s">
        <v>98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VLOOKUP(A:A,INVENTÁRIO_05_2025!A:A,1,0)</f>
        <v>SPRDAPPIGRU01</v>
      </c>
    </row>
    <row r="39" spans="1:7" hidden="1">
      <c r="A39" t="s">
        <v>99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VLOOKUP(A:A,INVENTÁRIO_05_2025!A:A,1,0)</f>
        <v>SPRDAPSMGRU01</v>
      </c>
    </row>
    <row r="40" spans="1:7" hidden="1">
      <c r="A40" t="s">
        <v>100</v>
      </c>
      <c r="B40" t="s">
        <v>61</v>
      </c>
      <c r="C40" t="s">
        <v>51</v>
      </c>
      <c r="D40" t="s">
        <v>85</v>
      </c>
      <c r="E40" t="s">
        <v>53</v>
      </c>
      <c r="F40" t="s">
        <v>56</v>
      </c>
      <c r="G40" t="str">
        <f>VLOOKUP(A:A,INVENTÁRIO_05_2025!A:A,1,0)</f>
        <v>SPRDBDORAGRU09</v>
      </c>
    </row>
    <row r="41" spans="1:7" hidden="1">
      <c r="A41" t="s">
        <v>101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VLOOKUP(A:A,INVENTÁRIO_05_2025!A:A,1,0)</f>
        <v>SPRDAPBIGRU02</v>
      </c>
    </row>
    <row r="42" spans="1:7" hidden="1">
      <c r="A42" t="s">
        <v>102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VLOOKUP(A:A,INVENTÁRIO_05_2025!A:A,1,0)</f>
        <v>SPRDAPECGRU04</v>
      </c>
    </row>
    <row r="43" spans="1:7" hidden="1">
      <c r="A43" t="s">
        <v>103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VLOOKUP(A:A,INVENTÁRIO_05_2025!A:A,1,0)</f>
        <v>SPRDAPECGRU05</v>
      </c>
    </row>
    <row r="44" spans="1:7" hidden="1">
      <c r="A44" t="s">
        <v>104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VLOOKUP(A:A,INVENTÁRIO_05_2025!A:A,1,0)</f>
        <v>SPRDAPECGRU06</v>
      </c>
    </row>
    <row r="45" spans="1:7" hidden="1">
      <c r="A45" t="s">
        <v>105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VLOOKUP(A:A,INVENTÁRIO_05_2025!A:A,1,0)</f>
        <v>SPRDAPPIGRU02</v>
      </c>
    </row>
    <row r="46" spans="1:7" hidden="1">
      <c r="A46" t="s">
        <v>106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VLOOKUP(A:A,INVENTÁRIO_05_2025!A:A,1,0)</f>
        <v>SPRDAPSMGRU02</v>
      </c>
    </row>
    <row r="47" spans="1:7" hidden="1">
      <c r="A47" t="s">
        <v>107</v>
      </c>
      <c r="B47" t="s">
        <v>61</v>
      </c>
      <c r="C47" t="s">
        <v>51</v>
      </c>
      <c r="D47" t="s">
        <v>85</v>
      </c>
      <c r="E47" t="s">
        <v>53</v>
      </c>
      <c r="F47" t="s">
        <v>58</v>
      </c>
      <c r="G47" t="str">
        <f>VLOOKUP(A:A,INVENTÁRIO_05_2025!A:A,1,0)</f>
        <v>SPRDBDORAGRU11</v>
      </c>
    </row>
    <row r="48" spans="1:7" hidden="1">
      <c r="A48" t="s">
        <v>108</v>
      </c>
      <c r="B48" t="s">
        <v>61</v>
      </c>
      <c r="C48" t="s">
        <v>51</v>
      </c>
      <c r="D48" t="s">
        <v>109</v>
      </c>
      <c r="E48" t="s">
        <v>53</v>
      </c>
      <c r="F48" t="s">
        <v>58</v>
      </c>
      <c r="G48" t="str">
        <f>VLOOKUP(A:A,INVENTÁRIO_05_2025!A:A,1,0)</f>
        <v>SPRDBDORAGRU12</v>
      </c>
    </row>
    <row r="49" spans="1:7" hidden="1">
      <c r="A49" t="s">
        <v>110</v>
      </c>
      <c r="B49" t="s">
        <v>50</v>
      </c>
      <c r="C49" t="s">
        <v>51</v>
      </c>
      <c r="D49" t="s">
        <v>111</v>
      </c>
      <c r="E49" t="s">
        <v>53</v>
      </c>
      <c r="F49" t="s">
        <v>67</v>
      </c>
      <c r="G49" t="str">
        <f>VLOOKUP(A:A,INVENTÁRIO_05_2025!A:A,1,0)</f>
        <v>SPRDAPCMSGRU06</v>
      </c>
    </row>
    <row r="50" spans="1:7" hidden="1">
      <c r="A50" t="s">
        <v>112</v>
      </c>
      <c r="B50" t="s">
        <v>61</v>
      </c>
      <c r="C50" t="s">
        <v>51</v>
      </c>
      <c r="D50" t="s">
        <v>111</v>
      </c>
      <c r="E50" t="s">
        <v>53</v>
      </c>
      <c r="F50" t="s">
        <v>58</v>
      </c>
      <c r="G50" t="str">
        <f>VLOOKUP(A:A,INVENTÁRIO_05_2025!A:A,1,0)</f>
        <v>SPRDAPCMSGRU08</v>
      </c>
    </row>
    <row r="51" spans="1:7" hidden="1">
      <c r="A51" t="s">
        <v>113</v>
      </c>
      <c r="B51" t="s">
        <v>61</v>
      </c>
      <c r="C51" t="s">
        <v>51</v>
      </c>
      <c r="D51" t="s">
        <v>114</v>
      </c>
      <c r="E51" t="s">
        <v>53</v>
      </c>
      <c r="F51" t="s">
        <v>56</v>
      </c>
      <c r="G51" t="str">
        <f>VLOOKUP(A:A,INVENTÁRIO_05_2025!A:A,1,0)</f>
        <v>SPRDAPSSHGRU01</v>
      </c>
    </row>
    <row r="52" spans="1:7" hidden="1">
      <c r="A52" t="s">
        <v>119</v>
      </c>
      <c r="B52" t="s">
        <v>61</v>
      </c>
      <c r="C52" t="s">
        <v>116</v>
      </c>
      <c r="D52" t="s">
        <v>117</v>
      </c>
      <c r="E52" t="s">
        <v>53</v>
      </c>
      <c r="F52" t="s">
        <v>120</v>
      </c>
      <c r="G52" t="str">
        <f>VLOOKUP(A:A,INVENTÁRIO_05_2025!A:A,1,0)</f>
        <v>SPRDADGRU01</v>
      </c>
    </row>
    <row r="53" spans="1:7" hidden="1">
      <c r="A53" t="s">
        <v>115</v>
      </c>
      <c r="B53" t="s">
        <v>50</v>
      </c>
      <c r="C53" t="s">
        <v>116</v>
      </c>
      <c r="D53" t="s">
        <v>117</v>
      </c>
      <c r="E53" t="s">
        <v>53</v>
      </c>
      <c r="F53" t="s">
        <v>56</v>
      </c>
      <c r="G53" t="str">
        <f>VLOOKUP(A:A,INVENTÁRIO_05_2025!A:A,1,0)</f>
        <v>SPRDAPMSGRU01</v>
      </c>
    </row>
    <row r="54" spans="1:7" hidden="1">
      <c r="A54" t="s">
        <v>118</v>
      </c>
      <c r="B54" t="s">
        <v>50</v>
      </c>
      <c r="C54" t="s">
        <v>116</v>
      </c>
      <c r="D54" t="s">
        <v>117</v>
      </c>
      <c r="E54" t="s">
        <v>53</v>
      </c>
      <c r="F54" t="s">
        <v>58</v>
      </c>
      <c r="G54" t="str">
        <f>VLOOKUP(A:A,INVENTÁRIO_05_2025!A:A,1,0)</f>
        <v>SPRDAPMSGRU02</v>
      </c>
    </row>
    <row r="55" spans="1:7" hidden="1">
      <c r="A55" t="s">
        <v>121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VLOOKUP(A:A,INVENTÁRIO_05_2025!A:A,1,0)</f>
        <v>SPRDAPBMSGRUB_O</v>
      </c>
    </row>
    <row r="56" spans="1:7" hidden="1">
      <c r="A56" t="s">
        <v>123</v>
      </c>
      <c r="B56" t="s">
        <v>50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SPRDAPBMSGRUA</v>
      </c>
    </row>
    <row r="57" spans="1:7" hidden="1">
      <c r="A57" t="s">
        <v>124</v>
      </c>
      <c r="B57" t="s">
        <v>61</v>
      </c>
      <c r="C57" t="s">
        <v>116</v>
      </c>
      <c r="D57" t="s">
        <v>122</v>
      </c>
      <c r="E57" t="s">
        <v>53</v>
      </c>
      <c r="F57" t="s">
        <v>120</v>
      </c>
      <c r="G57" t="str">
        <f>VLOOKUP(A:A,INVENTÁRIO_05_2025!A:A,1,0)</f>
        <v>SPRDAPOPCGRUB</v>
      </c>
    </row>
    <row r="58" spans="1:7" hidden="1">
      <c r="A58" t="s">
        <v>125</v>
      </c>
      <c r="B58" t="s">
        <v>61</v>
      </c>
      <c r="C58" t="s">
        <v>116</v>
      </c>
      <c r="D58" t="s">
        <v>126</v>
      </c>
      <c r="E58" t="s">
        <v>53</v>
      </c>
      <c r="F58" t="s">
        <v>63</v>
      </c>
      <c r="G58" t="str">
        <f>VLOOKUP(A:A,INVENTÁRIO_05_2025!A:A,1,0)</f>
        <v>SPRDSQLGRU10</v>
      </c>
    </row>
    <row r="59" spans="1:7" hidden="1">
      <c r="A59" t="s">
        <v>127</v>
      </c>
      <c r="B59" t="s">
        <v>50</v>
      </c>
      <c r="C59" t="s">
        <v>116</v>
      </c>
      <c r="D59" t="s">
        <v>126</v>
      </c>
      <c r="E59" t="s">
        <v>53</v>
      </c>
      <c r="F59" t="s">
        <v>67</v>
      </c>
      <c r="G59" t="str">
        <f>VLOOKUP(A:A,INVENTÁRIO_05_2025!A:A,1,0)</f>
        <v>SPRDSQLGRU11</v>
      </c>
    </row>
    <row r="60" spans="1:7" hidden="1">
      <c r="A60" t="s">
        <v>130</v>
      </c>
      <c r="B60" t="s">
        <v>61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VLOOKUP(A:A,INVENTÁRIO_05_2025!A:A,1,0)</f>
        <v>SPRDAPBKPGRU02</v>
      </c>
    </row>
    <row r="61" spans="1:7" hidden="1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VLOOKUP(A:A,INVENTÁRIO_05_2025!A:A,1,0)</f>
        <v>SPRDAPBKPGRU01</v>
      </c>
    </row>
    <row r="62" spans="1:7" hidden="1">
      <c r="A62" t="s">
        <v>128</v>
      </c>
      <c r="B62" t="s">
        <v>50</v>
      </c>
      <c r="C62" t="s">
        <v>116</v>
      </c>
      <c r="D62" t="s">
        <v>129</v>
      </c>
      <c r="E62" t="s">
        <v>53</v>
      </c>
      <c r="F62" t="s">
        <v>58</v>
      </c>
      <c r="G62" t="str">
        <f>VLOOKUP(A:A,INVENTÁRIO_05_2025!A:A,1,0)</f>
        <v>SPRDAPBPGRU02</v>
      </c>
    </row>
    <row r="63" spans="1:7" hidden="1">
      <c r="A63" t="s">
        <v>132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VLOOKUP(A:A,INVENTÁRIO_05_2025!A:A,1,0)</f>
        <v>SPRDCCTVGRU08</v>
      </c>
    </row>
    <row r="64" spans="1:7" hidden="1">
      <c r="A64" t="s">
        <v>134</v>
      </c>
      <c r="B64" t="s">
        <v>61</v>
      </c>
      <c r="C64" t="s">
        <v>116</v>
      </c>
      <c r="D64" t="s">
        <v>129</v>
      </c>
      <c r="E64" t="s">
        <v>53</v>
      </c>
      <c r="F64" t="s">
        <v>133</v>
      </c>
      <c r="G64" t="str">
        <f>VLOOKUP(A:A,INVENTÁRIO_05_2025!A:A,1,0)</f>
        <v>SPRDCCTVGRU10</v>
      </c>
    </row>
    <row r="65" spans="1:7" hidden="1">
      <c r="A65" t="s">
        <v>135</v>
      </c>
      <c r="B65" t="s">
        <v>50</v>
      </c>
      <c r="C65" t="s">
        <v>116</v>
      </c>
      <c r="D65" t="s">
        <v>136</v>
      </c>
      <c r="E65" t="s">
        <v>53</v>
      </c>
      <c r="F65" t="s">
        <v>63</v>
      </c>
      <c r="G65" t="str">
        <f>VLOOKUP(A:A,INVENTÁRIO_05_2025!A:A,1,0)</f>
        <v>SPRDAPDMZGRU01</v>
      </c>
    </row>
    <row r="66" spans="1:7" hidden="1">
      <c r="A66" t="s">
        <v>137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VLOOKUP(A:A,INVENTÁRIO_05_2025!A:A,1,0)</f>
        <v>SPRDCCTVGRU01</v>
      </c>
    </row>
    <row r="67" spans="1:7" hidden="1">
      <c r="A67" t="s">
        <v>138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VLOOKUP(A:A,INVENTÁRIO_05_2025!A:A,1,0)</f>
        <v>SPRDCCTVGRU20</v>
      </c>
    </row>
    <row r="68" spans="1:7" hidden="1">
      <c r="A68" t="s">
        <v>139</v>
      </c>
      <c r="B68" t="s">
        <v>61</v>
      </c>
      <c r="C68" t="s">
        <v>116</v>
      </c>
      <c r="D68" t="s">
        <v>136</v>
      </c>
      <c r="E68" t="s">
        <v>53</v>
      </c>
      <c r="F68" t="s">
        <v>133</v>
      </c>
      <c r="G68" t="str">
        <f>VLOOKUP(A:A,INVENTÁRIO_05_2025!A:A,1,0)</f>
        <v>SPRDCCTVGRU21</v>
      </c>
    </row>
    <row r="69" spans="1:7" hidden="1">
      <c r="A69" t="s">
        <v>140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VLOOKUP(A:A,INVENTÁRIO_05_2025!A:A,1,0)</f>
        <v>SPRDCCTVGRU02</v>
      </c>
    </row>
    <row r="70" spans="1:7" hidden="1">
      <c r="A70" t="s">
        <v>142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VLOOKUP(A:A,INVENTÁRIO_05_2025!A:A,1,0)</f>
        <v>SPRDCCTVGRU05</v>
      </c>
    </row>
    <row r="71" spans="1:7" hidden="1">
      <c r="A71" t="s">
        <v>143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VLOOKUP(A:A,INVENTÁRIO_05_2025!A:A,1,0)</f>
        <v>SPRDCCTVGRU07</v>
      </c>
    </row>
    <row r="72" spans="1:7" hidden="1">
      <c r="A72" t="s">
        <v>144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VLOOKUP(A:A,INVENTÁRIO_05_2025!A:A,1,0)</f>
        <v>SPRDCCTVGRU09</v>
      </c>
    </row>
    <row r="73" spans="1:7" hidden="1">
      <c r="A73" t="s">
        <v>145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VLOOKUP(A:A,INVENTÁRIO_05_2025!A:A,1,0)</f>
        <v>SPRDCCTVGRU11</v>
      </c>
    </row>
    <row r="74" spans="1:7" hidden="1">
      <c r="A74" t="s">
        <v>146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VLOOKUP(A:A,INVENTÁRIO_05_2025!A:A,1,0)</f>
        <v>SPRDCCTVGRU25</v>
      </c>
    </row>
    <row r="75" spans="1:7" hidden="1">
      <c r="A75" t="s">
        <v>147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VLOOKUP(A:A,INVENTÁRIO_05_2025!A:A,1,0)</f>
        <v>SPRDCCTVGRU26</v>
      </c>
    </row>
    <row r="76" spans="1:7" hidden="1">
      <c r="A76" t="s">
        <v>148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VLOOKUP(A:A,INVENTÁRIO_05_2025!A:A,1,0)</f>
        <v>SPRDCCTVGRU28</v>
      </c>
    </row>
    <row r="77" spans="1:7" hidden="1">
      <c r="A77" t="s">
        <v>149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VLOOKUP(A:A,INVENTÁRIO_05_2025!A:A,1,0)</f>
        <v>SPRDCCTVGRU29</v>
      </c>
    </row>
    <row r="78" spans="1:7" hidden="1">
      <c r="A78" t="s">
        <v>150</v>
      </c>
      <c r="B78" t="s">
        <v>61</v>
      </c>
      <c r="C78" t="s">
        <v>116</v>
      </c>
      <c r="D78" t="s">
        <v>141</v>
      </c>
      <c r="E78" t="s">
        <v>53</v>
      </c>
      <c r="F78" t="s">
        <v>133</v>
      </c>
      <c r="G78" t="str">
        <f>VLOOKUP(A:A,INVENTÁRIO_05_2025!A:A,1,0)</f>
        <v>SPRDCCTVGRU30</v>
      </c>
    </row>
    <row r="79" spans="1:7" hidden="1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VLOOKUP(A:A,INVENTÁRIO_05_2025!A:A,1,0)</f>
        <v>SPRDTSQGRU01</v>
      </c>
    </row>
    <row r="80" spans="1:7" hidden="1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VLOOKUP(A:A,INVENTÁRIO_05_2025!A:A,1,0)</f>
        <v>GRUSPRDCFTV200</v>
      </c>
    </row>
    <row r="81" spans="1:7" hidden="1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VLOOKUP(A:A,INVENTÁRIO_05_2025!A:A,1,0)</f>
        <v>GRUSPRDCFTV201</v>
      </c>
    </row>
    <row r="82" spans="1:7" hidden="1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VLOOKUP(A:A,INVENTÁRIO_05_2025!A:A,1,0)</f>
        <v>GRUSPRDCFTV202</v>
      </c>
    </row>
    <row r="83" spans="1:7" hidden="1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VLOOKUP(A:A,INVENTÁRIO_05_2025!A:A,1,0)</f>
        <v>GRUSPRDCFTV203</v>
      </c>
    </row>
    <row r="84" spans="1:7" hidden="1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VLOOKUP(A:A,INVENTÁRIO_05_2025!A:A,1,0)</f>
        <v>GRUSPRDCFTV204</v>
      </c>
    </row>
    <row r="85" spans="1:7" hidden="1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VLOOKUP(A:A,INVENTÁRIO_05_2025!A:A,1,0)</f>
        <v>GRUSPRDCFTV205</v>
      </c>
    </row>
    <row r="86" spans="1:7" hidden="1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VLOOKUP(A:A,INVENTÁRIO_05_2025!A:A,1,0)</f>
        <v>GRUSPRDCFTV206</v>
      </c>
    </row>
    <row r="87" spans="1:7" hidden="1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VLOOKUP(A:A,INVENTÁRIO_05_2025!A:A,1,0)</f>
        <v>GRUSPRDCFTV207</v>
      </c>
    </row>
    <row r="88" spans="1:7" hidden="1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VLOOKUP(A:A,INVENTÁRIO_05_2025!A:A,1,0)</f>
        <v>GRUSPRDCFTV208</v>
      </c>
    </row>
    <row r="89" spans="1:7" hidden="1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VLOOKUP(A:A,INVENTÁRIO_05_2025!A:A,1,0)</f>
        <v>GRUSPRDCFTV209</v>
      </c>
    </row>
    <row r="90" spans="1:7" hidden="1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VLOOKUP(A:A,INVENTÁRIO_05_2025!A:A,1,0)</f>
        <v>GRUSPRDCFTV210</v>
      </c>
    </row>
    <row r="91" spans="1:7" hidden="1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VLOOKUP(A:A,INVENTÁRIO_05_2025!A:A,1,0)</f>
        <v>GRUSPRDCFTV211</v>
      </c>
    </row>
    <row r="92" spans="1:7" hidden="1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VLOOKUP(A:A,INVENTÁRIO_05_2025!A:A,1,0)</f>
        <v>GRUSPRDCFTV212</v>
      </c>
    </row>
    <row r="93" spans="1:7" hidden="1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VLOOKUP(A:A,INVENTÁRIO_05_2025!A:A,1,0)</f>
        <v>GRUSPRDCFTV213</v>
      </c>
    </row>
    <row r="94" spans="1:7" hidden="1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VLOOKUP(A:A,INVENTÁRIO_05_2025!A:A,1,0)</f>
        <v>GRUSPRDCFTV214</v>
      </c>
    </row>
    <row r="95" spans="1:7" hidden="1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VLOOKUP(A:A,INVENTÁRIO_05_2025!A:A,1,0)</f>
        <v>GRUSPRDCFTV215</v>
      </c>
    </row>
    <row r="96" spans="1:7" hidden="1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VLOOKUP(A:A,INVENTÁRIO_05_2025!A:A,1,0)</f>
        <v>GRUSPRDCFTV216</v>
      </c>
    </row>
    <row r="97" spans="1:7" hidden="1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VLOOKUP(A:A,INVENTÁRIO_05_2025!A:A,1,0)</f>
        <v>GRUSPRDCFTV217</v>
      </c>
    </row>
    <row r="98" spans="1:7" hidden="1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VLOOKUP(A:A,INVENTÁRIO_05_2025!A:A,1,0)</f>
        <v>GRUSPRDCFTV218</v>
      </c>
    </row>
    <row r="99" spans="1:7" hidden="1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VLOOKUP(A:A,INVENTÁRIO_05_2025!A:A,1,0)</f>
        <v>GRUSPRDCFTV219</v>
      </c>
    </row>
    <row r="100" spans="1:7" hidden="1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VLOOKUP(A:A,INVENTÁRIO_05_2025!A:A,1,0)</f>
        <v>GRUSPRDCFTV220</v>
      </c>
    </row>
    <row r="101" spans="1:7">
      <c r="A101" t="s">
        <v>656</v>
      </c>
      <c r="B101" t="s">
        <v>50</v>
      </c>
      <c r="C101" t="s">
        <v>116</v>
      </c>
      <c r="D101" t="s">
        <v>572</v>
      </c>
      <c r="E101" t="s">
        <v>156</v>
      </c>
      <c r="F101" t="s">
        <v>560</v>
      </c>
      <c r="G101" t="str">
        <f>VLOOKUP(A:A,INVENTÁRIO_05_2025!A:A,1,0)</f>
        <v>SHOMADGRU002</v>
      </c>
    </row>
    <row r="102" spans="1:7">
      <c r="A102" t="s">
        <v>561</v>
      </c>
      <c r="B102" t="s">
        <v>50</v>
      </c>
      <c r="C102" t="s">
        <v>116</v>
      </c>
      <c r="D102" t="s">
        <v>562</v>
      </c>
      <c r="E102" t="s">
        <v>156</v>
      </c>
      <c r="F102" t="s">
        <v>560</v>
      </c>
      <c r="G102" t="str">
        <f>VLOOKUP(A:A,INVENTÁRIO_05_2025!A:A,1,0)</f>
        <v>SHOMADGRU02</v>
      </c>
    </row>
    <row r="103" spans="1:7">
      <c r="A103" t="s">
        <v>675</v>
      </c>
      <c r="B103" t="s">
        <v>50</v>
      </c>
      <c r="C103" t="s">
        <v>116</v>
      </c>
      <c r="D103" t="s">
        <v>126</v>
      </c>
      <c r="E103" t="s">
        <v>156</v>
      </c>
      <c r="F103" t="s">
        <v>560</v>
      </c>
      <c r="G103" t="e">
        <f>VLOOKUP(A:A,INVENTÁRIO_05_2025!A:A,1,0)</f>
        <v>#N/A</v>
      </c>
    </row>
    <row r="104" spans="1:7">
      <c r="A104" t="s">
        <v>677</v>
      </c>
      <c r="B104" t="s">
        <v>50</v>
      </c>
      <c r="C104" t="s">
        <v>51</v>
      </c>
      <c r="D104" t="s">
        <v>526</v>
      </c>
      <c r="E104" t="s">
        <v>156</v>
      </c>
      <c r="F104" t="s">
        <v>560</v>
      </c>
      <c r="G104" t="e">
        <f>VLOOKUP(A:A,INVENTÁRIO_05_2025!A:A,1,0)</f>
        <v>#N/A</v>
      </c>
    </row>
    <row r="105" spans="1:7">
      <c r="A105" t="s">
        <v>367</v>
      </c>
      <c r="B105" t="s">
        <v>50</v>
      </c>
      <c r="C105" t="s">
        <v>116</v>
      </c>
      <c r="D105" t="s">
        <v>117</v>
      </c>
      <c r="E105" t="s">
        <v>156</v>
      </c>
      <c r="F105" t="s">
        <v>560</v>
      </c>
      <c r="G105" t="str">
        <f>VLOOKUP(A:A,INVENTÁRIO_05_2025!A:A,1,0)</f>
        <v>SPRDAPEVGRU01</v>
      </c>
    </row>
    <row r="106" spans="1:7">
      <c r="A106" t="s">
        <v>448</v>
      </c>
      <c r="B106" t="s">
        <v>50</v>
      </c>
      <c r="C106" t="s">
        <v>116</v>
      </c>
      <c r="D106" t="s">
        <v>126</v>
      </c>
      <c r="E106" t="s">
        <v>156</v>
      </c>
      <c r="F106" t="s">
        <v>560</v>
      </c>
      <c r="G106" t="str">
        <f>VLOOKUP(A:A,INVENTÁRIO_05_2025!A:A,1,0)</f>
        <v>SPRDSAPECFGRU01</v>
      </c>
    </row>
    <row r="107" spans="1:7">
      <c r="A107" t="s">
        <v>402</v>
      </c>
      <c r="B107" t="s">
        <v>50</v>
      </c>
      <c r="C107" t="s">
        <v>116</v>
      </c>
      <c r="D107" t="s">
        <v>163</v>
      </c>
      <c r="E107" t="s">
        <v>156</v>
      </c>
      <c r="F107" t="s">
        <v>560</v>
      </c>
      <c r="G107" t="str">
        <f>VLOOKUP(A:A,INVENTÁRIO_05_2025!A:A,1,0)</f>
        <v>SPRDSQLGRU01_NÂOLIGAR_2024071045001124</v>
      </c>
    </row>
    <row r="108" spans="1:7">
      <c r="A108" t="s">
        <v>679</v>
      </c>
      <c r="B108" t="s">
        <v>50</v>
      </c>
      <c r="C108" t="s">
        <v>51</v>
      </c>
      <c r="D108" t="s">
        <v>114</v>
      </c>
      <c r="E108" t="s">
        <v>156</v>
      </c>
      <c r="F108" t="s">
        <v>75</v>
      </c>
      <c r="G108" t="e">
        <f>VLOOKUP(A:A,INVENTÁRIO_05_2025!A:A,1,0)</f>
        <v>#N/A</v>
      </c>
    </row>
    <row r="109" spans="1:7">
      <c r="A109" t="s">
        <v>646</v>
      </c>
      <c r="B109" t="s">
        <v>50</v>
      </c>
      <c r="C109" t="s">
        <v>51</v>
      </c>
      <c r="D109" t="s">
        <v>109</v>
      </c>
      <c r="E109" t="s">
        <v>156</v>
      </c>
      <c r="F109" t="s">
        <v>75</v>
      </c>
      <c r="G109" t="str">
        <f>VLOOKUP(A:A,INVENTÁRIO_05_2025!A:A,1,0)</f>
        <v>SPRDAPIHSGRU01_RESTORE</v>
      </c>
    </row>
    <row r="110" spans="1:7">
      <c r="A110" t="s">
        <v>245</v>
      </c>
      <c r="B110" t="s">
        <v>50</v>
      </c>
      <c r="C110" t="s">
        <v>116</v>
      </c>
      <c r="D110" t="s">
        <v>242</v>
      </c>
      <c r="E110" t="s">
        <v>156</v>
      </c>
      <c r="F110" t="s">
        <v>75</v>
      </c>
    </row>
    <row r="111" spans="1:7">
      <c r="A111" t="s">
        <v>680</v>
      </c>
      <c r="B111" t="s">
        <v>50</v>
      </c>
      <c r="C111" t="s">
        <v>51</v>
      </c>
      <c r="D111" t="s">
        <v>273</v>
      </c>
      <c r="E111" t="s">
        <v>156</v>
      </c>
      <c r="F111" t="s">
        <v>75</v>
      </c>
      <c r="G111" t="e">
        <f>VLOOKUP(A:A,INVENTÁRIO_05_2025!A:A,1,0)</f>
        <v>#N/A</v>
      </c>
    </row>
    <row r="112" spans="1:7">
      <c r="A112" t="s">
        <v>682</v>
      </c>
      <c r="B112" t="s">
        <v>50</v>
      </c>
      <c r="C112" t="s">
        <v>116</v>
      </c>
      <c r="D112" t="s">
        <v>126</v>
      </c>
      <c r="E112" t="s">
        <v>156</v>
      </c>
      <c r="F112" t="s">
        <v>75</v>
      </c>
      <c r="G112" t="e">
        <f>VLOOKUP(A:A,INVENTÁRIO_05_2025!A:A,1,0)</f>
        <v>#N/A</v>
      </c>
    </row>
    <row r="113" spans="1:7">
      <c r="A113" t="s">
        <v>641</v>
      </c>
      <c r="B113" t="s">
        <v>50</v>
      </c>
      <c r="C113" t="s">
        <v>116</v>
      </c>
      <c r="D113" t="s">
        <v>188</v>
      </c>
      <c r="E113" t="s">
        <v>156</v>
      </c>
      <c r="F113" t="s">
        <v>75</v>
      </c>
      <c r="G113" t="str">
        <f>VLOOKUP(A:A,INVENTÁRIO_05_2025!A:A,1,0)</f>
        <v>SPRDSKDCGRU01_RESTORE</v>
      </c>
    </row>
    <row r="114" spans="1:7">
      <c r="A114" t="s">
        <v>683</v>
      </c>
      <c r="B114" t="s">
        <v>50</v>
      </c>
      <c r="C114" t="s">
        <v>116</v>
      </c>
      <c r="D114" t="s">
        <v>188</v>
      </c>
      <c r="E114" t="s">
        <v>156</v>
      </c>
      <c r="F114" t="s">
        <v>75</v>
      </c>
      <c r="G114" t="e">
        <f>VLOOKUP(A:A,INVENTÁRIO_05_2025!A:A,1,0)</f>
        <v>#N/A</v>
      </c>
    </row>
    <row r="115" spans="1:7">
      <c r="A115" t="s">
        <v>643</v>
      </c>
      <c r="B115" t="s">
        <v>50</v>
      </c>
      <c r="C115" t="s">
        <v>116</v>
      </c>
      <c r="D115" t="s">
        <v>188</v>
      </c>
      <c r="E115" t="s">
        <v>156</v>
      </c>
      <c r="F115" t="s">
        <v>75</v>
      </c>
      <c r="G115" t="str">
        <f>VLOOKUP(A:A,INVENTÁRIO_05_2025!A:A,1,0)</f>
        <v>SPRDSKDCGRU02_RESTORE</v>
      </c>
    </row>
    <row r="116" spans="1:7">
      <c r="A116" t="s">
        <v>644</v>
      </c>
      <c r="B116" t="s">
        <v>50</v>
      </c>
      <c r="C116" t="s">
        <v>116</v>
      </c>
      <c r="D116" t="s">
        <v>188</v>
      </c>
      <c r="E116" t="s">
        <v>156</v>
      </c>
      <c r="F116" t="s">
        <v>75</v>
      </c>
      <c r="G116" t="str">
        <f>VLOOKUP(A:A,INVENTÁRIO_05_2025!A:A,1,0)</f>
        <v>SPRDSKPPCGRU10_RESTORE</v>
      </c>
    </row>
    <row r="117" spans="1:7">
      <c r="A117" t="s">
        <v>266</v>
      </c>
      <c r="B117" t="s">
        <v>50</v>
      </c>
      <c r="C117" t="s">
        <v>116</v>
      </c>
      <c r="D117" t="s">
        <v>247</v>
      </c>
      <c r="E117" t="s">
        <v>156</v>
      </c>
      <c r="F117" t="s">
        <v>75</v>
      </c>
      <c r="G117" t="str">
        <f>VLOOKUP(A:A,INVENTÁRIO_05_2025!A:A,1,0)</f>
        <v>SPRDVCSQLGRU06</v>
      </c>
    </row>
    <row r="118" spans="1:7">
      <c r="A118" t="s">
        <v>269</v>
      </c>
      <c r="B118" t="s">
        <v>50</v>
      </c>
      <c r="C118" t="s">
        <v>116</v>
      </c>
      <c r="D118" t="s">
        <v>136</v>
      </c>
      <c r="E118" t="s">
        <v>156</v>
      </c>
      <c r="F118" t="s">
        <v>75</v>
      </c>
      <c r="G118" t="str">
        <f>VLOOKUP(A:A,INVENTÁRIO_05_2025!A:A,1,0)</f>
        <v>SPRDVCWEBGRU02</v>
      </c>
    </row>
    <row r="119" spans="1:7">
      <c r="A119" t="s">
        <v>350</v>
      </c>
      <c r="B119" t="s">
        <v>61</v>
      </c>
      <c r="C119" t="s">
        <v>116</v>
      </c>
      <c r="D119" t="s">
        <v>117</v>
      </c>
      <c r="E119" t="s">
        <v>156</v>
      </c>
      <c r="F119" t="s">
        <v>560</v>
      </c>
      <c r="G119" t="str">
        <f>VLOOKUP(A:A,INVENTÁRIO_05_2025!A:A,1,0)</f>
        <v>SDESAPMNTGRU01</v>
      </c>
    </row>
    <row r="120" spans="1:7">
      <c r="A120" t="s">
        <v>522</v>
      </c>
      <c r="B120" t="s">
        <v>61</v>
      </c>
      <c r="C120" t="s">
        <v>51</v>
      </c>
      <c r="D120" t="s">
        <v>85</v>
      </c>
      <c r="E120" t="s">
        <v>156</v>
      </c>
      <c r="F120" t="s">
        <v>560</v>
      </c>
      <c r="G120" t="str">
        <f>VLOOKUP(A:A,INVENTÁRIO_05_2025!A:A,1,0)</f>
        <v>SDEVAPECGRU01</v>
      </c>
    </row>
    <row r="121" spans="1:7">
      <c r="A121" t="s">
        <v>523</v>
      </c>
      <c r="B121" t="s">
        <v>61</v>
      </c>
      <c r="C121" t="s">
        <v>51</v>
      </c>
      <c r="D121" t="s">
        <v>85</v>
      </c>
      <c r="E121" t="s">
        <v>156</v>
      </c>
      <c r="F121" t="s">
        <v>560</v>
      </c>
      <c r="G121" t="str">
        <f>VLOOKUP(A:A,INVENTÁRIO_05_2025!A:A,1,0)</f>
        <v>SDQBDORAGRU01</v>
      </c>
    </row>
    <row r="122" spans="1:7">
      <c r="A122" t="s">
        <v>524</v>
      </c>
      <c r="B122" t="s">
        <v>61</v>
      </c>
      <c r="C122" t="s">
        <v>51</v>
      </c>
      <c r="D122" t="s">
        <v>85</v>
      </c>
      <c r="E122" t="s">
        <v>156</v>
      </c>
      <c r="F122" t="s">
        <v>560</v>
      </c>
      <c r="G122" t="str">
        <f>VLOOKUP(A:A,INVENTÁRIO_05_2025!A:A,1,0)</f>
        <v>SDQBDORAGRU02</v>
      </c>
    </row>
    <row r="123" spans="1:7">
      <c r="A123" t="s">
        <v>409</v>
      </c>
      <c r="B123" t="s">
        <v>61</v>
      </c>
      <c r="C123" t="s">
        <v>116</v>
      </c>
      <c r="D123" t="s">
        <v>174</v>
      </c>
      <c r="E123" t="s">
        <v>156</v>
      </c>
      <c r="F123" t="s">
        <v>560</v>
      </c>
      <c r="G123" t="str">
        <f>VLOOKUP(A:A,INVENTÁRIO_05_2025!A:A,1,0)</f>
        <v>SDQOEMCWGRU01</v>
      </c>
    </row>
    <row r="124" spans="1:7">
      <c r="A124" t="s">
        <v>340</v>
      </c>
      <c r="B124" t="s">
        <v>61</v>
      </c>
      <c r="C124" t="s">
        <v>116</v>
      </c>
      <c r="D124" t="s">
        <v>341</v>
      </c>
      <c r="E124" t="s">
        <v>156</v>
      </c>
      <c r="F124" t="s">
        <v>560</v>
      </c>
      <c r="G124" t="str">
        <f>VLOOKUP(A:A,INVENTÁRIO_05_2025!A:A,1,0)</f>
        <v>S-GRAN247</v>
      </c>
    </row>
    <row r="125" spans="1:7">
      <c r="A125" t="s">
        <v>655</v>
      </c>
      <c r="B125" t="s">
        <v>61</v>
      </c>
      <c r="C125" t="s">
        <v>116</v>
      </c>
      <c r="D125" t="s">
        <v>572</v>
      </c>
      <c r="E125" t="s">
        <v>156</v>
      </c>
      <c r="F125" t="s">
        <v>560</v>
      </c>
      <c r="G125" t="str">
        <f>VLOOKUP(A:A,INVENTÁRIO_05_2025!A:A,1,0)</f>
        <v>SHOMADGRU001</v>
      </c>
    </row>
    <row r="126" spans="1:7">
      <c r="A126" t="s">
        <v>658</v>
      </c>
      <c r="B126" t="s">
        <v>61</v>
      </c>
      <c r="C126" t="s">
        <v>116</v>
      </c>
      <c r="D126" t="s">
        <v>572</v>
      </c>
      <c r="E126" t="s">
        <v>156</v>
      </c>
      <c r="F126" t="s">
        <v>560</v>
      </c>
      <c r="G126" t="str">
        <f>VLOOKUP(A:A,INVENTÁRIO_05_2025!A:A,1,0)</f>
        <v>SHOMADGRU003</v>
      </c>
    </row>
    <row r="127" spans="1:7">
      <c r="A127" t="s">
        <v>410</v>
      </c>
      <c r="B127" t="s">
        <v>61</v>
      </c>
      <c r="C127" t="s">
        <v>116</v>
      </c>
      <c r="D127" t="s">
        <v>174</v>
      </c>
      <c r="E127" t="s">
        <v>156</v>
      </c>
      <c r="F127" t="s">
        <v>560</v>
      </c>
      <c r="G127" t="str">
        <f>VLOOKUP(A:A,INVENTÁRIO_05_2025!A:A,1,0)</f>
        <v>SHOMADGRU01</v>
      </c>
    </row>
    <row r="128" spans="1:7">
      <c r="A128" t="s">
        <v>351</v>
      </c>
      <c r="B128" t="s">
        <v>61</v>
      </c>
      <c r="C128" t="s">
        <v>116</v>
      </c>
      <c r="D128" t="s">
        <v>163</v>
      </c>
      <c r="E128" t="s">
        <v>156</v>
      </c>
      <c r="F128" t="s">
        <v>560</v>
      </c>
      <c r="G128" t="str">
        <f>VLOOKUP(A:A,INVENTÁRIO_05_2025!A:A,1,0)</f>
        <v>SHOMAPAMSGRU01</v>
      </c>
    </row>
    <row r="129" spans="1:7">
      <c r="A129" t="s">
        <v>352</v>
      </c>
      <c r="B129" t="s">
        <v>61</v>
      </c>
      <c r="C129" t="s">
        <v>116</v>
      </c>
      <c r="D129" t="s">
        <v>163</v>
      </c>
      <c r="E129" t="s">
        <v>156</v>
      </c>
      <c r="F129" t="s">
        <v>560</v>
      </c>
      <c r="G129" t="str">
        <f>VLOOKUP(A:A,INVENTÁRIO_05_2025!A:A,1,0)</f>
        <v>SHOMAPAMSGRU02</v>
      </c>
    </row>
    <row r="130" spans="1:7">
      <c r="A130" t="s">
        <v>411</v>
      </c>
      <c r="B130" t="s">
        <v>61</v>
      </c>
      <c r="C130" t="s">
        <v>116</v>
      </c>
      <c r="D130" t="s">
        <v>174</v>
      </c>
      <c r="E130" t="s">
        <v>156</v>
      </c>
      <c r="F130" t="s">
        <v>560</v>
      </c>
      <c r="G130" t="str">
        <f>VLOOKUP(A:A,INVENTÁRIO_05_2025!A:A,1,0)</f>
        <v>SHOMAPAMSWGRU01</v>
      </c>
    </row>
    <row r="131" spans="1:7">
      <c r="A131" t="s">
        <v>563</v>
      </c>
      <c r="B131" t="s">
        <v>61</v>
      </c>
      <c r="C131" t="s">
        <v>116</v>
      </c>
      <c r="D131" t="s">
        <v>562</v>
      </c>
      <c r="E131" t="s">
        <v>156</v>
      </c>
      <c r="F131" t="s">
        <v>560</v>
      </c>
      <c r="G131" t="str">
        <f>VLOOKUP(A:A,INVENTÁRIO_05_2025!A:A,1,0)</f>
        <v>SHOMAPBCBPGRU01</v>
      </c>
    </row>
    <row r="132" spans="1:7">
      <c r="A132" t="s">
        <v>614</v>
      </c>
      <c r="B132" t="s">
        <v>61</v>
      </c>
      <c r="C132" t="s">
        <v>116</v>
      </c>
      <c r="D132" t="s">
        <v>562</v>
      </c>
      <c r="E132" t="s">
        <v>156</v>
      </c>
      <c r="F132" t="s">
        <v>560</v>
      </c>
      <c r="G132" t="str">
        <f>VLOOKUP(A:A,INVENTÁRIO_05_2025!A:A,1,0)</f>
        <v>SHOMAPBCBPGRU02</v>
      </c>
    </row>
    <row r="133" spans="1:7">
      <c r="A133" t="s">
        <v>528</v>
      </c>
      <c r="B133" t="s">
        <v>61</v>
      </c>
      <c r="C133" t="s">
        <v>51</v>
      </c>
      <c r="D133" t="s">
        <v>109</v>
      </c>
      <c r="E133" t="s">
        <v>156</v>
      </c>
      <c r="F133" t="s">
        <v>560</v>
      </c>
      <c r="G133" t="str">
        <f>VLOOKUP(A:A,INVENTÁRIO_05_2025!A:A,1,0)</f>
        <v>SHOMAPCMSGRU03</v>
      </c>
    </row>
    <row r="134" spans="1:7">
      <c r="A134" t="s">
        <v>564</v>
      </c>
      <c r="B134" t="s">
        <v>61</v>
      </c>
      <c r="C134" t="s">
        <v>116</v>
      </c>
      <c r="D134" t="s">
        <v>562</v>
      </c>
      <c r="E134" t="s">
        <v>156</v>
      </c>
      <c r="F134" t="s">
        <v>560</v>
      </c>
      <c r="G134" t="str">
        <f>VLOOKUP(A:A,INVENTÁRIO_05_2025!A:A,1,0)</f>
        <v>SHOMAPCMSGRU05</v>
      </c>
    </row>
    <row r="135" spans="1:7">
      <c r="A135" t="s">
        <v>649</v>
      </c>
      <c r="B135" t="s">
        <v>61</v>
      </c>
      <c r="C135" t="s">
        <v>51</v>
      </c>
      <c r="D135" t="s">
        <v>295</v>
      </c>
      <c r="E135" t="s">
        <v>156</v>
      </c>
      <c r="F135" t="s">
        <v>560</v>
      </c>
      <c r="G135" t="str">
        <f>VLOOKUP(A:A,INVENTÁRIO_05_2025!A:A,1,0)</f>
        <v>SHOMAPCUPSGRU01_RESTORE</v>
      </c>
    </row>
    <row r="136" spans="1:7">
      <c r="A136" t="s">
        <v>514</v>
      </c>
      <c r="B136" t="s">
        <v>61</v>
      </c>
      <c r="C136" t="s">
        <v>116</v>
      </c>
      <c r="D136" t="s">
        <v>572</v>
      </c>
      <c r="E136" t="s">
        <v>156</v>
      </c>
      <c r="F136" t="s">
        <v>560</v>
      </c>
      <c r="G136" t="str">
        <f>VLOOKUP(A:A,INVENTÁRIO_05_2025!A:A,1,0)</f>
        <v>SHOMAPESBGRU07</v>
      </c>
    </row>
    <row r="137" spans="1:7">
      <c r="A137" t="s">
        <v>618</v>
      </c>
      <c r="B137" t="s">
        <v>61</v>
      </c>
      <c r="C137" t="s">
        <v>51</v>
      </c>
      <c r="D137" t="s">
        <v>295</v>
      </c>
      <c r="E137" t="s">
        <v>156</v>
      </c>
      <c r="F137" t="s">
        <v>560</v>
      </c>
      <c r="G137" t="str">
        <f>VLOOKUP(A:A,INVENTÁRIO_05_2025!A:A,1,0)</f>
        <v>SHOMAPGPROGRU01</v>
      </c>
    </row>
    <row r="138" spans="1:7">
      <c r="A138" t="s">
        <v>529</v>
      </c>
      <c r="B138" t="s">
        <v>61</v>
      </c>
      <c r="C138" t="s">
        <v>51</v>
      </c>
      <c r="D138" t="s">
        <v>295</v>
      </c>
      <c r="E138" t="s">
        <v>156</v>
      </c>
      <c r="F138" t="s">
        <v>560</v>
      </c>
      <c r="G138" t="str">
        <f>VLOOKUP(A:A,INVENTÁRIO_05_2025!A:A,1,0)</f>
        <v>SHOMAPIHSGRU02</v>
      </c>
    </row>
    <row r="139" spans="1:7">
      <c r="A139" t="s">
        <v>353</v>
      </c>
      <c r="B139" t="s">
        <v>61</v>
      </c>
      <c r="C139" t="s">
        <v>116</v>
      </c>
      <c r="D139" t="s">
        <v>122</v>
      </c>
      <c r="E139" t="s">
        <v>156</v>
      </c>
      <c r="F139" t="s">
        <v>560</v>
      </c>
      <c r="G139" t="str">
        <f>VLOOKUP(A:A,INVENTÁRIO_05_2025!A:A,1,0)</f>
        <v>SHOMAPITLGRU01</v>
      </c>
    </row>
    <row r="140" spans="1:7">
      <c r="A140" t="s">
        <v>619</v>
      </c>
      <c r="B140" t="s">
        <v>61</v>
      </c>
      <c r="C140" t="s">
        <v>51</v>
      </c>
      <c r="D140" t="s">
        <v>295</v>
      </c>
      <c r="E140" t="s">
        <v>156</v>
      </c>
      <c r="F140" t="s">
        <v>560</v>
      </c>
      <c r="G140" t="str">
        <f>VLOOKUP(A:A,INVENTÁRIO_05_2025!A:A,1,0)</f>
        <v>SHOMAPPHPIGRU01</v>
      </c>
    </row>
    <row r="141" spans="1:7">
      <c r="A141" t="s">
        <v>648</v>
      </c>
      <c r="B141" t="s">
        <v>61</v>
      </c>
      <c r="C141" t="s">
        <v>51</v>
      </c>
      <c r="D141" t="s">
        <v>111</v>
      </c>
      <c r="E141" t="s">
        <v>156</v>
      </c>
      <c r="F141" t="s">
        <v>560</v>
      </c>
      <c r="G141" t="str">
        <f>VLOOKUP(A:A,INVENTÁRIO_05_2025!A:A,1,0)</f>
        <v>SHOMAPPOSTGRU01</v>
      </c>
    </row>
    <row r="142" spans="1:7">
      <c r="A142" t="s">
        <v>354</v>
      </c>
      <c r="B142" t="s">
        <v>61</v>
      </c>
      <c r="C142" t="s">
        <v>116</v>
      </c>
      <c r="D142" t="s">
        <v>163</v>
      </c>
      <c r="E142" t="s">
        <v>156</v>
      </c>
      <c r="F142" t="s">
        <v>560</v>
      </c>
      <c r="G142" t="str">
        <f>VLOOKUP(A:A,INVENTÁRIO_05_2025!A:A,1,0)</f>
        <v>SHOMAPPTCAGRU01</v>
      </c>
    </row>
    <row r="143" spans="1:7">
      <c r="A143" t="s">
        <v>565</v>
      </c>
      <c r="B143" t="s">
        <v>61</v>
      </c>
      <c r="C143" t="s">
        <v>116</v>
      </c>
      <c r="D143" t="s">
        <v>562</v>
      </c>
      <c r="E143" t="s">
        <v>156</v>
      </c>
      <c r="F143" t="s">
        <v>560</v>
      </c>
      <c r="G143" t="str">
        <f>VLOOKUP(A:A,INVENTÁRIO_05_2025!A:A,1,0)</f>
        <v>SHOMAPRIMAGRU01</v>
      </c>
    </row>
    <row r="144" spans="1:7">
      <c r="A144" t="s">
        <v>455</v>
      </c>
      <c r="B144" t="s">
        <v>61</v>
      </c>
      <c r="C144" t="s">
        <v>116</v>
      </c>
      <c r="D144" t="s">
        <v>242</v>
      </c>
      <c r="E144" t="s">
        <v>156</v>
      </c>
      <c r="F144" t="s">
        <v>560</v>
      </c>
      <c r="G144" t="str">
        <f>VLOOKUP(A:A,INVENTÁRIO_05_2025!A:A,1,0)</f>
        <v>SHOMBDCMSGRU01</v>
      </c>
    </row>
    <row r="145" spans="1:7">
      <c r="A145" t="s">
        <v>674</v>
      </c>
      <c r="B145" t="s">
        <v>61</v>
      </c>
      <c r="C145" t="s">
        <v>51</v>
      </c>
      <c r="D145" t="s">
        <v>85</v>
      </c>
      <c r="E145" t="s">
        <v>156</v>
      </c>
      <c r="F145" t="s">
        <v>560</v>
      </c>
      <c r="G145" t="e">
        <f>VLOOKUP(A:A,INVENTÁRIO_05_2025!A:A,1,0)</f>
        <v>#N/A</v>
      </c>
    </row>
    <row r="146" spans="1:7">
      <c r="A146" t="s">
        <v>456</v>
      </c>
      <c r="B146" t="s">
        <v>61</v>
      </c>
      <c r="C146" t="s">
        <v>116</v>
      </c>
      <c r="D146" t="s">
        <v>242</v>
      </c>
      <c r="E146" t="s">
        <v>156</v>
      </c>
      <c r="F146" t="s">
        <v>560</v>
      </c>
      <c r="G146" t="str">
        <f>VLOOKUP(A:A,INVENTÁRIO_05_2025!A:A,1,0)</f>
        <v>SHOMTEMPGRU01</v>
      </c>
    </row>
    <row r="147" spans="1:7">
      <c r="A147" t="s">
        <v>530</v>
      </c>
      <c r="B147" t="s">
        <v>61</v>
      </c>
      <c r="C147" t="s">
        <v>51</v>
      </c>
      <c r="D147" t="s">
        <v>109</v>
      </c>
      <c r="E147" t="s">
        <v>156</v>
      </c>
      <c r="F147" t="s">
        <v>560</v>
      </c>
      <c r="G147" t="str">
        <f>VLOOKUP(A:A,INVENTÁRIO_05_2025!A:A,1,0)</f>
        <v>SHOMWBCMSGRU01</v>
      </c>
    </row>
    <row r="148" spans="1:7">
      <c r="A148" t="s">
        <v>356</v>
      </c>
      <c r="B148" t="s">
        <v>61</v>
      </c>
      <c r="C148" t="s">
        <v>116</v>
      </c>
      <c r="D148" t="s">
        <v>163</v>
      </c>
      <c r="E148" t="s">
        <v>156</v>
      </c>
      <c r="F148" t="s">
        <v>560</v>
      </c>
      <c r="G148" t="str">
        <f>VLOOKUP(A:A,INVENTÁRIO_05_2025!A:A,1,0)</f>
        <v>SIAS1-GRU-new</v>
      </c>
    </row>
    <row r="149" spans="1:7">
      <c r="A149" t="s">
        <v>412</v>
      </c>
      <c r="B149" t="s">
        <v>61</v>
      </c>
      <c r="C149" t="s">
        <v>116</v>
      </c>
      <c r="D149" t="s">
        <v>174</v>
      </c>
      <c r="E149" t="s">
        <v>156</v>
      </c>
      <c r="F149" t="s">
        <v>560</v>
      </c>
      <c r="G149" t="str">
        <f>VLOOKUP(A:A,INVENTÁRIO_05_2025!A:A,1,0)</f>
        <v>SPRDACSINV01</v>
      </c>
    </row>
    <row r="150" spans="1:7">
      <c r="A150" t="s">
        <v>358</v>
      </c>
      <c r="B150" t="s">
        <v>61</v>
      </c>
      <c r="C150" t="s">
        <v>116</v>
      </c>
      <c r="D150" t="s">
        <v>117</v>
      </c>
      <c r="E150" t="s">
        <v>156</v>
      </c>
      <c r="F150" t="s">
        <v>560</v>
      </c>
      <c r="G150" t="str">
        <f>VLOOKUP(A:A,INVENTÁRIO_05_2025!A:A,1,0)</f>
        <v>SPRDAPACSGRU01</v>
      </c>
    </row>
    <row r="151" spans="1:7">
      <c r="A151" t="s">
        <v>457</v>
      </c>
      <c r="B151" t="s">
        <v>61</v>
      </c>
      <c r="C151" t="s">
        <v>116</v>
      </c>
      <c r="D151" t="s">
        <v>425</v>
      </c>
      <c r="E151" t="s">
        <v>156</v>
      </c>
      <c r="F151" t="s">
        <v>560</v>
      </c>
      <c r="G151" t="str">
        <f>VLOOKUP(A:A,INVENTÁRIO_05_2025!A:A,1,0)</f>
        <v>SPRDAPATEGRU01</v>
      </c>
    </row>
    <row r="152" spans="1:7">
      <c r="A152" t="s">
        <v>414</v>
      </c>
      <c r="B152" t="s">
        <v>61</v>
      </c>
      <c r="C152" t="s">
        <v>116</v>
      </c>
      <c r="D152" t="s">
        <v>126</v>
      </c>
      <c r="E152" t="s">
        <v>156</v>
      </c>
      <c r="F152" t="s">
        <v>560</v>
      </c>
      <c r="G152" t="str">
        <f>VLOOKUP(A:A,INVENTÁRIO_05_2025!A:A,1,0)</f>
        <v>SPRDAPATGRU01</v>
      </c>
    </row>
    <row r="153" spans="1:7">
      <c r="A153" t="s">
        <v>415</v>
      </c>
      <c r="B153" t="s">
        <v>61</v>
      </c>
      <c r="C153" t="s">
        <v>116</v>
      </c>
      <c r="D153" t="s">
        <v>126</v>
      </c>
      <c r="E153" t="s">
        <v>156</v>
      </c>
      <c r="F153" t="s">
        <v>560</v>
      </c>
      <c r="G153" t="str">
        <f>VLOOKUP(A:A,INVENTÁRIO_05_2025!A:A,1,0)</f>
        <v>SPRDAPATKGRU01</v>
      </c>
    </row>
    <row r="154" spans="1:7">
      <c r="A154" t="s">
        <v>458</v>
      </c>
      <c r="B154" t="s">
        <v>61</v>
      </c>
      <c r="C154" t="s">
        <v>116</v>
      </c>
      <c r="D154" t="s">
        <v>425</v>
      </c>
      <c r="E154" t="s">
        <v>156</v>
      </c>
      <c r="F154" t="s">
        <v>560</v>
      </c>
      <c r="G154" t="str">
        <f>VLOOKUP(A:A,INVENTÁRIO_05_2025!A:A,1,0)</f>
        <v>SPRDAPBBGRU01</v>
      </c>
    </row>
    <row r="155" spans="1:7">
      <c r="A155" t="s">
        <v>416</v>
      </c>
      <c r="B155" t="s">
        <v>61</v>
      </c>
      <c r="C155" t="s">
        <v>116</v>
      </c>
      <c r="D155" t="s">
        <v>671</v>
      </c>
      <c r="E155" t="s">
        <v>156</v>
      </c>
      <c r="F155" t="s">
        <v>560</v>
      </c>
      <c r="G155" t="str">
        <f>VLOOKUP(A:A,INVENTÁRIO_05_2025!A:A,1,0)</f>
        <v>SPRDAPBHSGRU01</v>
      </c>
    </row>
    <row r="156" spans="1:7">
      <c r="A156" t="s">
        <v>459</v>
      </c>
      <c r="B156" t="s">
        <v>61</v>
      </c>
      <c r="C156" t="s">
        <v>116</v>
      </c>
      <c r="D156" t="s">
        <v>141</v>
      </c>
      <c r="E156" t="s">
        <v>156</v>
      </c>
      <c r="F156" t="s">
        <v>560</v>
      </c>
      <c r="G156" t="str">
        <f>VLOOKUP(A:A,INVENTÁRIO_05_2025!A:A,1,0)</f>
        <v>SPRDAPBHSGRU02</v>
      </c>
    </row>
    <row r="157" spans="1:7">
      <c r="A157" t="s">
        <v>460</v>
      </c>
      <c r="B157" t="s">
        <v>61</v>
      </c>
      <c r="C157" t="s">
        <v>116</v>
      </c>
      <c r="D157" t="s">
        <v>141</v>
      </c>
      <c r="E157" t="s">
        <v>156</v>
      </c>
      <c r="F157" t="s">
        <v>560</v>
      </c>
      <c r="G157" t="str">
        <f>VLOOKUP(A:A,INVENTÁRIO_05_2025!A:A,1,0)</f>
        <v>SPRDAPBHSGRU03</v>
      </c>
    </row>
    <row r="158" spans="1:7">
      <c r="A158" t="s">
        <v>461</v>
      </c>
      <c r="B158" t="s">
        <v>61</v>
      </c>
      <c r="C158" t="s">
        <v>116</v>
      </c>
      <c r="D158" t="s">
        <v>425</v>
      </c>
      <c r="E158" t="s">
        <v>156</v>
      </c>
      <c r="F158" t="s">
        <v>560</v>
      </c>
      <c r="G158" t="str">
        <f>VLOOKUP(A:A,INVENTÁRIO_05_2025!A:A,1,0)</f>
        <v>SPRDAPBMSGRU02</v>
      </c>
    </row>
    <row r="159" spans="1:7">
      <c r="A159" t="s">
        <v>123</v>
      </c>
      <c r="B159" t="s">
        <v>61</v>
      </c>
      <c r="C159" t="s">
        <v>116</v>
      </c>
      <c r="D159" t="s">
        <v>122</v>
      </c>
      <c r="E159" t="s">
        <v>156</v>
      </c>
      <c r="F159" t="s">
        <v>560</v>
      </c>
      <c r="G159" t="str">
        <f>VLOOKUP(A:A,INVENTÁRIO_05_2025!A:A,1,0)</f>
        <v>SPRDAPBMSGRUA</v>
      </c>
    </row>
    <row r="160" spans="1:7">
      <c r="A160" t="s">
        <v>361</v>
      </c>
      <c r="B160" t="s">
        <v>61</v>
      </c>
      <c r="C160" t="s">
        <v>116</v>
      </c>
      <c r="D160" t="s">
        <v>122</v>
      </c>
      <c r="E160" t="s">
        <v>156</v>
      </c>
      <c r="F160" t="s">
        <v>560</v>
      </c>
      <c r="G160" t="str">
        <f>VLOOKUP(A:A,INVENTÁRIO_05_2025!A:A,1,0)</f>
        <v>SPRDAPBMSGRUB</v>
      </c>
    </row>
    <row r="161" spans="1:7">
      <c r="A161" t="s">
        <v>417</v>
      </c>
      <c r="B161" t="s">
        <v>61</v>
      </c>
      <c r="C161" t="s">
        <v>116</v>
      </c>
      <c r="D161" t="s">
        <v>136</v>
      </c>
      <c r="E161" t="s">
        <v>156</v>
      </c>
      <c r="F161" t="s">
        <v>560</v>
      </c>
      <c r="G161" t="str">
        <f>VLOOKUP(A:A,INVENTÁRIO_05_2025!A:A,1,0)</f>
        <v>SPRDAPBROGRU01</v>
      </c>
    </row>
    <row r="162" spans="1:7">
      <c r="A162" t="s">
        <v>418</v>
      </c>
      <c r="B162" t="s">
        <v>61</v>
      </c>
      <c r="C162" t="s">
        <v>116</v>
      </c>
      <c r="D162" t="s">
        <v>419</v>
      </c>
      <c r="E162" t="s">
        <v>156</v>
      </c>
      <c r="F162" t="s">
        <v>560</v>
      </c>
      <c r="G162" t="str">
        <f>VLOOKUP(A:A,INVENTÁRIO_05_2025!A:A,1,0)</f>
        <v>SPRDAPCCGRU01</v>
      </c>
    </row>
    <row r="163" spans="1:7">
      <c r="A163" t="s">
        <v>336</v>
      </c>
      <c r="B163" t="s">
        <v>61</v>
      </c>
      <c r="C163" t="s">
        <v>116</v>
      </c>
      <c r="D163" t="s">
        <v>337</v>
      </c>
      <c r="E163" t="s">
        <v>156</v>
      </c>
      <c r="F163" t="s">
        <v>560</v>
      </c>
      <c r="G163" t="str">
        <f>VLOOKUP(A:A,INVENTÁRIO_05_2025!A:A,1,0)</f>
        <v>SPRDAPCCGRU04</v>
      </c>
    </row>
    <row r="164" spans="1:7">
      <c r="A164" t="s">
        <v>328</v>
      </c>
      <c r="B164" t="s">
        <v>61</v>
      </c>
      <c r="C164" t="s">
        <v>51</v>
      </c>
      <c r="D164" t="s">
        <v>329</v>
      </c>
      <c r="E164" t="s">
        <v>156</v>
      </c>
      <c r="F164" t="s">
        <v>560</v>
      </c>
      <c r="G164" t="str">
        <f>VLOOKUP(A:A,INVENTÁRIO_05_2025!A:A,1,0)</f>
        <v>SPRDAPCLTGRU02</v>
      </c>
    </row>
    <row r="165" spans="1:7">
      <c r="A165" t="s">
        <v>420</v>
      </c>
      <c r="B165" t="s">
        <v>61</v>
      </c>
      <c r="C165" t="s">
        <v>116</v>
      </c>
      <c r="D165" t="s">
        <v>126</v>
      </c>
      <c r="E165" t="s">
        <v>156</v>
      </c>
      <c r="F165" t="s">
        <v>560</v>
      </c>
      <c r="G165" t="str">
        <f>VLOOKUP(A:A,INVENTÁRIO_05_2025!A:A,1,0)</f>
        <v>SPRDAPCNIGRU01</v>
      </c>
    </row>
    <row r="166" spans="1:7">
      <c r="A166" t="s">
        <v>421</v>
      </c>
      <c r="B166" t="s">
        <v>61</v>
      </c>
      <c r="C166" t="s">
        <v>116</v>
      </c>
      <c r="D166" t="s">
        <v>126</v>
      </c>
      <c r="E166" t="s">
        <v>156</v>
      </c>
      <c r="F166" t="s">
        <v>560</v>
      </c>
      <c r="G166" t="str">
        <f>VLOOKUP(A:A,INVENTÁRIO_05_2025!A:A,1,0)</f>
        <v>SPRDAPCNWGRU01</v>
      </c>
    </row>
    <row r="167" spans="1:7">
      <c r="A167" t="s">
        <v>422</v>
      </c>
      <c r="B167" t="s">
        <v>61</v>
      </c>
      <c r="C167" t="s">
        <v>116</v>
      </c>
      <c r="D167" t="s">
        <v>423</v>
      </c>
      <c r="E167" t="s">
        <v>156</v>
      </c>
      <c r="F167" t="s">
        <v>560</v>
      </c>
      <c r="G167" t="str">
        <f>VLOOKUP(A:A,INVENTÁRIO_05_2025!A:A,1,0)</f>
        <v>SPRDAPCONVGRU03</v>
      </c>
    </row>
    <row r="168" spans="1:7">
      <c r="A168" t="s">
        <v>464</v>
      </c>
      <c r="B168" t="s">
        <v>61</v>
      </c>
      <c r="C168" t="s">
        <v>116</v>
      </c>
      <c r="D168" t="s">
        <v>136</v>
      </c>
      <c r="E168" t="s">
        <v>156</v>
      </c>
      <c r="F168" t="s">
        <v>560</v>
      </c>
      <c r="G168" t="str">
        <f>VLOOKUP(A:A,INVENTÁRIO_05_2025!A:A,1,0)</f>
        <v>SPRDAPCOVGRU01</v>
      </c>
    </row>
    <row r="169" spans="1:7">
      <c r="A169" t="s">
        <v>465</v>
      </c>
      <c r="B169" t="s">
        <v>61</v>
      </c>
      <c r="C169" t="s">
        <v>116</v>
      </c>
      <c r="D169" t="s">
        <v>136</v>
      </c>
      <c r="E169" t="s">
        <v>156</v>
      </c>
      <c r="F169" t="s">
        <v>560</v>
      </c>
      <c r="G169" t="str">
        <f>VLOOKUP(A:A,INVENTÁRIO_05_2025!A:A,1,0)</f>
        <v>SPRDAPCOVGRU02</v>
      </c>
    </row>
    <row r="170" spans="1:7">
      <c r="A170" t="s">
        <v>424</v>
      </c>
      <c r="B170" t="s">
        <v>61</v>
      </c>
      <c r="C170" t="s">
        <v>116</v>
      </c>
      <c r="D170" t="s">
        <v>425</v>
      </c>
      <c r="E170" t="s">
        <v>156</v>
      </c>
      <c r="F170" t="s">
        <v>560</v>
      </c>
      <c r="G170" t="str">
        <f>VLOOKUP(A:A,INVENTÁRIO_05_2025!A:A,1,0)</f>
        <v>SPRDAPCTBGRU01</v>
      </c>
    </row>
    <row r="171" spans="1:7">
      <c r="A171" t="s">
        <v>466</v>
      </c>
      <c r="B171" t="s">
        <v>61</v>
      </c>
      <c r="C171" t="s">
        <v>116</v>
      </c>
      <c r="D171" t="s">
        <v>425</v>
      </c>
      <c r="E171" t="s">
        <v>156</v>
      </c>
      <c r="F171" t="s">
        <v>560</v>
      </c>
      <c r="G171" t="str">
        <f>VLOOKUP(A:A,INVENTÁRIO_05_2025!A:A,1,0)</f>
        <v>SPRDAPCTDGRU01</v>
      </c>
    </row>
    <row r="172" spans="1:7">
      <c r="A172" t="s">
        <v>426</v>
      </c>
      <c r="B172" t="s">
        <v>61</v>
      </c>
      <c r="C172" t="s">
        <v>116</v>
      </c>
      <c r="D172" t="s">
        <v>126</v>
      </c>
      <c r="E172" t="s">
        <v>156</v>
      </c>
      <c r="F172" t="s">
        <v>560</v>
      </c>
      <c r="G172" t="str">
        <f>VLOOKUP(A:A,INVENTÁRIO_05_2025!A:A,1,0)</f>
        <v>SPRDAPDACGRU01</v>
      </c>
    </row>
    <row r="173" spans="1:7">
      <c r="A173" t="s">
        <v>362</v>
      </c>
      <c r="B173" t="s">
        <v>61</v>
      </c>
      <c r="C173" t="s">
        <v>116</v>
      </c>
      <c r="D173" t="s">
        <v>117</v>
      </c>
      <c r="E173" t="s">
        <v>156</v>
      </c>
      <c r="F173" t="s">
        <v>560</v>
      </c>
      <c r="G173" t="str">
        <f>VLOOKUP(A:A,INVENTÁRIO_05_2025!A:A,1,0)</f>
        <v>SPRDAPDATGRU01</v>
      </c>
    </row>
    <row r="174" spans="1:7">
      <c r="A174" t="s">
        <v>427</v>
      </c>
      <c r="B174" t="s">
        <v>61</v>
      </c>
      <c r="C174" t="s">
        <v>116</v>
      </c>
      <c r="D174" t="s">
        <v>174</v>
      </c>
      <c r="E174" t="s">
        <v>156</v>
      </c>
      <c r="F174" t="s">
        <v>560</v>
      </c>
      <c r="G174" t="str">
        <f>VLOOKUP(A:A,INVENTÁRIO_05_2025!A:A,1,0)</f>
        <v>SPRDAPDBGRU01</v>
      </c>
    </row>
    <row r="175" spans="1:7">
      <c r="A175" t="s">
        <v>428</v>
      </c>
      <c r="B175" t="s">
        <v>61</v>
      </c>
      <c r="C175" t="s">
        <v>116</v>
      </c>
      <c r="D175" t="s">
        <v>126</v>
      </c>
      <c r="E175" t="s">
        <v>156</v>
      </c>
      <c r="F175" t="s">
        <v>560</v>
      </c>
      <c r="G175" t="str">
        <f>VLOOKUP(A:A,INVENTÁRIO_05_2025!A:A,1,0)</f>
        <v>SPRDAPDCLGRU01</v>
      </c>
    </row>
    <row r="176" spans="1:7">
      <c r="A176" t="s">
        <v>429</v>
      </c>
      <c r="B176" t="s">
        <v>61</v>
      </c>
      <c r="C176" t="s">
        <v>116</v>
      </c>
      <c r="D176" t="s">
        <v>126</v>
      </c>
      <c r="E176" t="s">
        <v>156</v>
      </c>
      <c r="F176" t="s">
        <v>560</v>
      </c>
      <c r="G176" t="str">
        <f>VLOOKUP(A:A,INVENTÁRIO_05_2025!A:A,1,0)</f>
        <v>SPRDAPDCLGRU02</v>
      </c>
    </row>
    <row r="177" spans="1:7">
      <c r="A177" t="s">
        <v>364</v>
      </c>
      <c r="B177" t="s">
        <v>61</v>
      </c>
      <c r="C177" t="s">
        <v>116</v>
      </c>
      <c r="D177" t="s">
        <v>163</v>
      </c>
      <c r="E177" t="s">
        <v>156</v>
      </c>
      <c r="F177" t="s">
        <v>560</v>
      </c>
      <c r="G177" t="str">
        <f>VLOOKUP(A:A,INVENTÁRIO_05_2025!A:A,1,0)</f>
        <v>SPRDAPENVGRU01</v>
      </c>
    </row>
    <row r="178" spans="1:7">
      <c r="A178" t="s">
        <v>365</v>
      </c>
      <c r="B178" t="s">
        <v>61</v>
      </c>
      <c r="C178" t="s">
        <v>116</v>
      </c>
      <c r="D178" t="s">
        <v>117</v>
      </c>
      <c r="E178" t="s">
        <v>156</v>
      </c>
      <c r="F178" t="s">
        <v>560</v>
      </c>
      <c r="G178" t="str">
        <f>VLOOKUP(A:A,INVENTÁRIO_05_2025!A:A,1,0)</f>
        <v>SPRDAPENVGRU02</v>
      </c>
    </row>
    <row r="179" spans="1:7">
      <c r="A179" t="s">
        <v>467</v>
      </c>
      <c r="B179" t="s">
        <v>61</v>
      </c>
      <c r="C179" t="s">
        <v>116</v>
      </c>
      <c r="D179" t="s">
        <v>425</v>
      </c>
      <c r="E179" t="s">
        <v>156</v>
      </c>
      <c r="F179" t="s">
        <v>560</v>
      </c>
      <c r="G179" t="str">
        <f>VLOOKUP(A:A,INVENTÁRIO_05_2025!A:A,1,0)</f>
        <v>SPRDAPESTGRU01</v>
      </c>
    </row>
    <row r="180" spans="1:7">
      <c r="A180" t="s">
        <v>366</v>
      </c>
      <c r="B180" t="s">
        <v>61</v>
      </c>
      <c r="C180" t="s">
        <v>116</v>
      </c>
      <c r="D180" t="s">
        <v>122</v>
      </c>
      <c r="E180" t="s">
        <v>156</v>
      </c>
      <c r="F180" t="s">
        <v>560</v>
      </c>
      <c r="G180" t="str">
        <f>VLOOKUP(A:A,INVENTÁRIO_05_2025!A:A,1,0)</f>
        <v>SPRDAPEVDGRU01</v>
      </c>
    </row>
    <row r="181" spans="1:7">
      <c r="A181" t="s">
        <v>469</v>
      </c>
      <c r="B181" t="s">
        <v>61</v>
      </c>
      <c r="C181" t="s">
        <v>116</v>
      </c>
      <c r="D181" t="s">
        <v>153</v>
      </c>
      <c r="E181" t="s">
        <v>156</v>
      </c>
      <c r="F181" t="s">
        <v>560</v>
      </c>
      <c r="G181" t="str">
        <f>VLOOKUP(A:A,INVENTÁRIO_05_2025!A:A,1,0)</f>
        <v>SPRDAPFILAGRU01</v>
      </c>
    </row>
    <row r="182" spans="1:7">
      <c r="A182" t="s">
        <v>368</v>
      </c>
      <c r="B182" t="s">
        <v>61</v>
      </c>
      <c r="C182" t="s">
        <v>116</v>
      </c>
      <c r="D182" t="s">
        <v>117</v>
      </c>
      <c r="E182" t="s">
        <v>156</v>
      </c>
      <c r="F182" t="s">
        <v>560</v>
      </c>
      <c r="G182" t="str">
        <f>VLOOKUP(A:A,INVENTÁRIO_05_2025!A:A,1,0)</f>
        <v>SPRDAPFSCCGRU01</v>
      </c>
    </row>
    <row r="183" spans="1:7">
      <c r="A183" t="s">
        <v>369</v>
      </c>
      <c r="B183" t="s">
        <v>61</v>
      </c>
      <c r="C183" t="s">
        <v>116</v>
      </c>
      <c r="D183" t="s">
        <v>117</v>
      </c>
      <c r="E183" t="s">
        <v>156</v>
      </c>
      <c r="F183" t="s">
        <v>560</v>
      </c>
      <c r="G183" t="str">
        <f>VLOOKUP(A:A,INVENTÁRIO_05_2025!A:A,1,0)</f>
        <v>SPRDAPGEDGRU01</v>
      </c>
    </row>
    <row r="184" spans="1:7">
      <c r="A184" t="s">
        <v>370</v>
      </c>
      <c r="B184" t="s">
        <v>61</v>
      </c>
      <c r="C184" t="s">
        <v>116</v>
      </c>
      <c r="D184" t="s">
        <v>117</v>
      </c>
      <c r="E184" t="s">
        <v>156</v>
      </c>
      <c r="F184" t="s">
        <v>560</v>
      </c>
      <c r="G184" t="str">
        <f>VLOOKUP(A:A,INVENTÁRIO_05_2025!A:A,1,0)</f>
        <v>SPRDAPGEDGRU02</v>
      </c>
    </row>
    <row r="185" spans="1:7">
      <c r="A185" t="s">
        <v>371</v>
      </c>
      <c r="B185" t="s">
        <v>61</v>
      </c>
      <c r="C185" t="s">
        <v>116</v>
      </c>
      <c r="D185" t="s">
        <v>117</v>
      </c>
      <c r="E185" t="s">
        <v>156</v>
      </c>
      <c r="F185" t="s">
        <v>560</v>
      </c>
      <c r="G185" t="str">
        <f>VLOOKUP(A:A,INVENTÁRIO_05_2025!A:A,1,0)</f>
        <v>SPRDAPGEDGRU03</v>
      </c>
    </row>
    <row r="186" spans="1:7">
      <c r="A186" t="s">
        <v>372</v>
      </c>
      <c r="B186" t="s">
        <v>61</v>
      </c>
      <c r="C186" t="s">
        <v>116</v>
      </c>
      <c r="D186" t="s">
        <v>117</v>
      </c>
      <c r="E186" t="s">
        <v>156</v>
      </c>
      <c r="F186" t="s">
        <v>560</v>
      </c>
      <c r="G186" t="str">
        <f>VLOOKUP(A:A,INVENTÁRIO_05_2025!A:A,1,0)</f>
        <v>SPRDAPGEDGRU04</v>
      </c>
    </row>
    <row r="187" spans="1:7">
      <c r="A187" t="s">
        <v>540</v>
      </c>
      <c r="B187" t="s">
        <v>61</v>
      </c>
      <c r="C187" t="s">
        <v>51</v>
      </c>
      <c r="D187" t="s">
        <v>114</v>
      </c>
      <c r="E187" t="s">
        <v>156</v>
      </c>
      <c r="F187" t="s">
        <v>560</v>
      </c>
      <c r="G187" t="str">
        <f>VLOOKUP(A:A,INVENTÁRIO_05_2025!A:A,1,0)</f>
        <v>SPRDAPGRFGRU01</v>
      </c>
    </row>
    <row r="188" spans="1:7">
      <c r="A188" t="s">
        <v>470</v>
      </c>
      <c r="B188" t="s">
        <v>61</v>
      </c>
      <c r="C188" t="s">
        <v>116</v>
      </c>
      <c r="D188" t="s">
        <v>136</v>
      </c>
      <c r="E188" t="s">
        <v>156</v>
      </c>
      <c r="F188" t="s">
        <v>560</v>
      </c>
      <c r="G188" t="str">
        <f>VLOOKUP(A:A,INVENTÁRIO_05_2025!A:A,1,0)</f>
        <v>SPRDAPGWBIGRU03</v>
      </c>
    </row>
    <row r="189" spans="1:7">
      <c r="A189" t="s">
        <v>430</v>
      </c>
      <c r="B189" t="s">
        <v>61</v>
      </c>
      <c r="C189" t="s">
        <v>116</v>
      </c>
      <c r="D189" t="s">
        <v>671</v>
      </c>
      <c r="E189" t="s">
        <v>156</v>
      </c>
      <c r="F189" t="s">
        <v>560</v>
      </c>
      <c r="G189" t="str">
        <f>VLOOKUP(A:A,INVENTÁRIO_05_2025!A:A,1,0)</f>
        <v>SPRDAPHDMGRU01</v>
      </c>
    </row>
    <row r="190" spans="1:7">
      <c r="A190" t="s">
        <v>342</v>
      </c>
      <c r="B190" t="s">
        <v>61</v>
      </c>
      <c r="C190" t="s">
        <v>116</v>
      </c>
      <c r="D190" t="s">
        <v>341</v>
      </c>
      <c r="E190" t="s">
        <v>156</v>
      </c>
      <c r="F190" t="s">
        <v>560</v>
      </c>
      <c r="G190" t="str">
        <f>VLOOKUP(A:A,INVENTÁRIO_05_2025!A:A,1,0)</f>
        <v>SPRDAPHHGRU01</v>
      </c>
    </row>
    <row r="191" spans="1:7">
      <c r="A191" t="s">
        <v>478</v>
      </c>
      <c r="B191" t="s">
        <v>61</v>
      </c>
      <c r="C191" t="s">
        <v>116</v>
      </c>
      <c r="D191" t="s">
        <v>419</v>
      </c>
      <c r="E191" t="s">
        <v>156</v>
      </c>
      <c r="F191" t="s">
        <v>560</v>
      </c>
      <c r="G191" t="str">
        <f>VLOOKUP(A:A,INVENTÁRIO_05_2025!A:A,1,0)</f>
        <v>SPRDAPIKNGRU01</v>
      </c>
    </row>
    <row r="192" spans="1:7">
      <c r="A192" t="s">
        <v>373</v>
      </c>
      <c r="B192" t="s">
        <v>61</v>
      </c>
      <c r="C192" t="s">
        <v>116</v>
      </c>
      <c r="D192" t="s">
        <v>117</v>
      </c>
      <c r="E192" t="s">
        <v>156</v>
      </c>
      <c r="F192" t="s">
        <v>560</v>
      </c>
      <c r="G192" t="str">
        <f>VLOOKUP(A:A,INVENTÁRIO_05_2025!A:A,1,0)</f>
        <v>SPRDAPIMGRU01</v>
      </c>
    </row>
    <row r="193" spans="1:7">
      <c r="A193" t="s">
        <v>374</v>
      </c>
      <c r="B193" t="s">
        <v>61</v>
      </c>
      <c r="C193" t="s">
        <v>116</v>
      </c>
      <c r="D193" t="s">
        <v>117</v>
      </c>
      <c r="E193" t="s">
        <v>156</v>
      </c>
      <c r="F193" t="s">
        <v>560</v>
      </c>
      <c r="G193" t="str">
        <f>VLOOKUP(A:A,INVENTÁRIO_05_2025!A:A,1,0)</f>
        <v>SPRDAPIMGRU02</v>
      </c>
    </row>
    <row r="194" spans="1:7">
      <c r="A194" t="s">
        <v>375</v>
      </c>
      <c r="B194" t="s">
        <v>61</v>
      </c>
      <c r="C194" t="s">
        <v>116</v>
      </c>
      <c r="D194" t="s">
        <v>122</v>
      </c>
      <c r="E194" t="s">
        <v>156</v>
      </c>
      <c r="F194" t="s">
        <v>560</v>
      </c>
      <c r="G194" t="str">
        <f>VLOOKUP(A:A,INVENTÁRIO_05_2025!A:A,1,0)</f>
        <v>SPRDAPINTGRU01</v>
      </c>
    </row>
    <row r="195" spans="1:7">
      <c r="A195" t="s">
        <v>480</v>
      </c>
      <c r="B195" t="s">
        <v>61</v>
      </c>
      <c r="C195" t="s">
        <v>116</v>
      </c>
      <c r="D195" t="s">
        <v>425</v>
      </c>
      <c r="E195" t="s">
        <v>156</v>
      </c>
      <c r="F195" t="s">
        <v>560</v>
      </c>
      <c r="G195" t="str">
        <f>VLOOKUP(A:A,INVENTÁRIO_05_2025!A:A,1,0)</f>
        <v>SPRDAPLGGRU02</v>
      </c>
    </row>
    <row r="196" spans="1:7">
      <c r="A196" t="s">
        <v>481</v>
      </c>
      <c r="B196" t="s">
        <v>61</v>
      </c>
      <c r="C196" t="s">
        <v>116</v>
      </c>
      <c r="D196" t="s">
        <v>425</v>
      </c>
      <c r="E196" t="s">
        <v>156</v>
      </c>
      <c r="F196" t="s">
        <v>560</v>
      </c>
      <c r="G196" t="str">
        <f>VLOOKUP(A:A,INVENTÁRIO_05_2025!A:A,1,0)</f>
        <v>SPRDAPLGGRU04</v>
      </c>
    </row>
    <row r="197" spans="1:7">
      <c r="A197" t="s">
        <v>482</v>
      </c>
      <c r="B197" t="s">
        <v>61</v>
      </c>
      <c r="C197" t="s">
        <v>116</v>
      </c>
      <c r="D197" t="s">
        <v>141</v>
      </c>
      <c r="E197" t="s">
        <v>156</v>
      </c>
      <c r="F197" t="s">
        <v>560</v>
      </c>
      <c r="G197" t="str">
        <f>VLOOKUP(A:A,INVENTÁRIO_05_2025!A:A,1,0)</f>
        <v>SPRDAPMDSGRU01</v>
      </c>
    </row>
    <row r="198" spans="1:7">
      <c r="A198" t="s">
        <v>431</v>
      </c>
      <c r="B198" t="s">
        <v>61</v>
      </c>
      <c r="C198" t="s">
        <v>116</v>
      </c>
      <c r="D198" t="s">
        <v>136</v>
      </c>
      <c r="E198" t="s">
        <v>156</v>
      </c>
      <c r="F198" t="s">
        <v>560</v>
      </c>
      <c r="G198" t="str">
        <f>VLOOKUP(A:A,INVENTÁRIO_05_2025!A:A,1,0)</f>
        <v>SPRDAPMELGRU01</v>
      </c>
    </row>
    <row r="199" spans="1:7">
      <c r="A199" t="s">
        <v>376</v>
      </c>
      <c r="B199" t="s">
        <v>61</v>
      </c>
      <c r="C199" t="s">
        <v>116</v>
      </c>
      <c r="D199" t="s">
        <v>117</v>
      </c>
      <c r="E199" t="s">
        <v>156</v>
      </c>
      <c r="F199" t="s">
        <v>560</v>
      </c>
      <c r="G199" t="str">
        <f>VLOOKUP(A:A,INVENTÁRIO_05_2025!A:A,1,0)</f>
        <v>SPRDAPMETGRU01</v>
      </c>
    </row>
    <row r="200" spans="1:7">
      <c r="A200" t="s">
        <v>377</v>
      </c>
      <c r="B200" t="s">
        <v>61</v>
      </c>
      <c r="C200" t="s">
        <v>116</v>
      </c>
      <c r="D200" t="s">
        <v>117</v>
      </c>
      <c r="E200" t="s">
        <v>156</v>
      </c>
      <c r="F200" t="s">
        <v>560</v>
      </c>
      <c r="G200" t="str">
        <f>VLOOKUP(A:A,INVENTÁRIO_05_2025!A:A,1,0)</f>
        <v>SPRDAPMETGRU02</v>
      </c>
    </row>
    <row r="201" spans="1:7">
      <c r="A201" t="s">
        <v>378</v>
      </c>
      <c r="B201" t="s">
        <v>61</v>
      </c>
      <c r="C201" t="s">
        <v>116</v>
      </c>
      <c r="D201" t="s">
        <v>117</v>
      </c>
      <c r="E201" t="s">
        <v>156</v>
      </c>
      <c r="F201" t="s">
        <v>560</v>
      </c>
      <c r="G201" t="str">
        <f>VLOOKUP(A:A,INVENTÁRIO_05_2025!A:A,1,0)</f>
        <v>SPRDAPMETGRU03</v>
      </c>
    </row>
    <row r="202" spans="1:7">
      <c r="A202" t="s">
        <v>379</v>
      </c>
      <c r="B202" t="s">
        <v>61</v>
      </c>
      <c r="C202" t="s">
        <v>116</v>
      </c>
      <c r="D202" t="s">
        <v>117</v>
      </c>
      <c r="E202" t="s">
        <v>156</v>
      </c>
      <c r="F202" t="s">
        <v>560</v>
      </c>
      <c r="G202" t="str">
        <f>VLOOKUP(A:A,INVENTÁRIO_05_2025!A:A,1,0)</f>
        <v>SPRDAPMETGRU04</v>
      </c>
    </row>
    <row r="203" spans="1:7">
      <c r="A203" t="s">
        <v>483</v>
      </c>
      <c r="B203" t="s">
        <v>61</v>
      </c>
      <c r="C203" t="s">
        <v>116</v>
      </c>
      <c r="D203" t="s">
        <v>242</v>
      </c>
      <c r="E203" t="s">
        <v>156</v>
      </c>
      <c r="F203" t="s">
        <v>560</v>
      </c>
      <c r="G203" t="str">
        <f>VLOOKUP(A:A,INVENTÁRIO_05_2025!A:A,1,0)</f>
        <v>SPRDAPMMETRAGRU01</v>
      </c>
    </row>
    <row r="204" spans="1:7">
      <c r="A204" t="s">
        <v>380</v>
      </c>
      <c r="B204" t="s">
        <v>61</v>
      </c>
      <c r="C204" t="s">
        <v>116</v>
      </c>
      <c r="D204" t="s">
        <v>117</v>
      </c>
      <c r="E204" t="s">
        <v>156</v>
      </c>
      <c r="F204" t="s">
        <v>560</v>
      </c>
      <c r="G204" t="str">
        <f>VLOOKUP(A:A,INVENTÁRIO_05_2025!A:A,1,0)</f>
        <v>SPRDAPMNTGRU02</v>
      </c>
    </row>
    <row r="205" spans="1:7">
      <c r="A205" t="s">
        <v>381</v>
      </c>
      <c r="B205" t="s">
        <v>61</v>
      </c>
      <c r="C205" t="s">
        <v>116</v>
      </c>
      <c r="D205" t="s">
        <v>122</v>
      </c>
      <c r="E205" t="s">
        <v>156</v>
      </c>
      <c r="F205" t="s">
        <v>560</v>
      </c>
      <c r="G205" t="str">
        <f>VLOOKUP(A:A,INVENTÁRIO_05_2025!A:A,1,0)</f>
        <v>SPRDAPMONGRU02</v>
      </c>
    </row>
    <row r="206" spans="1:7">
      <c r="A206" t="s">
        <v>432</v>
      </c>
      <c r="B206" t="s">
        <v>61</v>
      </c>
      <c r="C206" t="s">
        <v>116</v>
      </c>
      <c r="D206" t="s">
        <v>126</v>
      </c>
      <c r="E206" t="s">
        <v>156</v>
      </c>
      <c r="F206" t="s">
        <v>560</v>
      </c>
      <c r="G206" t="str">
        <f>VLOOKUP(A:A,INVENTÁRIO_05_2025!A:A,1,0)</f>
        <v>SPRDAPMPBXGRU01</v>
      </c>
    </row>
    <row r="207" spans="1:7">
      <c r="A207" t="s">
        <v>484</v>
      </c>
      <c r="B207" t="s">
        <v>61</v>
      </c>
      <c r="C207" t="s">
        <v>116</v>
      </c>
      <c r="D207" t="s">
        <v>425</v>
      </c>
      <c r="E207" t="s">
        <v>156</v>
      </c>
      <c r="F207" t="s">
        <v>560</v>
      </c>
      <c r="G207" t="str">
        <f>VLOOKUP(A:A,INVENTÁRIO_05_2025!A:A,1,0)</f>
        <v>SPRDAPMPMGRU01</v>
      </c>
    </row>
    <row r="208" spans="1:7">
      <c r="A208" t="s">
        <v>382</v>
      </c>
      <c r="B208" t="s">
        <v>61</v>
      </c>
      <c r="C208" t="s">
        <v>116</v>
      </c>
      <c r="D208" t="s">
        <v>117</v>
      </c>
      <c r="E208" t="s">
        <v>156</v>
      </c>
      <c r="F208" t="s">
        <v>560</v>
      </c>
      <c r="G208" t="str">
        <f>VLOOKUP(A:A,INVENTÁRIO_05_2025!A:A,1,0)</f>
        <v>SPRDAPNEPSGRU01</v>
      </c>
    </row>
    <row r="209" spans="1:7">
      <c r="A209" t="s">
        <v>433</v>
      </c>
      <c r="B209" t="s">
        <v>61</v>
      </c>
      <c r="C209" t="s">
        <v>116</v>
      </c>
      <c r="D209" t="s">
        <v>174</v>
      </c>
      <c r="E209" t="s">
        <v>156</v>
      </c>
      <c r="F209" t="s">
        <v>560</v>
      </c>
      <c r="G209" t="str">
        <f>VLOOKUP(A:A,INVENTÁRIO_05_2025!A:A,1,0)</f>
        <v>SPRDAPNTPWGRU01</v>
      </c>
    </row>
    <row r="210" spans="1:7">
      <c r="A210" t="s">
        <v>383</v>
      </c>
      <c r="B210" t="s">
        <v>61</v>
      </c>
      <c r="C210" t="s">
        <v>116</v>
      </c>
      <c r="D210" t="s">
        <v>117</v>
      </c>
      <c r="E210" t="s">
        <v>156</v>
      </c>
      <c r="F210" t="s">
        <v>560</v>
      </c>
      <c r="G210" t="str">
        <f>VLOOKUP(A:A,INVENTÁRIO_05_2025!A:A,1,0)</f>
        <v>SPRDAPOCRGRU01</v>
      </c>
    </row>
    <row r="211" spans="1:7">
      <c r="A211" t="s">
        <v>435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VLOOKUP(A:A,INVENTÁRIO_05_2025!A:A,1,0)</f>
        <v>SPRDAPOMPCGRU01</v>
      </c>
    </row>
    <row r="212" spans="1:7">
      <c r="A212" t="s">
        <v>384</v>
      </c>
      <c r="B212" t="s">
        <v>61</v>
      </c>
      <c r="C212" t="s">
        <v>116</v>
      </c>
      <c r="D212" t="s">
        <v>122</v>
      </c>
      <c r="E212" t="s">
        <v>156</v>
      </c>
      <c r="F212" t="s">
        <v>560</v>
      </c>
      <c r="G212" t="str">
        <f>VLOOKUP(A:A,INVENTÁRIO_05_2025!A:A,1,0)</f>
        <v>SPRDAPPASGRU01</v>
      </c>
    </row>
    <row r="213" spans="1:7">
      <c r="A213" t="s">
        <v>436</v>
      </c>
      <c r="B213" t="s">
        <v>61</v>
      </c>
      <c r="C213" t="s">
        <v>116</v>
      </c>
      <c r="D213" t="s">
        <v>126</v>
      </c>
      <c r="E213" t="s">
        <v>156</v>
      </c>
      <c r="F213" t="s">
        <v>560</v>
      </c>
      <c r="G213" t="str">
        <f>VLOOKUP(A:A,INVENTÁRIO_05_2025!A:A,1,0)</f>
        <v>SPRDAPPAVGRU01</v>
      </c>
    </row>
    <row r="214" spans="1:7">
      <c r="A214" t="s">
        <v>541</v>
      </c>
      <c r="B214" t="s">
        <v>61</v>
      </c>
      <c r="C214" t="s">
        <v>51</v>
      </c>
      <c r="D214" t="s">
        <v>114</v>
      </c>
      <c r="E214" t="s">
        <v>156</v>
      </c>
      <c r="F214" t="s">
        <v>560</v>
      </c>
      <c r="G214" t="str">
        <f>VLOOKUP(A:A,INVENTÁRIO_05_2025!A:A,1,0)</f>
        <v>SPRDAPPRMGRU01</v>
      </c>
    </row>
    <row r="215" spans="1:7">
      <c r="A215" t="s">
        <v>485</v>
      </c>
      <c r="B215" t="s">
        <v>61</v>
      </c>
      <c r="C215" t="s">
        <v>116</v>
      </c>
      <c r="D215" t="s">
        <v>419</v>
      </c>
      <c r="E215" t="s">
        <v>156</v>
      </c>
      <c r="F215" t="s">
        <v>560</v>
      </c>
      <c r="G215" t="str">
        <f>VLOOKUP(A:A,INVENTÁRIO_05_2025!A:A,1,0)</f>
        <v>SPRDAPPSGRU03</v>
      </c>
    </row>
    <row r="216" spans="1:7">
      <c r="A216" t="s">
        <v>486</v>
      </c>
      <c r="B216" t="s">
        <v>61</v>
      </c>
      <c r="C216" t="s">
        <v>116</v>
      </c>
      <c r="D216" t="s">
        <v>136</v>
      </c>
      <c r="E216" t="s">
        <v>156</v>
      </c>
      <c r="F216" t="s">
        <v>560</v>
      </c>
      <c r="G216" t="str">
        <f>VLOOKUP(A:A,INVENTÁRIO_05_2025!A:A,1,0)</f>
        <v>SPRDAPPVGRU03</v>
      </c>
    </row>
    <row r="217" spans="1:7">
      <c r="A217" t="s">
        <v>386</v>
      </c>
      <c r="B217" t="s">
        <v>61</v>
      </c>
      <c r="C217" t="s">
        <v>116</v>
      </c>
      <c r="D217" t="s">
        <v>163</v>
      </c>
      <c r="E217" t="s">
        <v>156</v>
      </c>
      <c r="F217" t="s">
        <v>560</v>
      </c>
      <c r="G217" t="str">
        <f>VLOOKUP(A:A,INVENTÁRIO_05_2025!A:A,1,0)</f>
        <v>SPRDAPQUAGRU01</v>
      </c>
    </row>
    <row r="218" spans="1:7">
      <c r="A218" t="s">
        <v>542</v>
      </c>
      <c r="B218" t="s">
        <v>61</v>
      </c>
      <c r="C218" t="s">
        <v>51</v>
      </c>
      <c r="D218" t="s">
        <v>114</v>
      </c>
      <c r="E218" t="s">
        <v>156</v>
      </c>
      <c r="F218" t="s">
        <v>560</v>
      </c>
      <c r="G218" t="str">
        <f>VLOOKUP(A:A,INVENTÁRIO_05_2025!A:A,1,0)</f>
        <v>SPRDAPRMAGRU01</v>
      </c>
    </row>
    <row r="219" spans="1:7">
      <c r="A219" t="s">
        <v>543</v>
      </c>
      <c r="B219" t="s">
        <v>61</v>
      </c>
      <c r="C219" t="s">
        <v>51</v>
      </c>
      <c r="D219" t="s">
        <v>114</v>
      </c>
      <c r="E219" t="s">
        <v>156</v>
      </c>
      <c r="F219" t="s">
        <v>560</v>
      </c>
      <c r="G219" t="str">
        <f>VLOOKUP(A:A,INVENTÁRIO_05_2025!A:A,1,0)</f>
        <v>SPRDAPRMAGRU02</v>
      </c>
    </row>
    <row r="220" spans="1:7">
      <c r="A220" t="s">
        <v>544</v>
      </c>
      <c r="B220" t="s">
        <v>61</v>
      </c>
      <c r="C220" t="s">
        <v>51</v>
      </c>
      <c r="D220" t="s">
        <v>114</v>
      </c>
      <c r="E220" t="s">
        <v>156</v>
      </c>
      <c r="F220" t="s">
        <v>560</v>
      </c>
      <c r="G220" t="str">
        <f>VLOOKUP(A:A,INVENTÁRIO_05_2025!A:A,1,0)</f>
        <v>SPRDAPRMAGRU03</v>
      </c>
    </row>
    <row r="221" spans="1:7">
      <c r="A221" t="s">
        <v>545</v>
      </c>
      <c r="B221" t="s">
        <v>61</v>
      </c>
      <c r="C221" t="s">
        <v>51</v>
      </c>
      <c r="D221" t="s">
        <v>114</v>
      </c>
      <c r="E221" t="s">
        <v>156</v>
      </c>
      <c r="F221" t="s">
        <v>560</v>
      </c>
      <c r="G221" t="str">
        <f>VLOOKUP(A:A,INVENTÁRIO_05_2025!A:A,1,0)</f>
        <v>SPRDAPRMAGRU05</v>
      </c>
    </row>
    <row r="222" spans="1:7">
      <c r="A222" t="s">
        <v>437</v>
      </c>
      <c r="B222" t="s">
        <v>61</v>
      </c>
      <c r="C222" t="s">
        <v>116</v>
      </c>
      <c r="D222" t="s">
        <v>126</v>
      </c>
      <c r="E222" t="s">
        <v>156</v>
      </c>
      <c r="F222" t="s">
        <v>560</v>
      </c>
      <c r="G222" t="str">
        <f>VLOOKUP(A:A,INVENTÁRIO_05_2025!A:A,1,0)</f>
        <v>SPRDAPRPAGRU01</v>
      </c>
    </row>
    <row r="223" spans="1:7">
      <c r="A223" t="s">
        <v>488</v>
      </c>
      <c r="B223" t="s">
        <v>61</v>
      </c>
      <c r="C223" t="s">
        <v>116</v>
      </c>
      <c r="D223" t="s">
        <v>425</v>
      </c>
      <c r="E223" t="s">
        <v>156</v>
      </c>
      <c r="F223" t="s">
        <v>560</v>
      </c>
      <c r="G223" t="str">
        <f>VLOOKUP(A:A,INVENTÁRIO_05_2025!A:A,1,0)</f>
        <v>SPRDAPRPAGRU02</v>
      </c>
    </row>
    <row r="224" spans="1:7">
      <c r="A224" t="s">
        <v>489</v>
      </c>
      <c r="B224" t="s">
        <v>61</v>
      </c>
      <c r="C224" t="s">
        <v>116</v>
      </c>
      <c r="D224" t="s">
        <v>242</v>
      </c>
      <c r="E224" t="s">
        <v>156</v>
      </c>
      <c r="F224" t="s">
        <v>560</v>
      </c>
      <c r="G224" t="str">
        <f>VLOOKUP(A:A,INVENTÁRIO_05_2025!A:A,1,0)</f>
        <v>SPRDAPRPGRU07</v>
      </c>
    </row>
    <row r="225" spans="1:7">
      <c r="A225" t="s">
        <v>387</v>
      </c>
      <c r="B225" t="s">
        <v>61</v>
      </c>
      <c r="C225" t="s">
        <v>116</v>
      </c>
      <c r="D225" t="s">
        <v>122</v>
      </c>
      <c r="E225" t="s">
        <v>156</v>
      </c>
      <c r="F225" t="s">
        <v>560</v>
      </c>
      <c r="G225" t="str">
        <f>VLOOKUP(A:A,INVENTÁRIO_05_2025!A:A,1,0)</f>
        <v>SPRDAPRVGRU01</v>
      </c>
    </row>
    <row r="226" spans="1:7">
      <c r="A226" t="s">
        <v>439</v>
      </c>
      <c r="B226" t="s">
        <v>61</v>
      </c>
      <c r="C226" t="s">
        <v>116</v>
      </c>
      <c r="D226" t="s">
        <v>126</v>
      </c>
      <c r="E226" t="s">
        <v>156</v>
      </c>
      <c r="F226" t="s">
        <v>560</v>
      </c>
      <c r="G226" t="str">
        <f>VLOOKUP(A:A,INVENTÁRIO_05_2025!A:A,1,0)</f>
        <v>SPRDAPSAMGRU01</v>
      </c>
    </row>
    <row r="227" spans="1:7">
      <c r="A227" t="s">
        <v>440</v>
      </c>
      <c r="B227" t="s">
        <v>61</v>
      </c>
      <c r="C227" t="s">
        <v>116</v>
      </c>
      <c r="D227" t="s">
        <v>126</v>
      </c>
      <c r="E227" t="s">
        <v>156</v>
      </c>
      <c r="F227" t="s">
        <v>560</v>
      </c>
      <c r="G227" t="str">
        <f>VLOOKUP(A:A,INVENTÁRIO_05_2025!A:A,1,0)</f>
        <v>SPRDAPSAMGRU02</v>
      </c>
    </row>
    <row r="228" spans="1:7">
      <c r="A228" t="s">
        <v>441</v>
      </c>
      <c r="B228" t="s">
        <v>61</v>
      </c>
      <c r="C228" t="s">
        <v>116</v>
      </c>
      <c r="D228" t="s">
        <v>126</v>
      </c>
      <c r="E228" t="s">
        <v>156</v>
      </c>
      <c r="F228" t="s">
        <v>560</v>
      </c>
      <c r="G228" t="str">
        <f>VLOOKUP(A:A,INVENTÁRIO_05_2025!A:A,1,0)</f>
        <v>SPRDAPSATGRU01</v>
      </c>
    </row>
    <row r="229" spans="1:7">
      <c r="A229" t="s">
        <v>491</v>
      </c>
      <c r="B229" t="s">
        <v>61</v>
      </c>
      <c r="C229" t="s">
        <v>116</v>
      </c>
      <c r="D229" t="s">
        <v>425</v>
      </c>
      <c r="E229" t="s">
        <v>156</v>
      </c>
      <c r="F229" t="s">
        <v>560</v>
      </c>
      <c r="G229" t="str">
        <f>VLOOKUP(A:A,INVENTÁRIO_05_2025!A:A,1,0)</f>
        <v>SPRDAPSCOGRU03</v>
      </c>
    </row>
    <row r="230" spans="1:7">
      <c r="A230" t="s">
        <v>442</v>
      </c>
      <c r="B230" t="s">
        <v>61</v>
      </c>
      <c r="C230" t="s">
        <v>116</v>
      </c>
      <c r="D230" t="s">
        <v>126</v>
      </c>
      <c r="E230" t="s">
        <v>156</v>
      </c>
      <c r="F230" t="s">
        <v>560</v>
      </c>
      <c r="G230" t="str">
        <f>VLOOKUP(A:A,INVENTÁRIO_05_2025!A:A,1,0)</f>
        <v>SPRDAPSGPGRU01</v>
      </c>
    </row>
    <row r="231" spans="1:7">
      <c r="A231" t="s">
        <v>390</v>
      </c>
      <c r="B231" t="s">
        <v>61</v>
      </c>
      <c r="C231" t="s">
        <v>116</v>
      </c>
      <c r="D231" t="s">
        <v>126</v>
      </c>
      <c r="E231" t="s">
        <v>156</v>
      </c>
      <c r="F231" t="s">
        <v>560</v>
      </c>
      <c r="G231" t="str">
        <f>VLOOKUP(A:A,INVENTÁRIO_05_2025!A:A,1,0)</f>
        <v>SPRDAPSHPGRU01</v>
      </c>
    </row>
    <row r="232" spans="1:7">
      <c r="A232" t="s">
        <v>338</v>
      </c>
      <c r="B232" t="s">
        <v>61</v>
      </c>
      <c r="C232" t="s">
        <v>116</v>
      </c>
      <c r="D232" t="s">
        <v>337</v>
      </c>
      <c r="E232" t="s">
        <v>156</v>
      </c>
      <c r="F232" t="s">
        <v>560</v>
      </c>
      <c r="G232" t="str">
        <f>VLOOKUP(A:A,INVENTÁRIO_05_2025!A:A,1,0)</f>
        <v>SPRDAPSLVGRU01</v>
      </c>
    </row>
    <row r="233" spans="1:7">
      <c r="A233" t="s">
        <v>391</v>
      </c>
      <c r="B233" t="s">
        <v>61</v>
      </c>
      <c r="C233" t="s">
        <v>116</v>
      </c>
      <c r="D233" t="s">
        <v>117</v>
      </c>
      <c r="E233" t="s">
        <v>156</v>
      </c>
      <c r="F233" t="s">
        <v>560</v>
      </c>
      <c r="G233" t="str">
        <f>VLOOKUP(A:A,INVENTÁRIO_05_2025!A:A,1,0)</f>
        <v>SPRDAPSTWBGRU01</v>
      </c>
    </row>
    <row r="234" spans="1:7">
      <c r="A234" t="s">
        <v>392</v>
      </c>
      <c r="B234" t="s">
        <v>61</v>
      </c>
      <c r="C234" t="s">
        <v>116</v>
      </c>
      <c r="D234" t="s">
        <v>122</v>
      </c>
      <c r="E234" t="s">
        <v>156</v>
      </c>
      <c r="F234" t="s">
        <v>560</v>
      </c>
      <c r="G234" t="str">
        <f>VLOOKUP(A:A,INVENTÁRIO_05_2025!A:A,1,0)</f>
        <v>SPRDAPSTWBGRU03</v>
      </c>
    </row>
    <row r="235" spans="1:7">
      <c r="A235" t="s">
        <v>494</v>
      </c>
      <c r="B235" t="s">
        <v>61</v>
      </c>
      <c r="C235" t="s">
        <v>116</v>
      </c>
      <c r="D235" t="s">
        <v>419</v>
      </c>
      <c r="E235" t="s">
        <v>156</v>
      </c>
      <c r="F235" t="s">
        <v>560</v>
      </c>
      <c r="G235" t="str">
        <f>VLOOKUP(A:A,INVENTÁRIO_05_2025!A:A,1,0)</f>
        <v>SPRDAPSVNGRU01</v>
      </c>
    </row>
    <row r="236" spans="1:7">
      <c r="A236" t="s">
        <v>496</v>
      </c>
      <c r="B236" t="s">
        <v>61</v>
      </c>
      <c r="C236" t="s">
        <v>116</v>
      </c>
      <c r="D236" t="s">
        <v>419</v>
      </c>
      <c r="E236" t="s">
        <v>156</v>
      </c>
      <c r="F236" t="s">
        <v>560</v>
      </c>
      <c r="G236" t="str">
        <f>VLOOKUP(A:A,INVENTÁRIO_05_2025!A:A,1,0)</f>
        <v>SPRDAPUPSGRU01</v>
      </c>
    </row>
    <row r="237" spans="1:7">
      <c r="A237" t="s">
        <v>554</v>
      </c>
      <c r="B237" t="s">
        <v>61</v>
      </c>
      <c r="C237" t="s">
        <v>51</v>
      </c>
      <c r="D237" t="s">
        <v>555</v>
      </c>
      <c r="E237" t="s">
        <v>156</v>
      </c>
      <c r="F237" t="s">
        <v>560</v>
      </c>
      <c r="G237" t="str">
        <f>VLOOKUP(A:A,INVENTÁRIO_05_2025!A:A,1,0)</f>
        <v>SPRDAPVCSAGRU01</v>
      </c>
    </row>
    <row r="238" spans="1:7">
      <c r="A238" t="s">
        <v>534</v>
      </c>
      <c r="B238" t="s">
        <v>61</v>
      </c>
      <c r="C238" t="s">
        <v>51</v>
      </c>
      <c r="D238" t="s">
        <v>276</v>
      </c>
      <c r="E238" t="s">
        <v>156</v>
      </c>
      <c r="F238" t="s">
        <v>560</v>
      </c>
      <c r="G238" t="str">
        <f>VLOOKUP(A:A,INVENTÁRIO_05_2025!A:A,1,0)</f>
        <v>SPRDAPVPRGRU03</v>
      </c>
    </row>
    <row r="239" spans="1:7">
      <c r="A239" t="s">
        <v>535</v>
      </c>
      <c r="B239" t="s">
        <v>61</v>
      </c>
      <c r="C239" t="s">
        <v>51</v>
      </c>
      <c r="D239" t="s">
        <v>276</v>
      </c>
      <c r="E239" t="s">
        <v>156</v>
      </c>
      <c r="F239" t="s">
        <v>560</v>
      </c>
      <c r="G239" t="str">
        <f>VLOOKUP(A:A,INVENTÁRIO_05_2025!A:A,1,0)</f>
        <v>SPRDAPVPRGRU04</v>
      </c>
    </row>
    <row r="240" spans="1:7">
      <c r="A240" t="s">
        <v>536</v>
      </c>
      <c r="B240" t="s">
        <v>61</v>
      </c>
      <c r="C240" t="s">
        <v>51</v>
      </c>
      <c r="D240" t="s">
        <v>276</v>
      </c>
      <c r="E240" t="s">
        <v>156</v>
      </c>
      <c r="F240" t="s">
        <v>560</v>
      </c>
      <c r="G240" t="str">
        <f>VLOOKUP(A:A,INVENTÁRIO_05_2025!A:A,1,0)</f>
        <v>SPRDAPVPRGRU05</v>
      </c>
    </row>
    <row r="241" spans="1:7">
      <c r="A241" t="s">
        <v>537</v>
      </c>
      <c r="B241" t="s">
        <v>61</v>
      </c>
      <c r="C241" t="s">
        <v>51</v>
      </c>
      <c r="D241" t="s">
        <v>276</v>
      </c>
      <c r="E241" t="s">
        <v>156</v>
      </c>
      <c r="F241" t="s">
        <v>560</v>
      </c>
      <c r="G241" t="str">
        <f>VLOOKUP(A:A,INVENTÁRIO_05_2025!A:A,1,0)</f>
        <v>SPRDAPVPRGRU06</v>
      </c>
    </row>
    <row r="242" spans="1:7">
      <c r="A242" t="s">
        <v>650</v>
      </c>
      <c r="B242" t="s">
        <v>61</v>
      </c>
      <c r="C242" t="s">
        <v>51</v>
      </c>
      <c r="D242" t="s">
        <v>276</v>
      </c>
      <c r="E242" t="s">
        <v>156</v>
      </c>
      <c r="F242" t="s">
        <v>560</v>
      </c>
      <c r="G242" t="str">
        <f>VLOOKUP(A:A,INVENTÁRIO_05_2025!A:A,1,0)</f>
        <v>SPRDAPVPRGRU07</v>
      </c>
    </row>
    <row r="243" spans="1:7">
      <c r="A243" t="s">
        <v>443</v>
      </c>
      <c r="B243" t="s">
        <v>61</v>
      </c>
      <c r="C243" t="s">
        <v>116</v>
      </c>
      <c r="D243" t="s">
        <v>129</v>
      </c>
      <c r="E243" t="s">
        <v>156</v>
      </c>
      <c r="F243" t="s">
        <v>560</v>
      </c>
      <c r="G243" t="str">
        <f>VLOOKUP(A:A,INVENTÁRIO_05_2025!A:A,1,0)</f>
        <v>SPRDAPVPXGRU01</v>
      </c>
    </row>
    <row r="244" spans="1:7">
      <c r="A244" t="s">
        <v>444</v>
      </c>
      <c r="B244" t="s">
        <v>61</v>
      </c>
      <c r="C244" t="s">
        <v>116</v>
      </c>
      <c r="D244" t="s">
        <v>129</v>
      </c>
      <c r="E244" t="s">
        <v>156</v>
      </c>
      <c r="F244" t="s">
        <v>560</v>
      </c>
      <c r="G244" t="str">
        <f>VLOOKUP(A:A,INVENTÁRIO_05_2025!A:A,1,0)</f>
        <v>SPRDAPVPXGRU02</v>
      </c>
    </row>
    <row r="245" spans="1:7">
      <c r="A245" t="s">
        <v>445</v>
      </c>
      <c r="B245" t="s">
        <v>61</v>
      </c>
      <c r="C245" t="s">
        <v>116</v>
      </c>
      <c r="D245" t="s">
        <v>129</v>
      </c>
      <c r="E245" t="s">
        <v>156</v>
      </c>
      <c r="F245" t="s">
        <v>560</v>
      </c>
      <c r="G245" t="str">
        <f>VLOOKUP(A:A,INVENTÁRIO_05_2025!A:A,1,0)</f>
        <v>SPRDAPVPXGRU03</v>
      </c>
    </row>
    <row r="246" spans="1:7">
      <c r="A246" t="s">
        <v>446</v>
      </c>
      <c r="B246" t="s">
        <v>61</v>
      </c>
      <c r="C246" t="s">
        <v>116</v>
      </c>
      <c r="D246" t="s">
        <v>129</v>
      </c>
      <c r="E246" t="s">
        <v>156</v>
      </c>
      <c r="F246" t="s">
        <v>560</v>
      </c>
      <c r="G246" t="str">
        <f>VLOOKUP(A:A,INVENTÁRIO_05_2025!A:A,1,0)</f>
        <v>SPRDAPVPXGRU04</v>
      </c>
    </row>
    <row r="247" spans="1:7">
      <c r="A247" t="s">
        <v>393</v>
      </c>
      <c r="B247" t="s">
        <v>61</v>
      </c>
      <c r="C247" t="s">
        <v>116</v>
      </c>
      <c r="D247" t="s">
        <v>117</v>
      </c>
      <c r="E247" t="s">
        <v>156</v>
      </c>
      <c r="F247" t="s">
        <v>560</v>
      </c>
      <c r="G247" t="str">
        <f>VLOOKUP(A:A,INVENTÁRIO_05_2025!A:A,1,0)</f>
        <v>SPRDAPWEBGRU01</v>
      </c>
    </row>
    <row r="248" spans="1:7">
      <c r="A248" t="s">
        <v>394</v>
      </c>
      <c r="B248" t="s">
        <v>61</v>
      </c>
      <c r="C248" t="s">
        <v>116</v>
      </c>
      <c r="D248" t="s">
        <v>117</v>
      </c>
      <c r="E248" t="s">
        <v>156</v>
      </c>
      <c r="F248" t="s">
        <v>560</v>
      </c>
      <c r="G248" t="str">
        <f>VLOOKUP(A:A,INVENTÁRIO_05_2025!A:A,1,0)</f>
        <v>SPRDAPWEBGRU02</v>
      </c>
    </row>
    <row r="249" spans="1:7">
      <c r="A249" t="s">
        <v>447</v>
      </c>
      <c r="B249" t="s">
        <v>61</v>
      </c>
      <c r="C249" t="s">
        <v>116</v>
      </c>
      <c r="D249" t="s">
        <v>425</v>
      </c>
      <c r="E249" t="s">
        <v>156</v>
      </c>
      <c r="F249" t="s">
        <v>560</v>
      </c>
      <c r="G249" t="str">
        <f>VLOOKUP(A:A,INVENTÁRIO_05_2025!A:A,1,0)</f>
        <v>SPRDAPWSGRU02</v>
      </c>
    </row>
    <row r="250" spans="1:7">
      <c r="A250" t="s">
        <v>395</v>
      </c>
      <c r="B250" t="s">
        <v>61</v>
      </c>
      <c r="C250" t="s">
        <v>116</v>
      </c>
      <c r="D250" t="s">
        <v>122</v>
      </c>
      <c r="E250" t="s">
        <v>156</v>
      </c>
      <c r="F250" t="s">
        <v>560</v>
      </c>
      <c r="G250" t="str">
        <f>VLOOKUP(A:A,INVENTÁRIO_05_2025!A:A,1,0)</f>
        <v>SPRDAUTGRU02</v>
      </c>
    </row>
    <row r="251" spans="1:7">
      <c r="A251" t="s">
        <v>333</v>
      </c>
      <c r="B251" t="s">
        <v>61</v>
      </c>
      <c r="C251" t="s">
        <v>51</v>
      </c>
      <c r="D251" t="s">
        <v>329</v>
      </c>
      <c r="E251" t="s">
        <v>156</v>
      </c>
      <c r="F251" t="s">
        <v>560</v>
      </c>
      <c r="G251" t="str">
        <f>VLOOKUP(A:A,INVENTÁRIO_05_2025!A:A,1,0)</f>
        <v>SPRDBDDACGRU01</v>
      </c>
    </row>
    <row r="252" spans="1:7">
      <c r="A252" t="s">
        <v>497</v>
      </c>
      <c r="B252" t="s">
        <v>61</v>
      </c>
      <c r="C252" t="s">
        <v>116</v>
      </c>
      <c r="D252" t="s">
        <v>136</v>
      </c>
      <c r="E252" t="s">
        <v>156</v>
      </c>
      <c r="F252" t="s">
        <v>560</v>
      </c>
      <c r="G252" t="str">
        <f>VLOOKUP(A:A,INVENTÁRIO_05_2025!A:A,1,0)</f>
        <v>SPRDBDWMBGRU01</v>
      </c>
    </row>
    <row r="253" spans="1:7">
      <c r="A253" t="s">
        <v>498</v>
      </c>
      <c r="B253" t="s">
        <v>61</v>
      </c>
      <c r="C253" t="s">
        <v>116</v>
      </c>
      <c r="D253" t="s">
        <v>153</v>
      </c>
      <c r="E253" t="s">
        <v>156</v>
      </c>
      <c r="F253" t="s">
        <v>560</v>
      </c>
      <c r="G253" t="str">
        <f>VLOOKUP(A:A,INVENTÁRIO_05_2025!A:A,1,0)</f>
        <v>SPRDBKPPSTGRU01</v>
      </c>
    </row>
    <row r="254" spans="1:7">
      <c r="A254" t="s">
        <v>339</v>
      </c>
      <c r="B254" t="s">
        <v>61</v>
      </c>
      <c r="C254" t="s">
        <v>116</v>
      </c>
      <c r="D254" t="s">
        <v>337</v>
      </c>
      <c r="E254" t="s">
        <v>156</v>
      </c>
      <c r="F254" t="s">
        <v>560</v>
      </c>
      <c r="G254" t="str">
        <f>VLOOKUP(A:A,INVENTÁRIO_05_2025!A:A,1,0)</f>
        <v>SPRDCFGEXTGRU01</v>
      </c>
    </row>
    <row r="255" spans="1:7">
      <c r="A255" t="s">
        <v>616</v>
      </c>
      <c r="B255" t="s">
        <v>61</v>
      </c>
      <c r="C255" t="s">
        <v>116</v>
      </c>
      <c r="D255" t="s">
        <v>572</v>
      </c>
      <c r="E255" t="s">
        <v>156</v>
      </c>
      <c r="F255" t="s">
        <v>560</v>
      </c>
      <c r="G255" t="str">
        <f>VLOOKUP(A:A,INVENTÁRIO_05_2025!A:A,1,0)</f>
        <v>SPRDFSQUA01</v>
      </c>
    </row>
    <row r="256" spans="1:7">
      <c r="A256" t="s">
        <v>400</v>
      </c>
      <c r="B256" t="s">
        <v>61</v>
      </c>
      <c r="C256" t="s">
        <v>116</v>
      </c>
      <c r="D256" t="s">
        <v>122</v>
      </c>
      <c r="E256" t="s">
        <v>156</v>
      </c>
      <c r="F256" t="s">
        <v>560</v>
      </c>
      <c r="G256" t="str">
        <f>VLOOKUP(A:A,INVENTÁRIO_05_2025!A:A,1,0)</f>
        <v>SPRDIAMDATGRU01</v>
      </c>
    </row>
    <row r="257" spans="1:7">
      <c r="A257" t="s">
        <v>499</v>
      </c>
      <c r="B257" t="s">
        <v>61</v>
      </c>
      <c r="C257" t="s">
        <v>116</v>
      </c>
      <c r="D257" t="s">
        <v>425</v>
      </c>
      <c r="E257" t="s">
        <v>156</v>
      </c>
      <c r="F257" t="s">
        <v>560</v>
      </c>
      <c r="G257" t="str">
        <f>VLOOKUP(A:A,INVENTÁRIO_05_2025!A:A,1,0)</f>
        <v>SPRDIRGRU01</v>
      </c>
    </row>
    <row r="258" spans="1:7">
      <c r="A258" t="s">
        <v>500</v>
      </c>
      <c r="B258" t="s">
        <v>61</v>
      </c>
      <c r="C258" t="s">
        <v>116</v>
      </c>
      <c r="D258" t="s">
        <v>136</v>
      </c>
      <c r="E258" t="s">
        <v>156</v>
      </c>
      <c r="F258" t="s">
        <v>560</v>
      </c>
      <c r="G258" t="str">
        <f>VLOOKUP(A:A,INVENTÁRIO_05_2025!A:A,1,0)</f>
        <v>SPRDJPBEUMER-01</v>
      </c>
    </row>
    <row r="259" spans="1:7">
      <c r="A259" t="s">
        <v>401</v>
      </c>
      <c r="B259" t="s">
        <v>61</v>
      </c>
      <c r="C259" t="s">
        <v>116</v>
      </c>
      <c r="D259" t="s">
        <v>122</v>
      </c>
      <c r="E259" t="s">
        <v>156</v>
      </c>
      <c r="F259" t="s">
        <v>560</v>
      </c>
      <c r="G259" t="str">
        <f>VLOOKUP(A:A,INVENTÁRIO_05_2025!A:A,1,0)</f>
        <v>SPRDPRGGRU02</v>
      </c>
    </row>
    <row r="260" spans="1:7">
      <c r="A260" t="s">
        <v>518</v>
      </c>
      <c r="B260" t="s">
        <v>61</v>
      </c>
      <c r="C260" t="s">
        <v>51</v>
      </c>
      <c r="D260" t="s">
        <v>85</v>
      </c>
      <c r="E260" t="s">
        <v>156</v>
      </c>
      <c r="F260" t="s">
        <v>560</v>
      </c>
      <c r="G260" t="str">
        <f>VLOOKUP(A:A,INVENTÁRIO_05_2025!A:A,1,0)</f>
        <v>SPRDSCANVUL01</v>
      </c>
    </row>
    <row r="261" spans="1:7">
      <c r="A261" t="s">
        <v>449</v>
      </c>
      <c r="B261" t="s">
        <v>61</v>
      </c>
      <c r="C261" t="s">
        <v>116</v>
      </c>
      <c r="D261" t="s">
        <v>126</v>
      </c>
      <c r="E261" t="s">
        <v>156</v>
      </c>
      <c r="F261" t="s">
        <v>560</v>
      </c>
      <c r="G261" t="str">
        <f>VLOOKUP(A:A,INVENTÁRIO_05_2025!A:A,1,0)</f>
        <v>SPRDSHPINTGRU01</v>
      </c>
    </row>
    <row r="262" spans="1:7">
      <c r="A262" t="s">
        <v>450</v>
      </c>
      <c r="B262" t="s">
        <v>61</v>
      </c>
      <c r="C262" t="s">
        <v>116</v>
      </c>
      <c r="D262" t="s">
        <v>126</v>
      </c>
      <c r="E262" t="s">
        <v>156</v>
      </c>
      <c r="F262" t="s">
        <v>560</v>
      </c>
      <c r="G262" t="str">
        <f>VLOOKUP(A:A,INVENTÁRIO_05_2025!A:A,1,0)</f>
        <v>SPRDSHPINTGRU02</v>
      </c>
    </row>
    <row r="263" spans="1:7">
      <c r="A263" t="s">
        <v>451</v>
      </c>
      <c r="B263" t="s">
        <v>61</v>
      </c>
      <c r="C263" t="s">
        <v>116</v>
      </c>
      <c r="D263" t="s">
        <v>126</v>
      </c>
      <c r="E263" t="s">
        <v>156</v>
      </c>
      <c r="F263" t="s">
        <v>560</v>
      </c>
      <c r="G263" t="str">
        <f>VLOOKUP(A:A,INVENTÁRIO_05_2025!A:A,1,0)</f>
        <v>SPRDSHPINTGRU03</v>
      </c>
    </row>
    <row r="264" spans="1:7">
      <c r="A264" t="s">
        <v>512</v>
      </c>
      <c r="B264" t="s">
        <v>61</v>
      </c>
      <c r="C264" t="s">
        <v>51</v>
      </c>
      <c r="D264" t="s">
        <v>285</v>
      </c>
      <c r="E264" t="s">
        <v>156</v>
      </c>
      <c r="F264" t="s">
        <v>560</v>
      </c>
      <c r="G264" t="str">
        <f>VLOOKUP(A:A,INVENTÁRIO_05_2025!A:A,1,0)</f>
        <v>SPRDSKINTGRU01</v>
      </c>
    </row>
    <row r="265" spans="1:7">
      <c r="A265" t="s">
        <v>513</v>
      </c>
      <c r="B265" t="s">
        <v>61</v>
      </c>
      <c r="C265" t="s">
        <v>51</v>
      </c>
      <c r="D265" t="s">
        <v>278</v>
      </c>
      <c r="E265" t="s">
        <v>156</v>
      </c>
      <c r="F265" t="s">
        <v>560</v>
      </c>
      <c r="G265" t="str">
        <f>VLOOKUP(A:A,INVENTÁRIO_05_2025!A:A,1,0)</f>
        <v>SPRDSKQRCGRU01</v>
      </c>
    </row>
    <row r="266" spans="1:7">
      <c r="A266" t="s">
        <v>403</v>
      </c>
      <c r="B266" t="s">
        <v>61</v>
      </c>
      <c r="C266" t="s">
        <v>116</v>
      </c>
      <c r="D266" t="s">
        <v>117</v>
      </c>
      <c r="E266" t="s">
        <v>156</v>
      </c>
      <c r="F266" t="s">
        <v>560</v>
      </c>
      <c r="G266" t="str">
        <f>VLOOKUP(A:A,INVENTÁRIO_05_2025!A:A,1,0)</f>
        <v>SPRDSQLGRU02</v>
      </c>
    </row>
    <row r="267" spans="1:7">
      <c r="A267" t="s">
        <v>404</v>
      </c>
      <c r="B267" t="s">
        <v>61</v>
      </c>
      <c r="C267" t="s">
        <v>116</v>
      </c>
      <c r="D267" t="s">
        <v>117</v>
      </c>
      <c r="E267" t="s">
        <v>156</v>
      </c>
      <c r="F267" t="s">
        <v>560</v>
      </c>
      <c r="G267" t="str">
        <f>VLOOKUP(A:A,INVENTÁRIO_05_2025!A:A,1,0)</f>
        <v>SPRDSQLGRU07</v>
      </c>
    </row>
    <row r="268" spans="1:7">
      <c r="A268" t="s">
        <v>405</v>
      </c>
      <c r="B268" t="s">
        <v>61</v>
      </c>
      <c r="C268" t="s">
        <v>116</v>
      </c>
      <c r="D268" t="s">
        <v>117</v>
      </c>
      <c r="E268" t="s">
        <v>156</v>
      </c>
      <c r="F268" t="s">
        <v>560</v>
      </c>
      <c r="G268" t="str">
        <f>VLOOKUP(A:A,INVENTÁRIO_05_2025!A:A,1,0)</f>
        <v>SPRDSQLGRU09</v>
      </c>
    </row>
    <row r="269" spans="1:7">
      <c r="A269" t="s">
        <v>504</v>
      </c>
      <c r="B269" t="s">
        <v>61</v>
      </c>
      <c r="C269" t="s">
        <v>116</v>
      </c>
      <c r="D269" t="s">
        <v>242</v>
      </c>
      <c r="E269" t="s">
        <v>156</v>
      </c>
      <c r="F269" t="s">
        <v>560</v>
      </c>
      <c r="G269" t="str">
        <f>VLOOKUP(A:A,INVENTÁRIO_05_2025!A:A,1,0)</f>
        <v>SPRDSQLGRU17_2024102145001679_NAO_LIGAR</v>
      </c>
    </row>
    <row r="270" spans="1:7">
      <c r="A270" t="s">
        <v>505</v>
      </c>
      <c r="B270" t="s">
        <v>61</v>
      </c>
      <c r="C270" t="s">
        <v>116</v>
      </c>
      <c r="D270" t="s">
        <v>419</v>
      </c>
      <c r="E270" t="s">
        <v>156</v>
      </c>
      <c r="F270" t="s">
        <v>560</v>
      </c>
      <c r="G270" t="str">
        <f>VLOOKUP(A:A,INVENTÁRIO_05_2025!A:A,1,0)</f>
        <v>SPRDSQLGRU18</v>
      </c>
    </row>
    <row r="271" spans="1:7">
      <c r="A271" t="s">
        <v>260</v>
      </c>
      <c r="B271" t="s">
        <v>61</v>
      </c>
      <c r="C271" t="s">
        <v>116</v>
      </c>
      <c r="D271" t="s">
        <v>136</v>
      </c>
      <c r="E271" t="s">
        <v>156</v>
      </c>
      <c r="F271" t="s">
        <v>560</v>
      </c>
      <c r="G271" t="str">
        <f>VLOOKUP(A:A,INVENTÁRIO_05_2025!A:A,1,0)</f>
        <v>SPRDSQLLGGRU02</v>
      </c>
    </row>
    <row r="272" spans="1:7">
      <c r="A272" t="s">
        <v>152</v>
      </c>
      <c r="B272" t="s">
        <v>61</v>
      </c>
      <c r="C272" t="s">
        <v>116</v>
      </c>
      <c r="D272" t="s">
        <v>153</v>
      </c>
      <c r="E272" t="s">
        <v>156</v>
      </c>
      <c r="F272" t="s">
        <v>560</v>
      </c>
      <c r="G272" t="str">
        <f>VLOOKUP(A:A,INVENTÁRIO_05_2025!A:A,1,0)</f>
        <v>SPRDTSQGRU01</v>
      </c>
    </row>
    <row r="273" spans="1:7">
      <c r="A273" t="s">
        <v>508</v>
      </c>
      <c r="B273" t="s">
        <v>61</v>
      </c>
      <c r="C273" t="s">
        <v>116</v>
      </c>
      <c r="D273" t="s">
        <v>153</v>
      </c>
      <c r="E273" t="s">
        <v>156</v>
      </c>
      <c r="F273" t="s">
        <v>560</v>
      </c>
      <c r="G273" t="str">
        <f>VLOOKUP(A:A,INVENTÁRIO_05_2025!A:A,1,0)</f>
        <v>SPRDTSQGRU02</v>
      </c>
    </row>
    <row r="274" spans="1:7">
      <c r="A274" t="s">
        <v>510</v>
      </c>
      <c r="B274" t="s">
        <v>61</v>
      </c>
      <c r="C274" t="s">
        <v>116</v>
      </c>
      <c r="D274" t="s">
        <v>136</v>
      </c>
      <c r="E274" t="s">
        <v>156</v>
      </c>
      <c r="F274" t="s">
        <v>560</v>
      </c>
      <c r="G274" t="str">
        <f>VLOOKUP(A:A,INVENTÁRIO_05_2025!A:A,1,0)</f>
        <v>SPRDVCHSEGRU04</v>
      </c>
    </row>
    <row r="275" spans="1:7">
      <c r="A275" t="s">
        <v>511</v>
      </c>
      <c r="B275" t="s">
        <v>61</v>
      </c>
      <c r="C275" t="s">
        <v>116</v>
      </c>
      <c r="D275" t="s">
        <v>136</v>
      </c>
      <c r="E275" t="s">
        <v>156</v>
      </c>
      <c r="F275" t="s">
        <v>560</v>
      </c>
      <c r="G275" t="str">
        <f>VLOOKUP(A:A,INVENTÁRIO_05_2025!A:A,1,0)</f>
        <v>SPRDVCHSEGRU05</v>
      </c>
    </row>
    <row r="276" spans="1:7">
      <c r="A276" t="s">
        <v>527</v>
      </c>
      <c r="B276" t="s">
        <v>61</v>
      </c>
      <c r="C276" t="s">
        <v>51</v>
      </c>
      <c r="D276" t="s">
        <v>85</v>
      </c>
      <c r="E276" t="s">
        <v>156</v>
      </c>
      <c r="F276" t="s">
        <v>560</v>
      </c>
      <c r="G276" t="str">
        <f>VLOOKUP(A:A,INVENTÁRIO_05_2025!A:A,1,0)</f>
        <v>SQASAPECGRU01</v>
      </c>
    </row>
    <row r="277" spans="1:7">
      <c r="A277" t="s">
        <v>407</v>
      </c>
      <c r="B277" t="s">
        <v>61</v>
      </c>
      <c r="C277" t="s">
        <v>116</v>
      </c>
      <c r="D277" t="s">
        <v>163</v>
      </c>
      <c r="E277" t="s">
        <v>156</v>
      </c>
      <c r="F277" t="s">
        <v>560</v>
      </c>
      <c r="G277" t="str">
        <f>VLOOKUP(A:A,INVENTÁRIO_05_2025!A:A,1,0)</f>
        <v>SSHAREPOINT2-GRU</v>
      </c>
    </row>
    <row r="278" spans="1:7">
      <c r="A278" t="s">
        <v>454</v>
      </c>
      <c r="B278" t="s">
        <v>61</v>
      </c>
      <c r="C278" t="s">
        <v>116</v>
      </c>
      <c r="D278" t="s">
        <v>126</v>
      </c>
      <c r="E278" t="s">
        <v>156</v>
      </c>
      <c r="F278" t="s">
        <v>560</v>
      </c>
      <c r="G278" t="str">
        <f>VLOOKUP(A:A,INVENTÁRIO_05_2025!A:A,1,0)</f>
        <v>STESAPCLLGRU01</v>
      </c>
    </row>
    <row r="279" spans="1:7">
      <c r="A279" t="s">
        <v>408</v>
      </c>
      <c r="B279" t="s">
        <v>61</v>
      </c>
      <c r="C279" t="s">
        <v>116</v>
      </c>
      <c r="D279" t="s">
        <v>117</v>
      </c>
      <c r="E279" t="s">
        <v>156</v>
      </c>
      <c r="F279" t="s">
        <v>560</v>
      </c>
      <c r="G279" t="str">
        <f>VLOOKUP(A:A,INVENTÁRIO_05_2025!A:A,1,0)</f>
        <v>STESAPPVGRU01</v>
      </c>
    </row>
    <row r="280" spans="1:7">
      <c r="A280" t="s">
        <v>343</v>
      </c>
      <c r="B280" t="s">
        <v>61</v>
      </c>
      <c r="C280" t="s">
        <v>116</v>
      </c>
      <c r="D280" t="s">
        <v>341</v>
      </c>
      <c r="E280" t="s">
        <v>156</v>
      </c>
      <c r="F280" t="s">
        <v>560</v>
      </c>
      <c r="G280" t="str">
        <f>VLOOKUP(A:A,INVENTÁRIO_05_2025!A:A,1,0)</f>
        <v>SVEDI2-GRU</v>
      </c>
    </row>
    <row r="281" spans="1:7">
      <c r="A281" t="s">
        <v>162</v>
      </c>
      <c r="B281" t="s">
        <v>61</v>
      </c>
      <c r="C281" t="s">
        <v>116</v>
      </c>
      <c r="D281" t="s">
        <v>117</v>
      </c>
      <c r="E281" t="s">
        <v>156</v>
      </c>
      <c r="F281" t="s">
        <v>75</v>
      </c>
      <c r="G281" t="str">
        <f>VLOOKUP(A:A,INVENTÁRIO_05_2025!A:A,1,0)</f>
        <v>CCTVGRU20</v>
      </c>
    </row>
    <row r="282" spans="1:7">
      <c r="A282" t="s">
        <v>291</v>
      </c>
      <c r="B282" t="s">
        <v>61</v>
      </c>
      <c r="C282" t="s">
        <v>51</v>
      </c>
      <c r="D282" t="s">
        <v>111</v>
      </c>
      <c r="E282" t="s">
        <v>156</v>
      </c>
      <c r="F282" t="s">
        <v>75</v>
      </c>
      <c r="G282" t="str">
        <f>VLOOKUP(A:A,INVENTÁRIO_05_2025!A:A,1,0)</f>
        <v>PRDRMADS02</v>
      </c>
    </row>
    <row r="283" spans="1:7">
      <c r="A283" t="s">
        <v>207</v>
      </c>
      <c r="B283" t="s">
        <v>61</v>
      </c>
      <c r="C283" t="s">
        <v>116</v>
      </c>
      <c r="D283" t="s">
        <v>136</v>
      </c>
      <c r="E283" t="s">
        <v>156</v>
      </c>
      <c r="F283" t="s">
        <v>75</v>
      </c>
      <c r="G283" t="str">
        <f>VLOOKUP(A:A,INVENTÁRIO_05_2025!A:A,1,0)</f>
        <v>PRDSQLSC020</v>
      </c>
    </row>
    <row r="284" spans="1:7">
      <c r="A284" t="s">
        <v>164</v>
      </c>
      <c r="B284" t="s">
        <v>61</v>
      </c>
      <c r="C284" t="s">
        <v>116</v>
      </c>
      <c r="D284" t="s">
        <v>122</v>
      </c>
      <c r="E284" t="s">
        <v>156</v>
      </c>
      <c r="F284" t="s">
        <v>75</v>
      </c>
      <c r="G284" t="str">
        <f>VLOOKUP(A:A,INVENTÁRIO_05_2025!A:A,1,0)</f>
        <v>SAD2-GRU</v>
      </c>
    </row>
    <row r="285" spans="1:7">
      <c r="A285" t="s">
        <v>348</v>
      </c>
      <c r="B285" t="s">
        <v>61</v>
      </c>
      <c r="C285" t="s">
        <v>116</v>
      </c>
      <c r="D285" t="s">
        <v>163</v>
      </c>
      <c r="E285" t="s">
        <v>156</v>
      </c>
      <c r="F285" t="s">
        <v>75</v>
      </c>
      <c r="G285" t="str">
        <f>VLOOKUP(A:A,INVENTÁRIO_05_2025!A:A,1,0)</f>
        <v>SADGUESTGRU01</v>
      </c>
    </row>
    <row r="286" spans="1:7">
      <c r="A286" t="s">
        <v>165</v>
      </c>
      <c r="B286" t="s">
        <v>61</v>
      </c>
      <c r="C286" t="s">
        <v>116</v>
      </c>
      <c r="D286" t="s">
        <v>122</v>
      </c>
      <c r="E286" t="s">
        <v>156</v>
      </c>
      <c r="F286" t="s">
        <v>75</v>
      </c>
      <c r="G286" t="str">
        <f>VLOOKUP(A:A,INVENTÁRIO_05_2025!A:A,1,0)</f>
        <v>SFTP1-GRU</v>
      </c>
    </row>
    <row r="287" spans="1:7">
      <c r="A287" t="s">
        <v>166</v>
      </c>
      <c r="B287" t="s">
        <v>61</v>
      </c>
      <c r="C287" t="s">
        <v>116</v>
      </c>
      <c r="D287" t="s">
        <v>122</v>
      </c>
      <c r="E287" t="s">
        <v>156</v>
      </c>
      <c r="F287" t="s">
        <v>75</v>
      </c>
      <c r="G287" t="str">
        <f>VLOOKUP(A:A,INVENTÁRIO_05_2025!A:A,1,0)</f>
        <v>SPRDADGRU02</v>
      </c>
    </row>
    <row r="288" spans="1:7">
      <c r="A288" t="s">
        <v>208</v>
      </c>
      <c r="B288" t="s">
        <v>61</v>
      </c>
      <c r="C288" t="s">
        <v>116</v>
      </c>
      <c r="D288" t="s">
        <v>419</v>
      </c>
      <c r="E288" t="s">
        <v>156</v>
      </c>
      <c r="F288" t="s">
        <v>75</v>
      </c>
      <c r="G288" t="str">
        <f>VLOOKUP(A:A,INVENTÁRIO_05_2025!A:A,1,0)</f>
        <v>SPRDADGRU03</v>
      </c>
    </row>
    <row r="289" spans="1:7">
      <c r="A289" t="s">
        <v>241</v>
      </c>
      <c r="B289" t="s">
        <v>61</v>
      </c>
      <c r="C289" t="s">
        <v>116</v>
      </c>
      <c r="D289" t="s">
        <v>419</v>
      </c>
      <c r="E289" t="s">
        <v>156</v>
      </c>
      <c r="F289" t="s">
        <v>75</v>
      </c>
      <c r="G289" t="str">
        <f>VLOOKUP(A:A,INVENTÁRIO_05_2025!A:A,1,0)</f>
        <v>SPRDADGRU04</v>
      </c>
    </row>
    <row r="290" spans="1:7">
      <c r="A290" t="s">
        <v>413</v>
      </c>
      <c r="B290" t="s">
        <v>61</v>
      </c>
      <c r="C290" t="s">
        <v>116</v>
      </c>
      <c r="D290" t="s">
        <v>126</v>
      </c>
      <c r="E290" t="s">
        <v>156</v>
      </c>
      <c r="F290" t="s">
        <v>75</v>
      </c>
      <c r="G290" t="str">
        <f>VLOOKUP(A:A,INVENTÁRIO_05_2025!A:A,1,0)</f>
        <v>SPRDAPAGPMGRU01</v>
      </c>
    </row>
    <row r="291" spans="1:7">
      <c r="A291" t="s">
        <v>209</v>
      </c>
      <c r="B291" t="s">
        <v>61</v>
      </c>
      <c r="C291" t="s">
        <v>116</v>
      </c>
      <c r="D291" t="s">
        <v>136</v>
      </c>
      <c r="E291" t="s">
        <v>156</v>
      </c>
      <c r="F291" t="s">
        <v>75</v>
      </c>
      <c r="G291" t="str">
        <f>VLOOKUP(A:A,INVENTÁRIO_05_2025!A:A,1,0)</f>
        <v>SPRDAPAUDGRU01</v>
      </c>
    </row>
    <row r="292" spans="1:7">
      <c r="A292" t="s">
        <v>246</v>
      </c>
      <c r="B292" t="s">
        <v>61</v>
      </c>
      <c r="C292" t="s">
        <v>116</v>
      </c>
      <c r="D292" t="s">
        <v>572</v>
      </c>
      <c r="E292" t="s">
        <v>156</v>
      </c>
      <c r="F292" t="s">
        <v>75</v>
      </c>
      <c r="G292" t="str">
        <f>VLOOKUP(A:A,INVENTÁRIO_05_2025!A:A,1,0)</f>
        <v>SPRDAPBCBPGRU01</v>
      </c>
    </row>
    <row r="293" spans="1:7">
      <c r="A293" t="s">
        <v>248</v>
      </c>
      <c r="B293" t="s">
        <v>61</v>
      </c>
      <c r="C293" t="s">
        <v>116</v>
      </c>
      <c r="D293" t="s">
        <v>572</v>
      </c>
      <c r="E293" t="s">
        <v>156</v>
      </c>
      <c r="F293" t="s">
        <v>75</v>
      </c>
      <c r="G293" t="str">
        <f>VLOOKUP(A:A,INVENTÁRIO_05_2025!A:A,1,0)</f>
        <v>SPRDAPBCBPGRU02</v>
      </c>
    </row>
    <row r="294" spans="1:7">
      <c r="A294" t="s">
        <v>211</v>
      </c>
      <c r="B294" t="s">
        <v>61</v>
      </c>
      <c r="C294" t="s">
        <v>116</v>
      </c>
      <c r="D294" t="s">
        <v>136</v>
      </c>
      <c r="E294" t="s">
        <v>156</v>
      </c>
      <c r="F294" t="s">
        <v>75</v>
      </c>
      <c r="G294" t="str">
        <f>VLOOKUP(A:A,INVENTÁRIO_05_2025!A:A,1,0)</f>
        <v>SPRDAPBCCGRU01</v>
      </c>
    </row>
    <row r="295" spans="1:7">
      <c r="A295" t="s">
        <v>212</v>
      </c>
      <c r="B295" t="s">
        <v>61</v>
      </c>
      <c r="C295" t="s">
        <v>116</v>
      </c>
      <c r="D295" t="s">
        <v>136</v>
      </c>
      <c r="E295" t="s">
        <v>156</v>
      </c>
      <c r="F295" t="s">
        <v>75</v>
      </c>
      <c r="G295" t="str">
        <f>VLOOKUP(A:A,INVENTÁRIO_05_2025!A:A,1,0)</f>
        <v>SPRDAPBCCGRU02</v>
      </c>
    </row>
    <row r="296" spans="1:7">
      <c r="A296" t="s">
        <v>213</v>
      </c>
      <c r="B296" t="s">
        <v>61</v>
      </c>
      <c r="C296" t="s">
        <v>116</v>
      </c>
      <c r="D296" t="s">
        <v>136</v>
      </c>
      <c r="E296" t="s">
        <v>156</v>
      </c>
      <c r="F296" t="s">
        <v>75</v>
      </c>
      <c r="G296" t="str">
        <f>VLOOKUP(A:A,INVENTÁRIO_05_2025!A:A,1,0)</f>
        <v>SPRDAPBENGRU01</v>
      </c>
    </row>
    <row r="297" spans="1:7">
      <c r="A297" t="s">
        <v>167</v>
      </c>
      <c r="B297" t="s">
        <v>61</v>
      </c>
      <c r="C297" t="s">
        <v>116</v>
      </c>
      <c r="D297" t="s">
        <v>122</v>
      </c>
      <c r="E297" t="s">
        <v>156</v>
      </c>
      <c r="F297" t="s">
        <v>75</v>
      </c>
      <c r="G297" t="str">
        <f>VLOOKUP(A:A,INVENTÁRIO_05_2025!A:A,1,0)</f>
        <v>SPRDAPCADGRU01</v>
      </c>
    </row>
    <row r="298" spans="1:7">
      <c r="A298" t="s">
        <v>214</v>
      </c>
      <c r="B298" t="s">
        <v>61</v>
      </c>
      <c r="C298" t="s">
        <v>116</v>
      </c>
      <c r="D298" t="s">
        <v>425</v>
      </c>
      <c r="E298" t="s">
        <v>156</v>
      </c>
      <c r="F298" t="s">
        <v>75</v>
      </c>
      <c r="G298" t="str">
        <f>VLOOKUP(A:A,INVENTÁRIO_05_2025!A:A,1,0)</f>
        <v>SPRDAPCCGRU03</v>
      </c>
    </row>
    <row r="299" spans="1:7">
      <c r="A299" t="s">
        <v>292</v>
      </c>
      <c r="B299" t="s">
        <v>61</v>
      </c>
      <c r="C299" t="s">
        <v>51</v>
      </c>
      <c r="D299" t="s">
        <v>111</v>
      </c>
      <c r="E299" t="s">
        <v>156</v>
      </c>
      <c r="F299" t="s">
        <v>75</v>
      </c>
      <c r="G299" t="str">
        <f>VLOOKUP(A:A,INVENTÁRIO_05_2025!A:A,1,0)</f>
        <v>SPRDAPCCPRGRU01</v>
      </c>
    </row>
    <row r="300" spans="1:7">
      <c r="A300" t="s">
        <v>293</v>
      </c>
      <c r="B300" t="s">
        <v>61</v>
      </c>
      <c r="C300" t="s">
        <v>51</v>
      </c>
      <c r="D300" t="s">
        <v>111</v>
      </c>
      <c r="E300" t="s">
        <v>156</v>
      </c>
      <c r="F300" t="s">
        <v>75</v>
      </c>
      <c r="G300" t="str">
        <f>VLOOKUP(A:A,INVENTÁRIO_05_2025!A:A,1,0)</f>
        <v>SPRDAPCCPRGRU02</v>
      </c>
    </row>
    <row r="301" spans="1:7">
      <c r="A301" t="s">
        <v>571</v>
      </c>
      <c r="B301" t="s">
        <v>61</v>
      </c>
      <c r="C301" t="s">
        <v>116</v>
      </c>
      <c r="D301" t="s">
        <v>572</v>
      </c>
      <c r="E301" t="s">
        <v>156</v>
      </c>
      <c r="F301" t="s">
        <v>75</v>
      </c>
      <c r="G301" t="str">
        <f>VLOOKUP(A:A,INVENTÁRIO_05_2025!A:A,1,0)</f>
        <v>SPRDAPCMSGRU10</v>
      </c>
    </row>
    <row r="302" spans="1:7">
      <c r="A302" t="s">
        <v>626</v>
      </c>
      <c r="B302" t="s">
        <v>61</v>
      </c>
      <c r="C302" t="s">
        <v>51</v>
      </c>
      <c r="D302" t="s">
        <v>295</v>
      </c>
      <c r="E302" t="s">
        <v>156</v>
      </c>
      <c r="F302" t="s">
        <v>75</v>
      </c>
      <c r="G302" t="str">
        <f>VLOOKUP(A:A,INVENTÁRIO_05_2025!A:A,1,0)</f>
        <v>SPRDAPCMSM01</v>
      </c>
    </row>
    <row r="303" spans="1:7">
      <c r="A303" t="s">
        <v>627</v>
      </c>
      <c r="B303" t="s">
        <v>61</v>
      </c>
      <c r="C303" t="s">
        <v>51</v>
      </c>
      <c r="D303" t="s">
        <v>295</v>
      </c>
      <c r="E303" t="s">
        <v>156</v>
      </c>
      <c r="F303" t="s">
        <v>75</v>
      </c>
      <c r="G303" t="str">
        <f>VLOOKUP(A:A,INVENTÁRIO_05_2025!A:A,1,0)</f>
        <v>SPRDAPCMSP01</v>
      </c>
    </row>
    <row r="304" spans="1:7">
      <c r="A304" t="s">
        <v>628</v>
      </c>
      <c r="B304" t="s">
        <v>61</v>
      </c>
      <c r="C304" t="s">
        <v>51</v>
      </c>
      <c r="D304" t="s">
        <v>295</v>
      </c>
      <c r="E304" t="s">
        <v>156</v>
      </c>
      <c r="F304" t="s">
        <v>75</v>
      </c>
      <c r="G304" t="str">
        <f>VLOOKUP(A:A,INVENTÁRIO_05_2025!A:A,1,0)</f>
        <v>SPRDAPCMSP02</v>
      </c>
    </row>
    <row r="305" spans="1:7">
      <c r="A305" t="s">
        <v>629</v>
      </c>
      <c r="B305" t="s">
        <v>61</v>
      </c>
      <c r="C305" t="s">
        <v>51</v>
      </c>
      <c r="D305" t="s">
        <v>295</v>
      </c>
      <c r="E305" t="s">
        <v>156</v>
      </c>
      <c r="F305" t="s">
        <v>75</v>
      </c>
      <c r="G305" t="str">
        <f>VLOOKUP(A:A,INVENTÁRIO_05_2025!A:A,1,0)</f>
        <v>SPRDAPCMSP03</v>
      </c>
    </row>
    <row r="306" spans="1:7">
      <c r="A306" t="s">
        <v>630</v>
      </c>
      <c r="B306" t="s">
        <v>61</v>
      </c>
      <c r="C306" t="s">
        <v>51</v>
      </c>
      <c r="D306" t="s">
        <v>295</v>
      </c>
      <c r="E306" t="s">
        <v>156</v>
      </c>
      <c r="F306" t="s">
        <v>75</v>
      </c>
      <c r="G306" t="str">
        <f>VLOOKUP(A:A,INVENTÁRIO_05_2025!A:A,1,0)</f>
        <v>SPRDAPCMSW01</v>
      </c>
    </row>
    <row r="307" spans="1:7">
      <c r="A307" t="s">
        <v>631</v>
      </c>
      <c r="B307" t="s">
        <v>61</v>
      </c>
      <c r="C307" t="s">
        <v>51</v>
      </c>
      <c r="D307" t="s">
        <v>295</v>
      </c>
      <c r="E307" t="s">
        <v>156</v>
      </c>
      <c r="F307" t="s">
        <v>75</v>
      </c>
      <c r="G307" t="str">
        <f>VLOOKUP(A:A,INVENTÁRIO_05_2025!A:A,1,0)</f>
        <v>SPRDAPCMSW02</v>
      </c>
    </row>
    <row r="308" spans="1:7">
      <c r="A308" t="s">
        <v>215</v>
      </c>
      <c r="B308" t="s">
        <v>61</v>
      </c>
      <c r="C308" t="s">
        <v>116</v>
      </c>
      <c r="D308" t="s">
        <v>419</v>
      </c>
      <c r="E308" t="s">
        <v>156</v>
      </c>
      <c r="F308" t="s">
        <v>75</v>
      </c>
      <c r="G308" t="str">
        <f>VLOOKUP(A:A,INVENTÁRIO_05_2025!A:A,1,0)</f>
        <v>SPRDAPCONVGRU01</v>
      </c>
    </row>
    <row r="309" spans="1:7">
      <c r="A309" t="s">
        <v>294</v>
      </c>
      <c r="B309" t="s">
        <v>61</v>
      </c>
      <c r="C309" t="s">
        <v>51</v>
      </c>
      <c r="D309" t="s">
        <v>295</v>
      </c>
      <c r="E309" t="s">
        <v>156</v>
      </c>
      <c r="F309" t="s">
        <v>75</v>
      </c>
      <c r="G309" t="str">
        <f>VLOOKUP(A:A,INVENTÁRIO_05_2025!A:A,1,0)</f>
        <v>SPRDAPCUPSGRU03</v>
      </c>
    </row>
    <row r="310" spans="1:7">
      <c r="A310" t="s">
        <v>296</v>
      </c>
      <c r="B310" t="s">
        <v>61</v>
      </c>
      <c r="C310" t="s">
        <v>51</v>
      </c>
      <c r="D310" t="s">
        <v>295</v>
      </c>
      <c r="E310" t="s">
        <v>156</v>
      </c>
      <c r="F310" t="s">
        <v>75</v>
      </c>
      <c r="G310" t="str">
        <f>VLOOKUP(A:A,INVENTÁRIO_05_2025!A:A,1,0)</f>
        <v>SPRDAPCUPSGRU04</v>
      </c>
    </row>
    <row r="311" spans="1:7">
      <c r="A311" t="s">
        <v>173</v>
      </c>
      <c r="B311" t="s">
        <v>61</v>
      </c>
      <c r="C311" t="s">
        <v>116</v>
      </c>
      <c r="D311" t="s">
        <v>129</v>
      </c>
      <c r="E311" t="s">
        <v>156</v>
      </c>
      <c r="F311" t="s">
        <v>75</v>
      </c>
      <c r="G311" t="str">
        <f>VLOOKUP(A:A,INVENTÁRIO_05_2025!A:A,1,0)</f>
        <v>SPRDAPDGFGRU02</v>
      </c>
    </row>
    <row r="312" spans="1:7">
      <c r="A312" t="s">
        <v>175</v>
      </c>
      <c r="B312" t="s">
        <v>61</v>
      </c>
      <c r="C312" t="s">
        <v>116</v>
      </c>
      <c r="D312" t="s">
        <v>126</v>
      </c>
      <c r="E312" t="s">
        <v>156</v>
      </c>
      <c r="F312" t="s">
        <v>75</v>
      </c>
      <c r="G312" t="str">
        <f>VLOOKUP(A:A,INVENTÁRIO_05_2025!A:A,1,0)</f>
        <v>SPRDAPDHCPGRU01</v>
      </c>
    </row>
    <row r="313" spans="1:7">
      <c r="A313" t="s">
        <v>176</v>
      </c>
      <c r="B313" t="s">
        <v>61</v>
      </c>
      <c r="C313" t="s">
        <v>116</v>
      </c>
      <c r="D313" t="s">
        <v>126</v>
      </c>
      <c r="E313" t="s">
        <v>156</v>
      </c>
      <c r="F313" t="s">
        <v>75</v>
      </c>
      <c r="G313" t="str">
        <f>VLOOKUP(A:A,INVENTÁRIO_05_2025!A:A,1,0)</f>
        <v>SPRDAPDHCPGRU02</v>
      </c>
    </row>
    <row r="314" spans="1:7">
      <c r="A314" t="s">
        <v>270</v>
      </c>
      <c r="B314" t="s">
        <v>61</v>
      </c>
      <c r="C314" t="s">
        <v>51</v>
      </c>
      <c r="D314" t="s">
        <v>271</v>
      </c>
      <c r="E314" t="s">
        <v>156</v>
      </c>
      <c r="F314" t="s">
        <v>75</v>
      </c>
      <c r="G314" t="str">
        <f>VLOOKUP(A:A,INVENTÁRIO_05_2025!A:A,1,0)</f>
        <v>SPRDAPDIPGRU01</v>
      </c>
    </row>
    <row r="315" spans="1:7">
      <c r="A315" t="s">
        <v>525</v>
      </c>
      <c r="B315" t="s">
        <v>61</v>
      </c>
      <c r="C315" t="s">
        <v>51</v>
      </c>
      <c r="D315" t="s">
        <v>526</v>
      </c>
      <c r="E315" t="s">
        <v>156</v>
      </c>
      <c r="F315" t="s">
        <v>75</v>
      </c>
      <c r="G315" t="str">
        <f>VLOOKUP(A:A,INVENTÁRIO_05_2025!A:A,1,0)</f>
        <v>SPRDAPDSMGRU01</v>
      </c>
    </row>
    <row r="316" spans="1:7">
      <c r="A316" t="s">
        <v>251</v>
      </c>
      <c r="B316" t="s">
        <v>61</v>
      </c>
      <c r="C316" t="s">
        <v>116</v>
      </c>
      <c r="D316" t="s">
        <v>247</v>
      </c>
      <c r="E316" t="s">
        <v>156</v>
      </c>
      <c r="F316" t="s">
        <v>75</v>
      </c>
      <c r="G316" t="str">
        <f>VLOOKUP(A:A,INVENTÁRIO_05_2025!A:A,1,0)</f>
        <v>SPRDAPEDI7GRU01</v>
      </c>
    </row>
    <row r="317" spans="1:7">
      <c r="A317" t="s">
        <v>216</v>
      </c>
      <c r="B317" t="s">
        <v>61</v>
      </c>
      <c r="C317" t="s">
        <v>116</v>
      </c>
      <c r="D317" t="s">
        <v>419</v>
      </c>
      <c r="E317" t="s">
        <v>156</v>
      </c>
      <c r="F317" t="s">
        <v>75</v>
      </c>
      <c r="G317" t="str">
        <f>VLOOKUP(A:A,INVENTÁRIO_05_2025!A:A,1,0)</f>
        <v>SPRDAPEDIGRU01</v>
      </c>
    </row>
    <row r="318" spans="1:7">
      <c r="A318" t="s">
        <v>177</v>
      </c>
      <c r="B318" t="s">
        <v>61</v>
      </c>
      <c r="C318" t="s">
        <v>116</v>
      </c>
      <c r="D318" t="s">
        <v>174</v>
      </c>
      <c r="E318" t="s">
        <v>156</v>
      </c>
      <c r="F318" t="s">
        <v>75</v>
      </c>
      <c r="G318" t="str">
        <f>VLOOKUP(A:A,INVENTÁRIO_05_2025!A:A,1,0)</f>
        <v>SPRDAPEGTGRU01 - T3 EMB</v>
      </c>
    </row>
    <row r="319" spans="1:7">
      <c r="A319" t="s">
        <v>178</v>
      </c>
      <c r="B319" t="s">
        <v>61</v>
      </c>
      <c r="C319" t="s">
        <v>116</v>
      </c>
      <c r="D319" t="s">
        <v>174</v>
      </c>
      <c r="E319" t="s">
        <v>156</v>
      </c>
      <c r="F319" t="s">
        <v>75</v>
      </c>
      <c r="G319" t="str">
        <f>VLOOKUP(A:A,INVENTÁRIO_05_2025!A:A,1,0)</f>
        <v>SPRDAPEGTGRU02 - T2 EMB</v>
      </c>
    </row>
    <row r="320" spans="1:7">
      <c r="A320" t="s">
        <v>179</v>
      </c>
      <c r="B320" t="s">
        <v>61</v>
      </c>
      <c r="C320" t="s">
        <v>116</v>
      </c>
      <c r="D320" t="s">
        <v>174</v>
      </c>
      <c r="E320" t="s">
        <v>156</v>
      </c>
      <c r="F320" t="s">
        <v>75</v>
      </c>
      <c r="G320" t="str">
        <f>VLOOKUP(A:A,INVENTÁRIO_05_2025!A:A,1,0)</f>
        <v>SPRDAPEGTGRU03 - T3 DES</v>
      </c>
    </row>
    <row r="321" spans="1:7">
      <c r="A321" t="s">
        <v>180</v>
      </c>
      <c r="B321" t="s">
        <v>61</v>
      </c>
      <c r="C321" t="s">
        <v>116</v>
      </c>
      <c r="D321" t="s">
        <v>174</v>
      </c>
      <c r="E321" t="s">
        <v>156</v>
      </c>
      <c r="F321" t="s">
        <v>75</v>
      </c>
      <c r="G321" t="str">
        <f>VLOOKUP(A:A,INVENTÁRIO_05_2025!A:A,1,0)</f>
        <v>SPRDAPEGTGRU04 - T2 DES</v>
      </c>
    </row>
    <row r="322" spans="1:7">
      <c r="A322" t="s">
        <v>181</v>
      </c>
      <c r="B322" t="s">
        <v>61</v>
      </c>
      <c r="C322" t="s">
        <v>116</v>
      </c>
      <c r="D322" t="s">
        <v>672</v>
      </c>
      <c r="E322" t="s">
        <v>156</v>
      </c>
      <c r="F322" t="s">
        <v>75</v>
      </c>
      <c r="G322" t="str">
        <f>VLOOKUP(A:A,INVENTÁRIO_05_2025!A:A,1,0)</f>
        <v>SPRDAPEGTGRU05</v>
      </c>
    </row>
    <row r="323" spans="1:7">
      <c r="A323" t="s">
        <v>182</v>
      </c>
      <c r="B323" t="s">
        <v>61</v>
      </c>
      <c r="C323" t="s">
        <v>116</v>
      </c>
      <c r="D323" t="s">
        <v>672</v>
      </c>
      <c r="E323" t="s">
        <v>156</v>
      </c>
      <c r="F323" t="s">
        <v>75</v>
      </c>
      <c r="G323" t="str">
        <f>VLOOKUP(A:A,INVENTÁRIO_05_2025!A:A,1,0)</f>
        <v>SPRDAPEGTGRU06</v>
      </c>
    </row>
    <row r="324" spans="1:7">
      <c r="A324" t="s">
        <v>678</v>
      </c>
      <c r="B324" t="s">
        <v>61</v>
      </c>
      <c r="C324" t="s">
        <v>116</v>
      </c>
      <c r="D324" t="s">
        <v>425</v>
      </c>
      <c r="E324" t="s">
        <v>156</v>
      </c>
      <c r="F324" t="s">
        <v>75</v>
      </c>
      <c r="G324" t="e">
        <f>VLOOKUP(A:A,INVENTÁRIO_05_2025!A:A,1,0)</f>
        <v>#N/A</v>
      </c>
    </row>
    <row r="325" spans="1:7">
      <c r="A325" t="s">
        <v>218</v>
      </c>
      <c r="B325" t="s">
        <v>61</v>
      </c>
      <c r="C325" t="s">
        <v>116</v>
      </c>
      <c r="D325" t="s">
        <v>572</v>
      </c>
      <c r="E325" t="s">
        <v>156</v>
      </c>
      <c r="F325" t="s">
        <v>75</v>
      </c>
      <c r="G325" t="str">
        <f>VLOOKUP(A:A,INVENTÁRIO_05_2025!A:A,1,0)</f>
        <v>SPRDAPESBGRU12</v>
      </c>
    </row>
    <row r="326" spans="1:7">
      <c r="A326" t="s">
        <v>279</v>
      </c>
      <c r="B326" t="s">
        <v>61</v>
      </c>
      <c r="C326" t="s">
        <v>51</v>
      </c>
      <c r="D326" t="s">
        <v>280</v>
      </c>
      <c r="E326" t="s">
        <v>156</v>
      </c>
      <c r="F326" t="s">
        <v>75</v>
      </c>
      <c r="G326" t="str">
        <f>VLOOKUP(A:A,INVENTÁRIO_05_2025!A:A,1,0)</f>
        <v>SPRDAPEVFWGRU01</v>
      </c>
    </row>
    <row r="327" spans="1:7">
      <c r="A327" t="s">
        <v>220</v>
      </c>
      <c r="B327" t="s">
        <v>61</v>
      </c>
      <c r="C327" t="s">
        <v>116</v>
      </c>
      <c r="D327" t="s">
        <v>136</v>
      </c>
      <c r="E327" t="s">
        <v>156</v>
      </c>
      <c r="F327" t="s">
        <v>75</v>
      </c>
      <c r="G327" t="str">
        <f>VLOOKUP(A:A,INVENTÁRIO_05_2025!A:A,1,0)</f>
        <v>SPRDAPFSGRU01</v>
      </c>
    </row>
    <row r="328" spans="1:7">
      <c r="A328" t="s">
        <v>308</v>
      </c>
      <c r="B328" t="s">
        <v>61</v>
      </c>
      <c r="C328" t="s">
        <v>51</v>
      </c>
      <c r="D328" t="s">
        <v>114</v>
      </c>
      <c r="E328" t="s">
        <v>156</v>
      </c>
      <c r="F328" t="s">
        <v>75</v>
      </c>
      <c r="G328" t="str">
        <f>VLOOKUP(A:A,INVENTÁRIO_05_2025!A:A,1,0)</f>
        <v>SPRDAPGFNGRU02</v>
      </c>
    </row>
    <row r="329" spans="1:7">
      <c r="A329" t="s">
        <v>538</v>
      </c>
      <c r="B329" t="s">
        <v>61</v>
      </c>
      <c r="C329" t="s">
        <v>51</v>
      </c>
      <c r="D329" t="s">
        <v>114</v>
      </c>
      <c r="E329" t="s">
        <v>156</v>
      </c>
      <c r="F329" t="s">
        <v>75</v>
      </c>
      <c r="G329" t="str">
        <f>VLOOKUP(A:A,INVENTÁRIO_05_2025!A:A,1,0)</f>
        <v>SPRDAPGLPIGRU01</v>
      </c>
    </row>
    <row r="330" spans="1:7">
      <c r="A330" t="s">
        <v>539</v>
      </c>
      <c r="B330" t="s">
        <v>61</v>
      </c>
      <c r="C330" t="s">
        <v>51</v>
      </c>
      <c r="D330" t="s">
        <v>114</v>
      </c>
      <c r="E330" t="s">
        <v>156</v>
      </c>
      <c r="F330" t="s">
        <v>75</v>
      </c>
      <c r="G330" t="str">
        <f>VLOOKUP(A:A,INVENTÁRIO_05_2025!A:A,1,0)</f>
        <v>SPRDAPGLPIGRU02</v>
      </c>
    </row>
    <row r="331" spans="1:7">
      <c r="A331" t="s">
        <v>221</v>
      </c>
      <c r="B331" t="s">
        <v>61</v>
      </c>
      <c r="C331" t="s">
        <v>116</v>
      </c>
      <c r="D331" t="s">
        <v>425</v>
      </c>
      <c r="E331" t="s">
        <v>156</v>
      </c>
      <c r="F331" t="s">
        <v>75</v>
      </c>
      <c r="G331" t="str">
        <f>VLOOKUP(A:A,INVENTÁRIO_05_2025!A:A,1,0)</f>
        <v>SPRDAPHSEGRU01</v>
      </c>
    </row>
    <row r="332" spans="1:7">
      <c r="A332" t="s">
        <v>222</v>
      </c>
      <c r="B332" t="s">
        <v>61</v>
      </c>
      <c r="C332" t="s">
        <v>116</v>
      </c>
      <c r="D332" t="s">
        <v>425</v>
      </c>
      <c r="E332" t="s">
        <v>156</v>
      </c>
      <c r="F332" t="s">
        <v>75</v>
      </c>
      <c r="G332" t="str">
        <f>VLOOKUP(A:A,INVENTÁRIO_05_2025!A:A,1,0)</f>
        <v>SPRDAPHSEGRU02</v>
      </c>
    </row>
    <row r="333" spans="1:7">
      <c r="A333" t="s">
        <v>252</v>
      </c>
      <c r="B333" t="s">
        <v>61</v>
      </c>
      <c r="C333" t="s">
        <v>116</v>
      </c>
      <c r="D333" t="s">
        <v>136</v>
      </c>
      <c r="E333" t="s">
        <v>156</v>
      </c>
      <c r="F333" t="s">
        <v>75</v>
      </c>
      <c r="G333" t="str">
        <f>VLOOKUP(A:A,INVENTÁRIO_05_2025!A:A,1,0)</f>
        <v>SPRDAPHSEGRU06</v>
      </c>
    </row>
    <row r="334" spans="1:7">
      <c r="A334" t="s">
        <v>471</v>
      </c>
      <c r="B334" t="s">
        <v>61</v>
      </c>
      <c r="C334" t="s">
        <v>116</v>
      </c>
      <c r="D334" t="s">
        <v>419</v>
      </c>
      <c r="E334" t="s">
        <v>156</v>
      </c>
      <c r="F334" t="s">
        <v>75</v>
      </c>
      <c r="G334" t="str">
        <f>VLOOKUP(A:A,INVENTÁRIO_05_2025!A:A,1,0)</f>
        <v>SPRDAPIAMGRU05</v>
      </c>
    </row>
    <row r="335" spans="1:7">
      <c r="A335" t="s">
        <v>472</v>
      </c>
      <c r="B335" t="s">
        <v>61</v>
      </c>
      <c r="C335" t="s">
        <v>116</v>
      </c>
      <c r="D335" t="s">
        <v>419</v>
      </c>
      <c r="E335" t="s">
        <v>156</v>
      </c>
      <c r="F335" t="s">
        <v>75</v>
      </c>
      <c r="G335" t="str">
        <f>VLOOKUP(A:A,INVENTÁRIO_05_2025!A:A,1,0)</f>
        <v>SPRDAPIAMGRU06</v>
      </c>
    </row>
    <row r="336" spans="1:7">
      <c r="A336" t="s">
        <v>473</v>
      </c>
      <c r="B336" t="s">
        <v>61</v>
      </c>
      <c r="C336" t="s">
        <v>116</v>
      </c>
      <c r="D336" t="s">
        <v>419</v>
      </c>
      <c r="E336" t="s">
        <v>156</v>
      </c>
      <c r="F336" t="s">
        <v>75</v>
      </c>
      <c r="G336" t="str">
        <f>VLOOKUP(A:A,INVENTÁRIO_05_2025!A:A,1,0)</f>
        <v>SPRDAPIAMGRU07</v>
      </c>
    </row>
    <row r="337" spans="1:7">
      <c r="A337" t="s">
        <v>474</v>
      </c>
      <c r="B337" t="s">
        <v>61</v>
      </c>
      <c r="C337" t="s">
        <v>116</v>
      </c>
      <c r="D337" t="s">
        <v>419</v>
      </c>
      <c r="E337" t="s">
        <v>156</v>
      </c>
      <c r="F337" t="s">
        <v>75</v>
      </c>
      <c r="G337" t="str">
        <f>VLOOKUP(A:A,INVENTÁRIO_05_2025!A:A,1,0)</f>
        <v>SPRDAPIAMGRU08</v>
      </c>
    </row>
    <row r="338" spans="1:7">
      <c r="A338" t="s">
        <v>475</v>
      </c>
      <c r="B338" t="s">
        <v>61</v>
      </c>
      <c r="C338" t="s">
        <v>116</v>
      </c>
      <c r="D338" t="s">
        <v>419</v>
      </c>
      <c r="E338" t="s">
        <v>156</v>
      </c>
      <c r="F338" t="s">
        <v>75</v>
      </c>
      <c r="G338" t="str">
        <f>VLOOKUP(A:A,INVENTÁRIO_05_2025!A:A,1,0)</f>
        <v>SPRDAPIAMGRU09</v>
      </c>
    </row>
    <row r="339" spans="1:7">
      <c r="A339" t="s">
        <v>476</v>
      </c>
      <c r="B339" t="s">
        <v>61</v>
      </c>
      <c r="C339" t="s">
        <v>116</v>
      </c>
      <c r="D339" t="s">
        <v>419</v>
      </c>
      <c r="E339" t="s">
        <v>156</v>
      </c>
      <c r="F339" t="s">
        <v>75</v>
      </c>
      <c r="G339" t="str">
        <f>VLOOKUP(A:A,INVENTÁRIO_05_2025!A:A,1,0)</f>
        <v>SPRDAPIAMGRU10</v>
      </c>
    </row>
    <row r="340" spans="1:7">
      <c r="A340" t="s">
        <v>477</v>
      </c>
      <c r="B340" t="s">
        <v>61</v>
      </c>
      <c r="C340" t="s">
        <v>116</v>
      </c>
      <c r="D340" t="s">
        <v>419</v>
      </c>
      <c r="E340" t="s">
        <v>156</v>
      </c>
      <c r="F340" t="s">
        <v>75</v>
      </c>
      <c r="G340" t="str">
        <f>VLOOKUP(A:A,INVENTÁRIO_05_2025!A:A,1,0)</f>
        <v>SPRDAPIAMGRU11</v>
      </c>
    </row>
    <row r="341" spans="1:7">
      <c r="A341" t="s">
        <v>297</v>
      </c>
      <c r="B341" t="s">
        <v>61</v>
      </c>
      <c r="C341" t="s">
        <v>51</v>
      </c>
      <c r="D341" t="s">
        <v>109</v>
      </c>
      <c r="E341" t="s">
        <v>156</v>
      </c>
      <c r="F341" t="s">
        <v>75</v>
      </c>
      <c r="G341" t="str">
        <f>VLOOKUP(A:A,INVENTÁRIO_05_2025!A:A,1,0)</f>
        <v>SPRDAPIHSGRU01</v>
      </c>
    </row>
    <row r="342" spans="1:7">
      <c r="A342" t="s">
        <v>298</v>
      </c>
      <c r="B342" t="s">
        <v>61</v>
      </c>
      <c r="C342" t="s">
        <v>51</v>
      </c>
      <c r="D342" t="s">
        <v>109</v>
      </c>
      <c r="E342" t="s">
        <v>156</v>
      </c>
      <c r="F342" t="s">
        <v>75</v>
      </c>
      <c r="G342" t="str">
        <f>VLOOKUP(A:A,INVENTÁRIO_05_2025!A:A,1,0)</f>
        <v>SPRDAPIHSGRU02</v>
      </c>
    </row>
    <row r="343" spans="1:7">
      <c r="A343" t="s">
        <v>299</v>
      </c>
      <c r="B343" t="s">
        <v>61</v>
      </c>
      <c r="C343" t="s">
        <v>51</v>
      </c>
      <c r="D343" t="s">
        <v>295</v>
      </c>
      <c r="E343" t="s">
        <v>156</v>
      </c>
      <c r="F343" t="s">
        <v>75</v>
      </c>
      <c r="G343" t="str">
        <f>VLOOKUP(A:A,INVENTÁRIO_05_2025!A:A,1,0)</f>
        <v>SPRDAPIHSGRU03</v>
      </c>
    </row>
    <row r="344" spans="1:7">
      <c r="A344" t="s">
        <v>243</v>
      </c>
      <c r="B344" t="s">
        <v>61</v>
      </c>
      <c r="C344" t="s">
        <v>116</v>
      </c>
      <c r="D344" t="s">
        <v>141</v>
      </c>
      <c r="E344" t="s">
        <v>156</v>
      </c>
      <c r="F344" t="s">
        <v>75</v>
      </c>
      <c r="G344" t="str">
        <f>VLOOKUP(A:A,INVENTÁRIO_05_2025!A:A,1,0)</f>
        <v>SPRDAPILMTGRU02</v>
      </c>
    </row>
    <row r="345" spans="1:7">
      <c r="A345" t="s">
        <v>183</v>
      </c>
      <c r="B345" t="s">
        <v>61</v>
      </c>
      <c r="C345" t="s">
        <v>116</v>
      </c>
      <c r="D345" t="s">
        <v>126</v>
      </c>
      <c r="E345" t="s">
        <v>156</v>
      </c>
      <c r="F345" t="s">
        <v>75</v>
      </c>
      <c r="G345" t="str">
        <f>VLOOKUP(A:A,INVENTÁRIO_05_2025!A:A,1,0)</f>
        <v>SPRDAPIMCGRU01</v>
      </c>
    </row>
    <row r="346" spans="1:7">
      <c r="A346" t="s">
        <v>160</v>
      </c>
      <c r="B346" t="s">
        <v>61</v>
      </c>
      <c r="C346" t="s">
        <v>51</v>
      </c>
      <c r="D346" t="s">
        <v>161</v>
      </c>
      <c r="E346" t="s">
        <v>156</v>
      </c>
      <c r="F346" t="s">
        <v>75</v>
      </c>
      <c r="G346" t="str">
        <f>VLOOKUP(A:A,INVENTÁRIO_05_2025!A:A,1,0)</f>
        <v>SPRDAPINSGRU01</v>
      </c>
    </row>
    <row r="347" spans="1:7">
      <c r="A347" t="s">
        <v>223</v>
      </c>
      <c r="B347" t="s">
        <v>61</v>
      </c>
      <c r="C347" t="s">
        <v>116</v>
      </c>
      <c r="D347" t="s">
        <v>425</v>
      </c>
      <c r="E347" t="s">
        <v>156</v>
      </c>
      <c r="F347" t="s">
        <v>75</v>
      </c>
      <c r="G347" t="str">
        <f>VLOOKUP(A:A,INVENTÁRIO_05_2025!A:A,1,0)</f>
        <v>SPRDAPINVGRU01</v>
      </c>
    </row>
    <row r="348" spans="1:7">
      <c r="A348" t="s">
        <v>224</v>
      </c>
      <c r="B348" t="s">
        <v>61</v>
      </c>
      <c r="C348" t="s">
        <v>116</v>
      </c>
      <c r="D348" t="s">
        <v>425</v>
      </c>
      <c r="E348" t="s">
        <v>156</v>
      </c>
      <c r="F348" t="s">
        <v>75</v>
      </c>
      <c r="G348" t="str">
        <f>VLOOKUP(A:A,INVENTÁRIO_05_2025!A:A,1,0)</f>
        <v>SPRDAPINVGRU02</v>
      </c>
    </row>
    <row r="349" spans="1:7">
      <c r="A349" t="s">
        <v>225</v>
      </c>
      <c r="B349" t="s">
        <v>61</v>
      </c>
      <c r="C349" t="s">
        <v>116</v>
      </c>
      <c r="D349" t="s">
        <v>425</v>
      </c>
      <c r="E349" t="s">
        <v>156</v>
      </c>
      <c r="F349" t="s">
        <v>75</v>
      </c>
      <c r="G349" t="str">
        <f>VLOOKUP(A:A,INVENTÁRIO_05_2025!A:A,1,0)</f>
        <v>SPRDAPINVGRU03</v>
      </c>
    </row>
    <row r="350" spans="1:7">
      <c r="A350" t="s">
        <v>226</v>
      </c>
      <c r="B350" t="s">
        <v>61</v>
      </c>
      <c r="C350" t="s">
        <v>116</v>
      </c>
      <c r="D350" t="s">
        <v>425</v>
      </c>
      <c r="E350" t="s">
        <v>156</v>
      </c>
      <c r="F350" t="s">
        <v>75</v>
      </c>
      <c r="G350" t="str">
        <f>VLOOKUP(A:A,INVENTÁRIO_05_2025!A:A,1,0)</f>
        <v>SPRDAPINVGRU04</v>
      </c>
    </row>
    <row r="351" spans="1:7">
      <c r="A351" t="s">
        <v>227</v>
      </c>
      <c r="B351" t="s">
        <v>61</v>
      </c>
      <c r="C351" t="s">
        <v>116</v>
      </c>
      <c r="D351" t="s">
        <v>425</v>
      </c>
      <c r="E351" t="s">
        <v>156</v>
      </c>
      <c r="F351" t="s">
        <v>75</v>
      </c>
      <c r="G351" t="str">
        <f>VLOOKUP(A:A,INVENTÁRIO_05_2025!A:A,1,0)</f>
        <v>SPRDAPINVGRU07</v>
      </c>
    </row>
    <row r="352" spans="1:7">
      <c r="A352" t="s">
        <v>479</v>
      </c>
      <c r="B352" t="s">
        <v>61</v>
      </c>
      <c r="C352" t="s">
        <v>116</v>
      </c>
      <c r="D352" t="s">
        <v>136</v>
      </c>
      <c r="E352" t="s">
        <v>156</v>
      </c>
      <c r="F352" t="s">
        <v>75</v>
      </c>
      <c r="G352" t="str">
        <f>VLOOKUP(A:A,INVENTÁRIO_05_2025!A:A,1,0)</f>
        <v>SPRDAPINVGRU09</v>
      </c>
    </row>
    <row r="353" spans="1:7">
      <c r="A353" t="s">
        <v>244</v>
      </c>
      <c r="B353" t="s">
        <v>61</v>
      </c>
      <c r="C353" t="s">
        <v>116</v>
      </c>
      <c r="D353" t="s">
        <v>242</v>
      </c>
      <c r="E353" t="s">
        <v>156</v>
      </c>
      <c r="F353" t="s">
        <v>75</v>
      </c>
      <c r="G353" t="str">
        <f>VLOOKUP(A:A,INVENTÁRIO_05_2025!A:A,1,0)</f>
        <v>SPRDAPJPGRU02</v>
      </c>
    </row>
    <row r="354" spans="1:7">
      <c r="A354" t="s">
        <v>253</v>
      </c>
      <c r="B354" t="s">
        <v>61</v>
      </c>
      <c r="C354" t="s">
        <v>116</v>
      </c>
      <c r="D354" t="s">
        <v>141</v>
      </c>
      <c r="E354" t="s">
        <v>156</v>
      </c>
      <c r="F354" t="s">
        <v>75</v>
      </c>
      <c r="G354" t="str">
        <f>VLOOKUP(A:A,INVENTÁRIO_05_2025!A:A,1,0)</f>
        <v>SPRDAPJPGRU03</v>
      </c>
    </row>
    <row r="355" spans="1:7">
      <c r="A355" t="s">
        <v>254</v>
      </c>
      <c r="B355" t="s">
        <v>61</v>
      </c>
      <c r="C355" t="s">
        <v>116</v>
      </c>
      <c r="D355" t="s">
        <v>141</v>
      </c>
      <c r="E355" t="s">
        <v>156</v>
      </c>
      <c r="F355" t="s">
        <v>75</v>
      </c>
      <c r="G355" t="str">
        <f>VLOOKUP(A:A,INVENTÁRIO_05_2025!A:A,1,0)</f>
        <v>SPRDAPJPGRU04</v>
      </c>
    </row>
    <row r="356" spans="1:7">
      <c r="A356" t="s">
        <v>255</v>
      </c>
      <c r="B356" t="s">
        <v>61</v>
      </c>
      <c r="C356" t="s">
        <v>116</v>
      </c>
      <c r="D356" t="s">
        <v>141</v>
      </c>
      <c r="E356" t="s">
        <v>156</v>
      </c>
      <c r="F356" t="s">
        <v>75</v>
      </c>
      <c r="G356" t="str">
        <f>VLOOKUP(A:A,INVENTÁRIO_05_2025!A:A,1,0)</f>
        <v>SPRDAPJPGRU05</v>
      </c>
    </row>
    <row r="357" spans="1:7">
      <c r="A357" t="s">
        <v>228</v>
      </c>
      <c r="B357" t="s">
        <v>61</v>
      </c>
      <c r="C357" t="s">
        <v>116</v>
      </c>
      <c r="D357" t="s">
        <v>425</v>
      </c>
      <c r="E357" t="s">
        <v>156</v>
      </c>
      <c r="F357" t="s">
        <v>75</v>
      </c>
      <c r="G357" t="str">
        <f>VLOOKUP(A:A,INVENTÁRIO_05_2025!A:A,1,0)</f>
        <v>SPRDAPLGGRU01</v>
      </c>
    </row>
    <row r="358" spans="1:7">
      <c r="A358" t="s">
        <v>229</v>
      </c>
      <c r="B358" t="s">
        <v>61</v>
      </c>
      <c r="C358" t="s">
        <v>116</v>
      </c>
      <c r="D358" t="s">
        <v>136</v>
      </c>
      <c r="E358" t="s">
        <v>156</v>
      </c>
      <c r="F358" t="s">
        <v>75</v>
      </c>
      <c r="G358" t="str">
        <f>VLOOKUP(A:A,INVENTÁRIO_05_2025!A:A,1,0)</f>
        <v>SPRDAPLGGRU03</v>
      </c>
    </row>
    <row r="359" spans="1:7">
      <c r="A359" t="s">
        <v>332</v>
      </c>
      <c r="B359" t="s">
        <v>61</v>
      </c>
      <c r="C359" t="s">
        <v>51</v>
      </c>
      <c r="D359" t="s">
        <v>567</v>
      </c>
      <c r="E359" t="s">
        <v>156</v>
      </c>
      <c r="F359" t="s">
        <v>75</v>
      </c>
      <c r="G359" t="str">
        <f>VLOOKUP(A:A,INVENTÁRIO_05_2025!A:A,1,0)</f>
        <v>SPRDAPLOGSGRU01</v>
      </c>
    </row>
    <row r="360" spans="1:7">
      <c r="A360" t="s">
        <v>168</v>
      </c>
      <c r="B360" t="s">
        <v>61</v>
      </c>
      <c r="C360" t="s">
        <v>116</v>
      </c>
      <c r="D360" t="s">
        <v>117</v>
      </c>
      <c r="E360" t="s">
        <v>156</v>
      </c>
      <c r="F360" t="s">
        <v>75</v>
      </c>
      <c r="G360" t="str">
        <f>VLOOKUP(A:A,INVENTÁRIO_05_2025!A:A,1,0)</f>
        <v>SPRDAPNAPGRU01</v>
      </c>
    </row>
    <row r="361" spans="1:7">
      <c r="A361" t="s">
        <v>289</v>
      </c>
      <c r="B361" t="s">
        <v>61</v>
      </c>
      <c r="C361" t="s">
        <v>51</v>
      </c>
      <c r="D361" t="s">
        <v>85</v>
      </c>
      <c r="E361" t="s">
        <v>156</v>
      </c>
      <c r="F361" t="s">
        <v>75</v>
      </c>
      <c r="G361" t="str">
        <f>VLOOKUP(A:A,INVENTÁRIO_05_2025!A:A,1,0)</f>
        <v>SPRDAPNBKGRU01</v>
      </c>
    </row>
    <row r="362" spans="1:7">
      <c r="A362" t="s">
        <v>300</v>
      </c>
      <c r="B362" t="s">
        <v>61</v>
      </c>
      <c r="C362" t="s">
        <v>51</v>
      </c>
      <c r="D362" t="s">
        <v>295</v>
      </c>
      <c r="E362" t="s">
        <v>156</v>
      </c>
      <c r="F362" t="s">
        <v>75</v>
      </c>
      <c r="G362" t="str">
        <f>VLOOKUP(A:A,INVENTÁRIO_05_2025!A:A,1,0)</f>
        <v>SPRDAPNFSGRU01</v>
      </c>
    </row>
    <row r="363" spans="1:7">
      <c r="A363" t="s">
        <v>272</v>
      </c>
      <c r="B363" t="s">
        <v>61</v>
      </c>
      <c r="C363" t="s">
        <v>51</v>
      </c>
      <c r="D363" t="s">
        <v>273</v>
      </c>
      <c r="E363" t="s">
        <v>156</v>
      </c>
      <c r="F363" t="s">
        <v>75</v>
      </c>
      <c r="G363" t="str">
        <f>VLOOKUP(A:A,INVENTÁRIO_05_2025!A:A,1,0)</f>
        <v>SPRDAPNLBGRU01</v>
      </c>
    </row>
    <row r="364" spans="1:7">
      <c r="A364" t="s">
        <v>274</v>
      </c>
      <c r="B364" t="s">
        <v>61</v>
      </c>
      <c r="C364" t="s">
        <v>51</v>
      </c>
      <c r="D364" t="s">
        <v>273</v>
      </c>
      <c r="E364" t="s">
        <v>156</v>
      </c>
      <c r="F364" t="s">
        <v>75</v>
      </c>
      <c r="G364" t="str">
        <f>VLOOKUP(A:A,INVENTÁRIO_05_2025!A:A,1,0)</f>
        <v>SPRDAPNLBGRU02</v>
      </c>
    </row>
    <row r="365" spans="1:7">
      <c r="A365" t="s">
        <v>303</v>
      </c>
      <c r="B365" t="s">
        <v>61</v>
      </c>
      <c r="C365" t="s">
        <v>51</v>
      </c>
      <c r="D365" t="s">
        <v>111</v>
      </c>
      <c r="E365" t="s">
        <v>156</v>
      </c>
      <c r="F365" t="s">
        <v>75</v>
      </c>
      <c r="G365" t="str">
        <f>VLOOKUP(A:A,INVENTÁRIO_05_2025!A:A,1,0)</f>
        <v>SPRDAPNMCGRU01</v>
      </c>
    </row>
    <row r="366" spans="1:7">
      <c r="A366" t="s">
        <v>304</v>
      </c>
      <c r="B366" t="s">
        <v>61</v>
      </c>
      <c r="C366" t="s">
        <v>51</v>
      </c>
      <c r="D366" t="s">
        <v>111</v>
      </c>
      <c r="E366" t="s">
        <v>156</v>
      </c>
      <c r="F366" t="s">
        <v>75</v>
      </c>
      <c r="G366" t="str">
        <f>VLOOKUP(A:A,INVENTÁRIO_05_2025!A:A,1,0)</f>
        <v>SPRDAPNTWSGRU01</v>
      </c>
    </row>
    <row r="367" spans="1:7">
      <c r="A367" t="s">
        <v>335</v>
      </c>
      <c r="B367" t="s">
        <v>61</v>
      </c>
      <c r="C367" t="s">
        <v>51</v>
      </c>
      <c r="D367" t="s">
        <v>158</v>
      </c>
      <c r="E367" t="s">
        <v>156</v>
      </c>
      <c r="F367" t="s">
        <v>75</v>
      </c>
      <c r="G367" t="str">
        <f>VLOOKUP(A:A,INVENTÁRIO_05_2025!A:A,1,0)</f>
        <v>SPRDAPOCSGRU01</v>
      </c>
    </row>
    <row r="368" spans="1:7">
      <c r="A368" t="s">
        <v>434</v>
      </c>
      <c r="B368" t="s">
        <v>61</v>
      </c>
      <c r="C368" t="s">
        <v>116</v>
      </c>
      <c r="D368" t="s">
        <v>126</v>
      </c>
      <c r="E368" t="s">
        <v>156</v>
      </c>
      <c r="F368" t="s">
        <v>75</v>
      </c>
      <c r="G368" t="str">
        <f>VLOOKUP(A:A,INVENTÁRIO_05_2025!A:A,1,0)</f>
        <v>SPRDAPOMEGRU01</v>
      </c>
    </row>
    <row r="369" spans="1:7">
      <c r="A369" t="s">
        <v>580</v>
      </c>
      <c r="B369" t="s">
        <v>61</v>
      </c>
      <c r="C369" t="s">
        <v>51</v>
      </c>
      <c r="D369" t="s">
        <v>114</v>
      </c>
      <c r="E369" t="s">
        <v>156</v>
      </c>
      <c r="F369" t="s">
        <v>75</v>
      </c>
      <c r="G369" t="str">
        <f>VLOOKUP(A:A,INVENTÁRIO_05_2025!A:A,1,0)</f>
        <v>SPRDAPOTRSGRU02</v>
      </c>
    </row>
    <row r="370" spans="1:7">
      <c r="A370" t="s">
        <v>256</v>
      </c>
      <c r="B370" t="s">
        <v>61</v>
      </c>
      <c r="C370" t="s">
        <v>116</v>
      </c>
      <c r="D370" t="s">
        <v>141</v>
      </c>
      <c r="E370" t="s">
        <v>156</v>
      </c>
      <c r="F370" t="s">
        <v>75</v>
      </c>
      <c r="G370" t="str">
        <f>VLOOKUP(A:A,INVENTÁRIO_05_2025!A:A,1,0)</f>
        <v>SPRDAPPEAGRU01</v>
      </c>
    </row>
    <row r="371" spans="1:7">
      <c r="A371" t="s">
        <v>305</v>
      </c>
      <c r="B371" t="s">
        <v>61</v>
      </c>
      <c r="C371" t="s">
        <v>51</v>
      </c>
      <c r="D371" t="s">
        <v>111</v>
      </c>
      <c r="E371" t="s">
        <v>156</v>
      </c>
      <c r="F371" t="s">
        <v>75</v>
      </c>
      <c r="G371" t="str">
        <f>VLOOKUP(A:A,INVENTÁRIO_05_2025!A:A,1,0)</f>
        <v>SPRDAPPOSTGRU01</v>
      </c>
    </row>
    <row r="372" spans="1:7">
      <c r="A372" t="s">
        <v>169</v>
      </c>
      <c r="B372" t="s">
        <v>61</v>
      </c>
      <c r="C372" t="s">
        <v>116</v>
      </c>
      <c r="D372" t="s">
        <v>117</v>
      </c>
      <c r="E372" t="s">
        <v>156</v>
      </c>
      <c r="F372" t="s">
        <v>75</v>
      </c>
      <c r="G372" t="str">
        <f>VLOOKUP(A:A,INVENTÁRIO_05_2025!A:A,1,0)</f>
        <v>SPRDAPPTCAGRU01</v>
      </c>
    </row>
    <row r="373" spans="1:7">
      <c r="A373" t="s">
        <v>170</v>
      </c>
      <c r="B373" t="s">
        <v>61</v>
      </c>
      <c r="C373" t="s">
        <v>116</v>
      </c>
      <c r="D373" t="s">
        <v>163</v>
      </c>
      <c r="E373" t="s">
        <v>156</v>
      </c>
      <c r="F373" t="s">
        <v>75</v>
      </c>
      <c r="G373" t="str">
        <f>VLOOKUP(A:A,INVENTÁRIO_05_2025!A:A,1,0)</f>
        <v>SPRDAPPVGRU02</v>
      </c>
    </row>
    <row r="374" spans="1:7">
      <c r="A374" t="s">
        <v>230</v>
      </c>
      <c r="B374" t="s">
        <v>61</v>
      </c>
      <c r="C374" t="s">
        <v>116</v>
      </c>
      <c r="D374" t="s">
        <v>425</v>
      </c>
      <c r="E374" t="s">
        <v>156</v>
      </c>
      <c r="F374" t="s">
        <v>75</v>
      </c>
      <c r="G374" t="str">
        <f>VLOOKUP(A:A,INVENTÁRIO_05_2025!A:A,1,0)</f>
        <v>SPRDAPRADGRU01</v>
      </c>
    </row>
    <row r="375" spans="1:7">
      <c r="A375" t="s">
        <v>184</v>
      </c>
      <c r="B375" t="s">
        <v>61</v>
      </c>
      <c r="C375" t="s">
        <v>116</v>
      </c>
      <c r="D375" t="s">
        <v>126</v>
      </c>
      <c r="E375" t="s">
        <v>156</v>
      </c>
      <c r="F375" t="s">
        <v>75</v>
      </c>
      <c r="G375" t="str">
        <f>VLOOKUP(A:A,INVENTÁRIO_05_2025!A:A,1,0)</f>
        <v>SPRDAPRDGGRU01</v>
      </c>
    </row>
    <row r="376" spans="1:7">
      <c r="A376" t="s">
        <v>632</v>
      </c>
      <c r="B376" t="s">
        <v>61</v>
      </c>
      <c r="C376" t="s">
        <v>116</v>
      </c>
      <c r="D376" t="s">
        <v>572</v>
      </c>
      <c r="E376" t="s">
        <v>156</v>
      </c>
      <c r="F376" t="s">
        <v>75</v>
      </c>
      <c r="G376" t="str">
        <f>VLOOKUP(A:A,INVENTÁRIO_05_2025!A:A,1,0)</f>
        <v>SPRDAPRIMAGRU01</v>
      </c>
    </row>
    <row r="377" spans="1:7">
      <c r="A377" t="s">
        <v>309</v>
      </c>
      <c r="B377" t="s">
        <v>61</v>
      </c>
      <c r="C377" t="s">
        <v>51</v>
      </c>
      <c r="D377" t="s">
        <v>114</v>
      </c>
      <c r="E377" t="s">
        <v>156</v>
      </c>
      <c r="F377" t="s">
        <v>75</v>
      </c>
      <c r="G377" t="str">
        <f>VLOOKUP(A:A,INVENTÁRIO_05_2025!A:A,1,0)</f>
        <v>SPRDAPRMAGRU04</v>
      </c>
    </row>
    <row r="378" spans="1:7">
      <c r="A378" t="s">
        <v>487</v>
      </c>
      <c r="B378" t="s">
        <v>61</v>
      </c>
      <c r="C378" t="s">
        <v>116</v>
      </c>
      <c r="D378" t="s">
        <v>136</v>
      </c>
      <c r="E378" t="s">
        <v>156</v>
      </c>
      <c r="F378" t="s">
        <v>75</v>
      </c>
      <c r="G378" t="str">
        <f>VLOOKUP(A:A,INVENTÁRIO_05_2025!A:A,1,0)</f>
        <v>SPRDAPRMIGRU01</v>
      </c>
    </row>
    <row r="379" spans="1:7">
      <c r="A379" t="s">
        <v>185</v>
      </c>
      <c r="B379" t="s">
        <v>61</v>
      </c>
      <c r="C379" t="s">
        <v>116</v>
      </c>
      <c r="D379" t="s">
        <v>174</v>
      </c>
      <c r="E379" t="s">
        <v>156</v>
      </c>
      <c r="F379" t="s">
        <v>75</v>
      </c>
      <c r="G379" t="str">
        <f>VLOOKUP(A:A,INVENTÁRIO_05_2025!A:A,1,0)</f>
        <v>SPRDAPRPGRU08</v>
      </c>
    </row>
    <row r="380" spans="1:7">
      <c r="A380" t="s">
        <v>312</v>
      </c>
      <c r="B380" t="s">
        <v>61</v>
      </c>
      <c r="C380" t="s">
        <v>51</v>
      </c>
      <c r="D380" t="s">
        <v>114</v>
      </c>
      <c r="E380" t="s">
        <v>156</v>
      </c>
      <c r="F380" t="s">
        <v>75</v>
      </c>
      <c r="G380" t="str">
        <f>VLOOKUP(A:A,INVENTÁRIO_05_2025!A:A,1,0)</f>
        <v>SPRDAPRPGRU09</v>
      </c>
    </row>
    <row r="381" spans="1:7">
      <c r="A381" t="s">
        <v>313</v>
      </c>
      <c r="B381" t="s">
        <v>61</v>
      </c>
      <c r="C381" t="s">
        <v>51</v>
      </c>
      <c r="D381" t="s">
        <v>114</v>
      </c>
      <c r="E381" t="s">
        <v>156</v>
      </c>
      <c r="F381" t="s">
        <v>75</v>
      </c>
      <c r="G381" t="str">
        <f>VLOOKUP(A:A,INVENTÁRIO_05_2025!A:A,1,0)</f>
        <v>SPRDAPRPGRU10</v>
      </c>
    </row>
    <row r="382" spans="1:7">
      <c r="A382" t="s">
        <v>314</v>
      </c>
      <c r="B382" t="s">
        <v>61</v>
      </c>
      <c r="C382" t="s">
        <v>51</v>
      </c>
      <c r="D382" t="s">
        <v>114</v>
      </c>
      <c r="E382" t="s">
        <v>156</v>
      </c>
      <c r="F382" t="s">
        <v>75</v>
      </c>
      <c r="G382" t="str">
        <f>VLOOKUP(A:A,INVENTÁRIO_05_2025!A:A,1,0)</f>
        <v>SPRDAPRPGRU12</v>
      </c>
    </row>
    <row r="383" spans="1:7">
      <c r="A383" t="s">
        <v>546</v>
      </c>
      <c r="B383" t="s">
        <v>61</v>
      </c>
      <c r="C383" t="s">
        <v>51</v>
      </c>
      <c r="D383" t="s">
        <v>114</v>
      </c>
      <c r="E383" t="s">
        <v>156</v>
      </c>
      <c r="F383" t="s">
        <v>75</v>
      </c>
      <c r="G383" t="str">
        <f>VLOOKUP(A:A,INVENTÁRIO_05_2025!A:A,1,0)</f>
        <v>SPRDAPRPGRU13</v>
      </c>
    </row>
    <row r="384" spans="1:7">
      <c r="A384" t="s">
        <v>301</v>
      </c>
      <c r="B384" t="s">
        <v>61</v>
      </c>
      <c r="C384" t="s">
        <v>51</v>
      </c>
      <c r="D384" t="s">
        <v>111</v>
      </c>
      <c r="E384" t="s">
        <v>156</v>
      </c>
      <c r="F384" t="s">
        <v>75</v>
      </c>
      <c r="G384" t="str">
        <f>VLOOKUP(A:A,INVENTÁRIO_05_2025!A:A,1,0)</f>
        <v>SPRDAPRPGRU14</v>
      </c>
    </row>
    <row r="385" spans="1:7">
      <c r="A385" t="s">
        <v>302</v>
      </c>
      <c r="B385" t="s">
        <v>61</v>
      </c>
      <c r="C385" t="s">
        <v>51</v>
      </c>
      <c r="D385" t="s">
        <v>111</v>
      </c>
      <c r="E385" t="s">
        <v>156</v>
      </c>
      <c r="F385" t="s">
        <v>75</v>
      </c>
      <c r="G385" t="str">
        <f>VLOOKUP(A:A,INVENTÁRIO_05_2025!A:A,1,0)</f>
        <v>SPRDAPRPGRU15</v>
      </c>
    </row>
    <row r="386" spans="1:7">
      <c r="A386" t="s">
        <v>231</v>
      </c>
      <c r="B386" t="s">
        <v>61</v>
      </c>
      <c r="C386" t="s">
        <v>116</v>
      </c>
      <c r="D386" t="s">
        <v>419</v>
      </c>
      <c r="E386" t="s">
        <v>156</v>
      </c>
      <c r="F386" t="s">
        <v>75</v>
      </c>
      <c r="G386" t="str">
        <f>VLOOKUP(A:A,INVENTÁRIO_05_2025!A:A,1,0)</f>
        <v>SPRDAPSAFGRU02</v>
      </c>
    </row>
    <row r="387" spans="1:7">
      <c r="A387" t="s">
        <v>438</v>
      </c>
      <c r="B387" t="s">
        <v>61</v>
      </c>
      <c r="C387" t="s">
        <v>116</v>
      </c>
      <c r="D387" t="s">
        <v>126</v>
      </c>
      <c r="E387" t="s">
        <v>156</v>
      </c>
      <c r="F387" t="s">
        <v>75</v>
      </c>
      <c r="G387" t="str">
        <f>VLOOKUP(A:A,INVENTÁRIO_05_2025!A:A,1,0)</f>
        <v>SPRDAPSAGRU01</v>
      </c>
    </row>
    <row r="388" spans="1:7">
      <c r="A388" t="s">
        <v>186</v>
      </c>
      <c r="B388" t="s">
        <v>61</v>
      </c>
      <c r="C388" t="s">
        <v>116</v>
      </c>
      <c r="D388" t="s">
        <v>174</v>
      </c>
      <c r="E388" t="s">
        <v>156</v>
      </c>
      <c r="F388" t="s">
        <v>75</v>
      </c>
      <c r="G388" t="str">
        <f>VLOOKUP(A:A,INVENTÁRIO_05_2025!A:A,1,0)</f>
        <v>SPRDAPSAPGRU01</v>
      </c>
    </row>
    <row r="389" spans="1:7">
      <c r="A389" t="s">
        <v>659</v>
      </c>
      <c r="B389" t="s">
        <v>61</v>
      </c>
      <c r="C389" t="s">
        <v>116</v>
      </c>
      <c r="D389" t="s">
        <v>572</v>
      </c>
      <c r="E389" t="s">
        <v>156</v>
      </c>
      <c r="F389" t="s">
        <v>75</v>
      </c>
      <c r="G389" t="str">
        <f>VLOOKUP(A:A,INVENTÁRIO_05_2025!A:A,1,0)</f>
        <v>SPRDAPSGPAGRU01</v>
      </c>
    </row>
    <row r="390" spans="1:7">
      <c r="A390" t="s">
        <v>281</v>
      </c>
      <c r="B390" t="s">
        <v>61</v>
      </c>
      <c r="C390" t="s">
        <v>51</v>
      </c>
      <c r="D390" t="s">
        <v>280</v>
      </c>
      <c r="E390" t="s">
        <v>156</v>
      </c>
      <c r="F390" t="s">
        <v>75</v>
      </c>
      <c r="G390" t="str">
        <f>VLOOKUP(A:A,INVENTÁRIO_05_2025!A:A,1,0)</f>
        <v>SPRDAPSMSGRU02</v>
      </c>
    </row>
    <row r="391" spans="1:7">
      <c r="A391" t="s">
        <v>154</v>
      </c>
      <c r="B391" t="s">
        <v>61</v>
      </c>
      <c r="C391" t="s">
        <v>51</v>
      </c>
      <c r="D391" t="s">
        <v>155</v>
      </c>
      <c r="E391" t="s">
        <v>156</v>
      </c>
      <c r="F391" t="s">
        <v>75</v>
      </c>
      <c r="G391" t="str">
        <f>VLOOKUP(A:A,INVENTÁRIO_05_2025!A:A,1,0)</f>
        <v>SPRDAPSSAGRU01</v>
      </c>
    </row>
    <row r="392" spans="1:7">
      <c r="A392" t="s">
        <v>284</v>
      </c>
      <c r="B392" t="s">
        <v>61</v>
      </c>
      <c r="C392" t="s">
        <v>51</v>
      </c>
      <c r="D392" t="s">
        <v>285</v>
      </c>
      <c r="E392" t="s">
        <v>156</v>
      </c>
      <c r="F392" t="s">
        <v>75</v>
      </c>
      <c r="G392" t="str">
        <f>VLOOKUP(A:A,INVENTÁRIO_05_2025!A:A,1,0)</f>
        <v>SPRDAPSSGRU01</v>
      </c>
    </row>
    <row r="393" spans="1:7">
      <c r="A393" t="s">
        <v>286</v>
      </c>
      <c r="B393" t="s">
        <v>61</v>
      </c>
      <c r="C393" t="s">
        <v>51</v>
      </c>
      <c r="D393" t="s">
        <v>285</v>
      </c>
      <c r="E393" t="s">
        <v>156</v>
      </c>
      <c r="F393" t="s">
        <v>75</v>
      </c>
      <c r="G393" t="str">
        <f>VLOOKUP(A:A,INVENTÁRIO_05_2025!A:A,1,0)</f>
        <v>SPRDAPSSGRU02</v>
      </c>
    </row>
    <row r="394" spans="1:7">
      <c r="A394" t="s">
        <v>681</v>
      </c>
      <c r="B394" t="s">
        <v>61</v>
      </c>
      <c r="C394" t="s">
        <v>51</v>
      </c>
      <c r="D394" t="s">
        <v>109</v>
      </c>
      <c r="E394" t="s">
        <v>156</v>
      </c>
      <c r="F394" t="s">
        <v>75</v>
      </c>
      <c r="G394" t="e">
        <f>VLOOKUP(A:A,INVENTÁRIO_05_2025!A:A,1,0)</f>
        <v>#N/A</v>
      </c>
    </row>
    <row r="395" spans="1:7">
      <c r="A395" t="s">
        <v>493</v>
      </c>
      <c r="B395" t="s">
        <v>61</v>
      </c>
      <c r="C395" t="s">
        <v>116</v>
      </c>
      <c r="D395" t="s">
        <v>136</v>
      </c>
      <c r="E395" t="s">
        <v>156</v>
      </c>
      <c r="F395" t="s">
        <v>75</v>
      </c>
      <c r="G395" t="str">
        <f>VLOOKUP(A:A,INVENTÁRIO_05_2025!A:A,1,0)</f>
        <v>SPRDAPSTGGRU01</v>
      </c>
    </row>
    <row r="396" spans="1:7">
      <c r="A396" t="s">
        <v>495</v>
      </c>
      <c r="B396" t="s">
        <v>61</v>
      </c>
      <c r="C396" t="s">
        <v>116</v>
      </c>
      <c r="D396" t="s">
        <v>419</v>
      </c>
      <c r="E396" t="s">
        <v>156</v>
      </c>
      <c r="F396" t="s">
        <v>75</v>
      </c>
      <c r="G396" t="str">
        <f>VLOOKUP(A:A,INVENTÁRIO_05_2025!A:A,1,0)</f>
        <v>SPRDAPTSGRU01</v>
      </c>
    </row>
    <row r="397" spans="1:7">
      <c r="A397" t="s">
        <v>232</v>
      </c>
      <c r="B397" t="s">
        <v>61</v>
      </c>
      <c r="C397" t="s">
        <v>116</v>
      </c>
      <c r="D397" t="s">
        <v>419</v>
      </c>
      <c r="E397" t="s">
        <v>156</v>
      </c>
      <c r="F397" t="s">
        <v>75</v>
      </c>
      <c r="G397" t="str">
        <f>VLOOKUP(A:A,INVENTÁRIO_05_2025!A:A,1,0)</f>
        <v>SPRDAPTSGRU03</v>
      </c>
    </row>
    <row r="398" spans="1:7">
      <c r="A398" t="s">
        <v>233</v>
      </c>
      <c r="B398" t="s">
        <v>61</v>
      </c>
      <c r="C398" t="s">
        <v>116</v>
      </c>
      <c r="D398" t="s">
        <v>419</v>
      </c>
      <c r="E398" t="s">
        <v>156</v>
      </c>
      <c r="F398" t="s">
        <v>75</v>
      </c>
      <c r="G398" t="str">
        <f>VLOOKUP(A:A,INVENTÁRIO_05_2025!A:A,1,0)</f>
        <v>SPRDAPTSGRU04</v>
      </c>
    </row>
    <row r="399" spans="1:7">
      <c r="A399" t="s">
        <v>547</v>
      </c>
      <c r="B399" t="s">
        <v>61</v>
      </c>
      <c r="C399" t="s">
        <v>51</v>
      </c>
      <c r="D399" t="s">
        <v>114</v>
      </c>
      <c r="E399" t="s">
        <v>156</v>
      </c>
      <c r="F399" t="s">
        <v>75</v>
      </c>
      <c r="G399" t="str">
        <f>VLOOKUP(A:A,INVENTÁRIO_05_2025!A:A,1,0)</f>
        <v>SPRDAPTSGRU05</v>
      </c>
    </row>
    <row r="400" spans="1:7">
      <c r="A400" t="s">
        <v>306</v>
      </c>
      <c r="B400" t="s">
        <v>61</v>
      </c>
      <c r="C400" t="s">
        <v>51</v>
      </c>
      <c r="D400" t="s">
        <v>276</v>
      </c>
      <c r="E400" t="s">
        <v>156</v>
      </c>
      <c r="F400" t="s">
        <v>75</v>
      </c>
      <c r="G400" t="str">
        <f>VLOOKUP(A:A,INVENTÁRIO_05_2025!A:A,1,0)</f>
        <v>SPRDAPVPRGRU01</v>
      </c>
    </row>
    <row r="401" spans="1:7">
      <c r="A401" t="s">
        <v>307</v>
      </c>
      <c r="B401" t="s">
        <v>61</v>
      </c>
      <c r="C401" t="s">
        <v>51</v>
      </c>
      <c r="D401" t="s">
        <v>276</v>
      </c>
      <c r="E401" t="s">
        <v>156</v>
      </c>
      <c r="F401" t="s">
        <v>75</v>
      </c>
      <c r="G401" t="str">
        <f>VLOOKUP(A:A,INVENTÁRIO_05_2025!A:A,1,0)</f>
        <v>SPRDAPVPRGRU02</v>
      </c>
    </row>
    <row r="402" spans="1:7">
      <c r="A402" t="s">
        <v>234</v>
      </c>
      <c r="B402" t="s">
        <v>61</v>
      </c>
      <c r="C402" t="s">
        <v>116</v>
      </c>
      <c r="D402" t="s">
        <v>425</v>
      </c>
      <c r="E402" t="s">
        <v>156</v>
      </c>
      <c r="F402" t="s">
        <v>75</v>
      </c>
      <c r="G402" t="str">
        <f>VLOOKUP(A:A,INVENTÁRIO_05_2025!A:A,1,0)</f>
        <v>SPRDAZADGRU01</v>
      </c>
    </row>
    <row r="403" spans="1:7">
      <c r="A403" t="s">
        <v>235</v>
      </c>
      <c r="B403" t="s">
        <v>61</v>
      </c>
      <c r="C403" t="s">
        <v>116</v>
      </c>
      <c r="D403" t="s">
        <v>136</v>
      </c>
      <c r="E403" t="s">
        <v>156</v>
      </c>
      <c r="F403" t="s">
        <v>75</v>
      </c>
      <c r="G403" t="str">
        <f>VLOOKUP(A:A,INVENTÁRIO_05_2025!A:A,1,0)</f>
        <v>SPRDBDHSQLGRU06</v>
      </c>
    </row>
    <row r="404" spans="1:7">
      <c r="A404" t="s">
        <v>582</v>
      </c>
      <c r="B404" t="s">
        <v>61</v>
      </c>
      <c r="C404" t="s">
        <v>116</v>
      </c>
      <c r="D404" t="s">
        <v>572</v>
      </c>
      <c r="E404" t="s">
        <v>156</v>
      </c>
      <c r="F404" t="s">
        <v>75</v>
      </c>
      <c r="G404" t="str">
        <f>VLOOKUP(A:A,INVENTÁRIO_05_2025!A:A,1,0)</f>
        <v>SPRDBDHSQLGRU07</v>
      </c>
    </row>
    <row r="405" spans="1:7">
      <c r="A405" t="s">
        <v>583</v>
      </c>
      <c r="B405" t="s">
        <v>61</v>
      </c>
      <c r="C405" t="s">
        <v>116</v>
      </c>
      <c r="D405" t="s">
        <v>572</v>
      </c>
      <c r="E405" t="s">
        <v>156</v>
      </c>
      <c r="F405" t="s">
        <v>75</v>
      </c>
      <c r="G405" t="str">
        <f>VLOOKUP(A:A,INVENTÁRIO_05_2025!A:A,1,0)</f>
        <v>SPRDBDHSQLGRU09</v>
      </c>
    </row>
    <row r="406" spans="1:7">
      <c r="A406" t="s">
        <v>584</v>
      </c>
      <c r="B406" t="s">
        <v>61</v>
      </c>
      <c r="C406" t="s">
        <v>116</v>
      </c>
      <c r="D406" t="s">
        <v>572</v>
      </c>
      <c r="E406" t="s">
        <v>156</v>
      </c>
      <c r="F406" t="s">
        <v>75</v>
      </c>
      <c r="G406" t="str">
        <f>VLOOKUP(A:A,INVENTÁRIO_05_2025!A:A,1,0)</f>
        <v>SPRDBDHSQLGRU10</v>
      </c>
    </row>
    <row r="407" spans="1:7">
      <c r="A407" t="s">
        <v>633</v>
      </c>
      <c r="B407" t="s">
        <v>61</v>
      </c>
      <c r="C407" t="s">
        <v>116</v>
      </c>
      <c r="D407" t="s">
        <v>572</v>
      </c>
      <c r="E407" t="s">
        <v>156</v>
      </c>
      <c r="F407" t="s">
        <v>75</v>
      </c>
      <c r="G407" t="str">
        <f>VLOOKUP(A:A,INVENTÁRIO_05_2025!A:A,1,0)</f>
        <v>SPRDBDHSQLGRU12</v>
      </c>
    </row>
    <row r="408" spans="1:7">
      <c r="A408" t="s">
        <v>634</v>
      </c>
      <c r="B408" t="s">
        <v>61</v>
      </c>
      <c r="C408" t="s">
        <v>116</v>
      </c>
      <c r="D408" t="s">
        <v>572</v>
      </c>
      <c r="E408" t="s">
        <v>156</v>
      </c>
      <c r="F408" t="s">
        <v>75</v>
      </c>
      <c r="G408" t="str">
        <f>VLOOKUP(A:A,INVENTÁRIO_05_2025!A:A,1,0)</f>
        <v>SPRDBDHSQLGRU13</v>
      </c>
    </row>
    <row r="409" spans="1:7">
      <c r="A409" t="s">
        <v>635</v>
      </c>
      <c r="B409" t="s">
        <v>61</v>
      </c>
      <c r="C409" t="s">
        <v>116</v>
      </c>
      <c r="D409" t="s">
        <v>572</v>
      </c>
      <c r="E409" t="s">
        <v>156</v>
      </c>
      <c r="F409" t="s">
        <v>75</v>
      </c>
      <c r="G409" t="str">
        <f>VLOOKUP(A:A,INVENTÁRIO_05_2025!A:A,1,0)</f>
        <v>SPRDBDHSQLGRU14</v>
      </c>
    </row>
    <row r="410" spans="1:7">
      <c r="A410" t="s">
        <v>661</v>
      </c>
      <c r="B410" t="s">
        <v>61</v>
      </c>
      <c r="C410" t="s">
        <v>116</v>
      </c>
      <c r="D410" t="s">
        <v>572</v>
      </c>
      <c r="E410" t="s">
        <v>156</v>
      </c>
      <c r="F410" t="s">
        <v>75</v>
      </c>
      <c r="G410" t="str">
        <f>VLOOKUP(A:A,INVENTÁRIO_05_2025!A:A,1,0)</f>
        <v>SPRDBDHSQLGRU15</v>
      </c>
    </row>
    <row r="411" spans="1:7">
      <c r="A411" t="s">
        <v>315</v>
      </c>
      <c r="B411" t="s">
        <v>61</v>
      </c>
      <c r="C411" t="s">
        <v>51</v>
      </c>
      <c r="D411" t="s">
        <v>114</v>
      </c>
      <c r="E411" t="s">
        <v>156</v>
      </c>
      <c r="F411" t="s">
        <v>75</v>
      </c>
      <c r="G411" t="str">
        <f>VLOOKUP(A:A,INVENTÁRIO_05_2025!A:A,1,0)</f>
        <v>SPRDBDOTRSGRU01</v>
      </c>
    </row>
    <row r="412" spans="1:7">
      <c r="A412" t="s">
        <v>551</v>
      </c>
      <c r="B412" t="s">
        <v>61</v>
      </c>
      <c r="C412" t="s">
        <v>51</v>
      </c>
      <c r="D412" t="s">
        <v>114</v>
      </c>
      <c r="E412" t="s">
        <v>156</v>
      </c>
      <c r="F412" t="s">
        <v>75</v>
      </c>
      <c r="G412" t="str">
        <f>VLOOKUP(A:A,INVENTÁRIO_05_2025!A:A,1,0)</f>
        <v>SPRDBDOTRSGRU02</v>
      </c>
    </row>
    <row r="413" spans="1:7">
      <c r="A413" t="s">
        <v>552</v>
      </c>
      <c r="B413" t="s">
        <v>61</v>
      </c>
      <c r="C413" t="s">
        <v>51</v>
      </c>
      <c r="D413" t="s">
        <v>114</v>
      </c>
      <c r="E413" t="s">
        <v>156</v>
      </c>
      <c r="F413" t="s">
        <v>75</v>
      </c>
      <c r="G413" t="str">
        <f>VLOOKUP(A:A,INVENTÁRIO_05_2025!A:A,1,0)</f>
        <v>SPRDMONGRU01</v>
      </c>
    </row>
    <row r="414" spans="1:7">
      <c r="A414" t="s">
        <v>334</v>
      </c>
      <c r="B414" t="s">
        <v>61</v>
      </c>
      <c r="C414" t="s">
        <v>51</v>
      </c>
      <c r="D414" t="s">
        <v>329</v>
      </c>
      <c r="E414" t="s">
        <v>156</v>
      </c>
      <c r="F414" t="s">
        <v>75</v>
      </c>
      <c r="G414" t="str">
        <f>VLOOKUP(A:A,INVENTÁRIO_05_2025!A:A,1,0)</f>
        <v>SPRDMYSQLGRU02</v>
      </c>
    </row>
    <row r="415" spans="1:7">
      <c r="A415" t="s">
        <v>316</v>
      </c>
      <c r="B415" t="s">
        <v>61</v>
      </c>
      <c r="C415" t="s">
        <v>51</v>
      </c>
      <c r="D415" t="s">
        <v>114</v>
      </c>
      <c r="E415" t="s">
        <v>156</v>
      </c>
      <c r="F415" t="s">
        <v>75</v>
      </c>
      <c r="G415" t="str">
        <f>VLOOKUP(A:A,INVENTÁRIO_05_2025!A:A,1,0)</f>
        <v>SPRDMYSQLGRU03</v>
      </c>
    </row>
    <row r="416" spans="1:7">
      <c r="A416" t="s">
        <v>317</v>
      </c>
      <c r="B416" t="s">
        <v>61</v>
      </c>
      <c r="C416" t="s">
        <v>51</v>
      </c>
      <c r="D416" t="s">
        <v>114</v>
      </c>
      <c r="E416" t="s">
        <v>156</v>
      </c>
      <c r="F416" t="s">
        <v>75</v>
      </c>
      <c r="G416" t="str">
        <f>VLOOKUP(A:A,INVENTÁRIO_05_2025!A:A,1,0)</f>
        <v>SPRDNTDGRU03</v>
      </c>
    </row>
    <row r="417" spans="1:7">
      <c r="A417" t="s">
        <v>318</v>
      </c>
      <c r="B417" t="s">
        <v>61</v>
      </c>
      <c r="C417" t="s">
        <v>51</v>
      </c>
      <c r="D417" t="s">
        <v>114</v>
      </c>
      <c r="E417" t="s">
        <v>156</v>
      </c>
      <c r="F417" t="s">
        <v>75</v>
      </c>
      <c r="G417" t="str">
        <f>VLOOKUP(A:A,INVENTÁRIO_05_2025!A:A,1,0)</f>
        <v>SPRDOTRSGRU01</v>
      </c>
    </row>
    <row r="418" spans="1:7">
      <c r="A418" t="s">
        <v>290</v>
      </c>
      <c r="B418" t="s">
        <v>61</v>
      </c>
      <c r="C418" t="s">
        <v>51</v>
      </c>
      <c r="D418" t="s">
        <v>85</v>
      </c>
      <c r="E418" t="s">
        <v>156</v>
      </c>
      <c r="F418" t="s">
        <v>75</v>
      </c>
      <c r="G418" t="str">
        <f>VLOOKUP(A:A,INVENTÁRIO_05_2025!A:A,1,0)</f>
        <v>SPRDSAPNASGRU01</v>
      </c>
    </row>
    <row r="419" spans="1:7">
      <c r="A419" t="s">
        <v>452</v>
      </c>
      <c r="B419" t="s">
        <v>61</v>
      </c>
      <c r="C419" t="s">
        <v>116</v>
      </c>
      <c r="D419" t="s">
        <v>126</v>
      </c>
      <c r="E419" t="s">
        <v>156</v>
      </c>
      <c r="F419" t="s">
        <v>75</v>
      </c>
      <c r="G419" t="str">
        <f>VLOOKUP(A:A,INVENTÁRIO_05_2025!A:A,1,0)</f>
        <v>SPRDSHPINTGRU04</v>
      </c>
    </row>
    <row r="420" spans="1:7">
      <c r="A420" t="s">
        <v>453</v>
      </c>
      <c r="B420" t="s">
        <v>61</v>
      </c>
      <c r="C420" t="s">
        <v>116</v>
      </c>
      <c r="D420" t="s">
        <v>126</v>
      </c>
      <c r="E420" t="s">
        <v>156</v>
      </c>
      <c r="F420" t="s">
        <v>75</v>
      </c>
      <c r="G420" t="str">
        <f>VLOOKUP(A:A,INVENTÁRIO_05_2025!A:A,1,0)</f>
        <v>SPRDSHPINTGRU05</v>
      </c>
    </row>
    <row r="421" spans="1:7">
      <c r="A421" t="s">
        <v>157</v>
      </c>
      <c r="B421" t="s">
        <v>61</v>
      </c>
      <c r="C421" t="s">
        <v>51</v>
      </c>
      <c r="D421" t="s">
        <v>158</v>
      </c>
      <c r="E421" t="s">
        <v>156</v>
      </c>
      <c r="F421" t="s">
        <v>75</v>
      </c>
      <c r="G421" t="str">
        <f>VLOOKUP(A:A,INVENTÁRIO_05_2025!A:A,1,0)</f>
        <v>SPRDSIEM01</v>
      </c>
    </row>
    <row r="422" spans="1:7">
      <c r="A422" t="s">
        <v>159</v>
      </c>
      <c r="B422" t="s">
        <v>61</v>
      </c>
      <c r="C422" t="s">
        <v>51</v>
      </c>
      <c r="D422" t="s">
        <v>158</v>
      </c>
      <c r="E422" t="s">
        <v>156</v>
      </c>
      <c r="F422" t="s">
        <v>75</v>
      </c>
      <c r="G422" t="str">
        <f>VLOOKUP(A:A,INVENTÁRIO_05_2025!A:A,1,0)</f>
        <v>SPRDSIEM02</v>
      </c>
    </row>
    <row r="423" spans="1:7">
      <c r="A423" t="s">
        <v>236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VLOOKUP(A:A,INVENTÁRIO_05_2025!A:A,1,0)</f>
        <v>SPRDSKDAUGRU02</v>
      </c>
    </row>
    <row r="424" spans="1:7">
      <c r="A424" t="s">
        <v>187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VLOOKUP(A:A,INVENTÁRIO_05_2025!A:A,1,0)</f>
        <v>SPRDSKDCGRU01</v>
      </c>
    </row>
    <row r="425" spans="1:7">
      <c r="A425" t="s">
        <v>189</v>
      </c>
      <c r="B425" t="s">
        <v>61</v>
      </c>
      <c r="C425" t="s">
        <v>116</v>
      </c>
      <c r="D425" t="s">
        <v>188</v>
      </c>
      <c r="E425" t="s">
        <v>156</v>
      </c>
      <c r="F425" t="s">
        <v>75</v>
      </c>
      <c r="G425" t="str">
        <f>VLOOKUP(A:A,INVENTÁRIO_05_2025!A:A,1,0)</f>
        <v>SPRDSKDCGRU02</v>
      </c>
    </row>
    <row r="426" spans="1:7">
      <c r="A426" t="s">
        <v>190</v>
      </c>
      <c r="B426" t="s">
        <v>61</v>
      </c>
      <c r="C426" t="s">
        <v>116</v>
      </c>
      <c r="D426" t="s">
        <v>191</v>
      </c>
      <c r="E426" t="s">
        <v>156</v>
      </c>
      <c r="F426" t="s">
        <v>75</v>
      </c>
      <c r="G426" t="str">
        <f>VLOOKUP(A:A,INVENTÁRIO_05_2025!A:A,1,0)</f>
        <v>SPRDSKESBGRU01</v>
      </c>
    </row>
    <row r="427" spans="1:7">
      <c r="A427" t="s">
        <v>192</v>
      </c>
      <c r="B427" t="s">
        <v>61</v>
      </c>
      <c r="C427" t="s">
        <v>116</v>
      </c>
      <c r="D427" t="s">
        <v>188</v>
      </c>
      <c r="E427" t="s">
        <v>156</v>
      </c>
      <c r="F427" t="s">
        <v>75</v>
      </c>
      <c r="G427" t="str">
        <f>VLOOKUP(A:A,INVENTÁRIO_05_2025!A:A,1,0)</f>
        <v>SPRDSKPPCGRU01</v>
      </c>
    </row>
    <row r="428" spans="1:7">
      <c r="A428" t="s">
        <v>193</v>
      </c>
      <c r="B428" t="s">
        <v>61</v>
      </c>
      <c r="C428" t="s">
        <v>116</v>
      </c>
      <c r="D428" t="s">
        <v>188</v>
      </c>
      <c r="E428" t="s">
        <v>156</v>
      </c>
      <c r="F428" t="s">
        <v>75</v>
      </c>
      <c r="G428" t="str">
        <f>VLOOKUP(A:A,INVENTÁRIO_05_2025!A:A,1,0)</f>
        <v>SPRDSKPPCGRU02</v>
      </c>
    </row>
    <row r="429" spans="1:7">
      <c r="A429" t="s">
        <v>194</v>
      </c>
      <c r="B429" t="s">
        <v>61</v>
      </c>
      <c r="C429" t="s">
        <v>116</v>
      </c>
      <c r="D429" t="s">
        <v>188</v>
      </c>
      <c r="E429" t="s">
        <v>156</v>
      </c>
      <c r="F429" t="s">
        <v>75</v>
      </c>
      <c r="G429" t="str">
        <f>VLOOKUP(A:A,INVENTÁRIO_05_2025!A:A,1,0)</f>
        <v>SPRDSKPPCGRU03</v>
      </c>
    </row>
    <row r="430" spans="1:7">
      <c r="A430" t="s">
        <v>195</v>
      </c>
      <c r="B430" t="s">
        <v>61</v>
      </c>
      <c r="C430" t="s">
        <v>116</v>
      </c>
      <c r="D430" t="s">
        <v>188</v>
      </c>
      <c r="E430" t="s">
        <v>156</v>
      </c>
      <c r="F430" t="s">
        <v>75</v>
      </c>
      <c r="G430" t="str">
        <f>VLOOKUP(A:A,INVENTÁRIO_05_2025!A:A,1,0)</f>
        <v>SPRDSKPPCGRU04</v>
      </c>
    </row>
    <row r="431" spans="1:7">
      <c r="A431" t="s">
        <v>196</v>
      </c>
      <c r="B431" t="s">
        <v>61</v>
      </c>
      <c r="C431" t="s">
        <v>116</v>
      </c>
      <c r="D431" t="s">
        <v>188</v>
      </c>
      <c r="E431" t="s">
        <v>156</v>
      </c>
      <c r="F431" t="s">
        <v>75</v>
      </c>
      <c r="G431" t="str">
        <f>VLOOKUP(A:A,INVENTÁRIO_05_2025!A:A,1,0)</f>
        <v>SPRDSKPPCGRU05</v>
      </c>
    </row>
    <row r="432" spans="1:7">
      <c r="A432" t="s">
        <v>197</v>
      </c>
      <c r="B432" t="s">
        <v>61</v>
      </c>
      <c r="C432" t="s">
        <v>116</v>
      </c>
      <c r="D432" t="s">
        <v>188</v>
      </c>
      <c r="E432" t="s">
        <v>156</v>
      </c>
      <c r="F432" t="s">
        <v>75</v>
      </c>
      <c r="G432" t="str">
        <f>VLOOKUP(A:A,INVENTÁRIO_05_2025!A:A,1,0)</f>
        <v>SPRDSKPPCGRU06</v>
      </c>
    </row>
    <row r="433" spans="1:7">
      <c r="A433" t="s">
        <v>198</v>
      </c>
      <c r="B433" t="s">
        <v>61</v>
      </c>
      <c r="C433" t="s">
        <v>116</v>
      </c>
      <c r="D433" t="s">
        <v>188</v>
      </c>
      <c r="E433" t="s">
        <v>156</v>
      </c>
      <c r="F433" t="s">
        <v>75</v>
      </c>
      <c r="G433" t="str">
        <f>VLOOKUP(A:A,INVENTÁRIO_05_2025!A:A,1,0)</f>
        <v>SPRDSKPPCGRU07</v>
      </c>
    </row>
    <row r="434" spans="1:7">
      <c r="A434" t="s">
        <v>237</v>
      </c>
      <c r="B434" t="s">
        <v>61</v>
      </c>
      <c r="C434" t="s">
        <v>116</v>
      </c>
      <c r="D434" t="s">
        <v>188</v>
      </c>
      <c r="E434" t="s">
        <v>156</v>
      </c>
      <c r="F434" t="s">
        <v>75</v>
      </c>
      <c r="G434" t="str">
        <f>VLOOKUP(A:A,INVENTÁRIO_05_2025!A:A,1,0)</f>
        <v>SPRDSKPPCGRU08</v>
      </c>
    </row>
    <row r="435" spans="1:7">
      <c r="A435" t="s">
        <v>199</v>
      </c>
      <c r="B435" t="s">
        <v>61</v>
      </c>
      <c r="C435" t="s">
        <v>116</v>
      </c>
      <c r="D435" t="s">
        <v>188</v>
      </c>
      <c r="E435" t="s">
        <v>156</v>
      </c>
      <c r="F435" t="s">
        <v>75</v>
      </c>
      <c r="G435" t="str">
        <f>VLOOKUP(A:A,INVENTÁRIO_05_2025!A:A,1,0)</f>
        <v>SPRDSKPPCGRU09</v>
      </c>
    </row>
    <row r="436" spans="1:7">
      <c r="A436" t="s">
        <v>200</v>
      </c>
      <c r="B436" t="s">
        <v>61</v>
      </c>
      <c r="C436" t="s">
        <v>116</v>
      </c>
      <c r="D436" t="s">
        <v>188</v>
      </c>
      <c r="E436" t="s">
        <v>156</v>
      </c>
      <c r="F436" t="s">
        <v>75</v>
      </c>
      <c r="G436" t="str">
        <f>VLOOKUP(A:A,INVENTÁRIO_05_2025!A:A,1,0)</f>
        <v>SPRDSKPPCGRU10</v>
      </c>
    </row>
    <row r="437" spans="1:7">
      <c r="A437" t="s">
        <v>201</v>
      </c>
      <c r="B437" t="s">
        <v>61</v>
      </c>
      <c r="C437" t="s">
        <v>116</v>
      </c>
      <c r="D437" t="s">
        <v>188</v>
      </c>
      <c r="E437" t="s">
        <v>156</v>
      </c>
      <c r="F437" t="s">
        <v>75</v>
      </c>
      <c r="G437" t="str">
        <f>VLOOKUP(A:A,INVENTÁRIO_05_2025!A:A,1,0)</f>
        <v>SPRDSKPPCGRU11</v>
      </c>
    </row>
    <row r="438" spans="1:7">
      <c r="A438" t="s">
        <v>202</v>
      </c>
      <c r="B438" t="s">
        <v>61</v>
      </c>
      <c r="C438" t="s">
        <v>116</v>
      </c>
      <c r="D438" t="s">
        <v>188</v>
      </c>
      <c r="E438" t="s">
        <v>156</v>
      </c>
      <c r="F438" t="s">
        <v>75</v>
      </c>
      <c r="G438" t="str">
        <f>VLOOKUP(A:A,INVENTÁRIO_05_2025!A:A,1,0)</f>
        <v>SPRDSKPPCGRU12</v>
      </c>
    </row>
    <row r="439" spans="1:7">
      <c r="A439" t="s">
        <v>203</v>
      </c>
      <c r="B439" t="s">
        <v>61</v>
      </c>
      <c r="C439" t="s">
        <v>116</v>
      </c>
      <c r="D439" t="s">
        <v>188</v>
      </c>
      <c r="E439" t="s">
        <v>156</v>
      </c>
      <c r="F439" t="s">
        <v>75</v>
      </c>
      <c r="G439" t="str">
        <f>VLOOKUP(A:A,INVENTÁRIO_05_2025!A:A,1,0)</f>
        <v>SPRDSKPPCGRU13</v>
      </c>
    </row>
    <row r="440" spans="1:7">
      <c r="A440" t="s">
        <v>204</v>
      </c>
      <c r="B440" t="s">
        <v>61</v>
      </c>
      <c r="C440" t="s">
        <v>116</v>
      </c>
      <c r="D440" t="s">
        <v>188</v>
      </c>
      <c r="E440" t="s">
        <v>156</v>
      </c>
      <c r="F440" t="s">
        <v>75</v>
      </c>
      <c r="G440" t="str">
        <f>VLOOKUP(A:A,INVENTÁRIO_05_2025!A:A,1,0)</f>
        <v>SPRDSKPPCGRU14</v>
      </c>
    </row>
    <row r="441" spans="1:7">
      <c r="A441" t="s">
        <v>205</v>
      </c>
      <c r="B441" t="s">
        <v>61</v>
      </c>
      <c r="C441" t="s">
        <v>116</v>
      </c>
      <c r="D441" t="s">
        <v>188</v>
      </c>
      <c r="E441" t="s">
        <v>156</v>
      </c>
      <c r="F441" t="s">
        <v>75</v>
      </c>
      <c r="G441" t="str">
        <f>VLOOKUP(A:A,INVENTÁRIO_05_2025!A:A,1,0)</f>
        <v>SPRDSKPPCGRU15</v>
      </c>
    </row>
    <row r="442" spans="1:7">
      <c r="A442" t="s">
        <v>206</v>
      </c>
      <c r="B442" t="s">
        <v>61</v>
      </c>
      <c r="C442" t="s">
        <v>116</v>
      </c>
      <c r="D442" t="s">
        <v>188</v>
      </c>
      <c r="E442" t="s">
        <v>156</v>
      </c>
      <c r="F442" t="s">
        <v>75</v>
      </c>
      <c r="G442" t="str">
        <f>VLOOKUP(A:A,INVENTÁRIO_05_2025!A:A,1,0)</f>
        <v>SPRDSKPPCGRU16</v>
      </c>
    </row>
    <row r="443" spans="1:7">
      <c r="A443" t="s">
        <v>257</v>
      </c>
      <c r="B443" t="s">
        <v>61</v>
      </c>
      <c r="C443" t="s">
        <v>116</v>
      </c>
      <c r="D443" t="s">
        <v>136</v>
      </c>
      <c r="E443" t="s">
        <v>156</v>
      </c>
      <c r="F443" t="s">
        <v>75</v>
      </c>
      <c r="G443" t="str">
        <f>VLOOKUP(A:A,INVENTÁRIO_05_2025!A:A,1,0)</f>
        <v>SPRDSKSQLGRU01</v>
      </c>
    </row>
    <row r="444" spans="1:7">
      <c r="A444" t="s">
        <v>258</v>
      </c>
      <c r="B444" t="s">
        <v>61</v>
      </c>
      <c r="C444" t="s">
        <v>116</v>
      </c>
      <c r="D444" t="s">
        <v>136</v>
      </c>
      <c r="E444" t="s">
        <v>156</v>
      </c>
      <c r="F444" t="s">
        <v>75</v>
      </c>
      <c r="G444" t="str">
        <f>VLOOKUP(A:A,INVENTÁRIO_05_2025!A:A,1,0)</f>
        <v>SPRDSQL021</v>
      </c>
    </row>
    <row r="445" spans="1:7">
      <c r="A445" t="s">
        <v>260</v>
      </c>
      <c r="B445" t="s">
        <v>61</v>
      </c>
      <c r="C445" t="s">
        <v>116</v>
      </c>
      <c r="D445" t="s">
        <v>136</v>
      </c>
      <c r="E445" t="s">
        <v>156</v>
      </c>
      <c r="F445" t="s">
        <v>75</v>
      </c>
      <c r="G445" t="str">
        <f>VLOOKUP(A:A,INVENTÁRIO_05_2025!A:A,1,0)</f>
        <v>SPRDSQLLGGRU02</v>
      </c>
    </row>
    <row r="446" spans="1:7">
      <c r="A446" t="s">
        <v>261</v>
      </c>
      <c r="B446" t="s">
        <v>61</v>
      </c>
      <c r="C446" t="s">
        <v>116</v>
      </c>
      <c r="D446" t="s">
        <v>136</v>
      </c>
      <c r="E446" t="s">
        <v>156</v>
      </c>
      <c r="F446" t="s">
        <v>75</v>
      </c>
      <c r="G446" t="str">
        <f>VLOOKUP(A:A,INVENTÁRIO_05_2025!A:A,1,0)</f>
        <v>SPRDVCAMSGRU01</v>
      </c>
    </row>
    <row r="447" spans="1:7">
      <c r="A447" t="s">
        <v>262</v>
      </c>
      <c r="B447" t="s">
        <v>61</v>
      </c>
      <c r="C447" t="s">
        <v>116</v>
      </c>
      <c r="D447" t="s">
        <v>136</v>
      </c>
      <c r="E447" t="s">
        <v>156</v>
      </c>
      <c r="F447" t="s">
        <v>75</v>
      </c>
      <c r="G447" t="str">
        <f>VLOOKUP(A:A,INVENTÁRIO_05_2025!A:A,1,0)</f>
        <v>SPRDVCAMSGRU02</v>
      </c>
    </row>
    <row r="448" spans="1:7">
      <c r="A448" t="s">
        <v>263</v>
      </c>
      <c r="B448" t="s">
        <v>61</v>
      </c>
      <c r="C448" t="s">
        <v>116</v>
      </c>
      <c r="D448" t="s">
        <v>136</v>
      </c>
      <c r="E448" t="s">
        <v>156</v>
      </c>
      <c r="F448" t="s">
        <v>75</v>
      </c>
      <c r="G448" t="str">
        <f>VLOOKUP(A:A,INVENTÁRIO_05_2025!A:A,1,0)</f>
        <v>SPRDVCAPVGRU01</v>
      </c>
    </row>
    <row r="449" spans="1:7">
      <c r="A449" t="s">
        <v>238</v>
      </c>
      <c r="B449" t="s">
        <v>61</v>
      </c>
      <c r="C449" t="s">
        <v>116</v>
      </c>
      <c r="D449" t="s">
        <v>136</v>
      </c>
      <c r="E449" t="s">
        <v>156</v>
      </c>
      <c r="F449" t="s">
        <v>75</v>
      </c>
      <c r="G449" t="str">
        <f>VLOOKUP(A:A,INVENTÁRIO_05_2025!A:A,1,0)</f>
        <v>SPRDVCBKPGRU01</v>
      </c>
    </row>
    <row r="450" spans="1:7">
      <c r="A450" t="s">
        <v>275</v>
      </c>
      <c r="B450" t="s">
        <v>61</v>
      </c>
      <c r="C450" t="s">
        <v>51</v>
      </c>
      <c r="D450" t="s">
        <v>276</v>
      </c>
      <c r="E450" t="s">
        <v>156</v>
      </c>
      <c r="F450" t="s">
        <v>75</v>
      </c>
      <c r="G450" t="str">
        <f>VLOOKUP(A:A,INVENTÁRIO_05_2025!A:A,1,0)</f>
        <v>SPRDVCCHOGRU01</v>
      </c>
    </row>
    <row r="451" spans="1:7">
      <c r="A451" t="s">
        <v>239</v>
      </c>
      <c r="B451" t="s">
        <v>61</v>
      </c>
      <c r="C451" t="s">
        <v>116</v>
      </c>
      <c r="D451" t="s">
        <v>136</v>
      </c>
      <c r="E451" t="s">
        <v>156</v>
      </c>
      <c r="F451" t="s">
        <v>75</v>
      </c>
      <c r="G451" t="str">
        <f>VLOOKUP(A:A,INVENTÁRIO_05_2025!A:A,1,0)</f>
        <v>SPRDVCHSEGRU03</v>
      </c>
    </row>
    <row r="452" spans="1:7">
      <c r="A452" t="s">
        <v>264</v>
      </c>
      <c r="B452" t="s">
        <v>61</v>
      </c>
      <c r="C452" t="s">
        <v>116</v>
      </c>
      <c r="D452" t="s">
        <v>136</v>
      </c>
      <c r="E452" t="s">
        <v>156</v>
      </c>
      <c r="F452" t="s">
        <v>75</v>
      </c>
      <c r="G452" t="str">
        <f>VLOOKUP(A:A,INVENTÁRIO_05_2025!A:A,1,0)</f>
        <v>SPRDVCRMQGRU01</v>
      </c>
    </row>
    <row r="453" spans="1:7">
      <c r="A453" t="s">
        <v>265</v>
      </c>
      <c r="B453" t="s">
        <v>61</v>
      </c>
      <c r="C453" t="s">
        <v>116</v>
      </c>
      <c r="D453" t="s">
        <v>136</v>
      </c>
      <c r="E453" t="s">
        <v>156</v>
      </c>
      <c r="F453" t="s">
        <v>75</v>
      </c>
      <c r="G453" t="str">
        <f>VLOOKUP(A:A,INVENTÁRIO_05_2025!A:A,1,0)</f>
        <v>SPRDVCRPTGRU01</v>
      </c>
    </row>
    <row r="454" spans="1:7">
      <c r="A454" t="s">
        <v>282</v>
      </c>
      <c r="B454" t="s">
        <v>61</v>
      </c>
      <c r="C454" t="s">
        <v>51</v>
      </c>
      <c r="D454" t="s">
        <v>283</v>
      </c>
      <c r="E454" t="s">
        <v>156</v>
      </c>
      <c r="F454" t="s">
        <v>75</v>
      </c>
      <c r="G454" t="str">
        <f>VLOOKUP(A:A,INVENTÁRIO_05_2025!A:A,1,0)</f>
        <v>sprdvcsagru01</v>
      </c>
    </row>
    <row r="455" spans="1:7">
      <c r="A455" t="s">
        <v>267</v>
      </c>
      <c r="B455" t="s">
        <v>61</v>
      </c>
      <c r="C455" t="s">
        <v>116</v>
      </c>
      <c r="D455" t="s">
        <v>136</v>
      </c>
      <c r="E455" t="s">
        <v>156</v>
      </c>
      <c r="F455" t="s">
        <v>75</v>
      </c>
      <c r="G455" t="str">
        <f>VLOOKUP(A:A,INVENTÁRIO_05_2025!A:A,1,0)</f>
        <v>SPRDVCSQLGRU07</v>
      </c>
    </row>
    <row r="456" spans="1:7">
      <c r="A456" t="s">
        <v>268</v>
      </c>
      <c r="B456" t="s">
        <v>61</v>
      </c>
      <c r="C456" t="s">
        <v>116</v>
      </c>
      <c r="D456" t="s">
        <v>136</v>
      </c>
      <c r="E456" t="s">
        <v>156</v>
      </c>
      <c r="F456" t="s">
        <v>75</v>
      </c>
      <c r="G456" t="str">
        <f>VLOOKUP(A:A,INVENTÁRIO_05_2025!A:A,1,0)</f>
        <v>SPRDVCWEBGRU01</v>
      </c>
    </row>
    <row r="457" spans="1:7">
      <c r="A457" t="s">
        <v>287</v>
      </c>
      <c r="B457" t="s">
        <v>61</v>
      </c>
      <c r="C457" t="s">
        <v>51</v>
      </c>
      <c r="D457" t="s">
        <v>288</v>
      </c>
      <c r="E457" t="s">
        <v>156</v>
      </c>
      <c r="F457" t="s">
        <v>75</v>
      </c>
      <c r="G457" t="str">
        <f>VLOOKUP(A:A,INVENTÁRIO_05_2025!A:A,1,0)</f>
        <v>sprdvxrmgru01</v>
      </c>
    </row>
    <row r="458" spans="1:7">
      <c r="A458" t="s">
        <v>240</v>
      </c>
      <c r="B458" t="s">
        <v>61</v>
      </c>
      <c r="C458" t="s">
        <v>116</v>
      </c>
      <c r="D458" t="s">
        <v>136</v>
      </c>
      <c r="E458" t="s">
        <v>156</v>
      </c>
      <c r="F458" t="s">
        <v>75</v>
      </c>
      <c r="G458" t="str">
        <f>VLOOKUP(A:A,INVENTÁRIO_05_2025!A:A,1,0)</f>
        <v>SPRDWBBENGRU01</v>
      </c>
    </row>
    <row r="459" spans="1:7">
      <c r="A459" t="s">
        <v>684</v>
      </c>
      <c r="B459" t="s">
        <v>61</v>
      </c>
      <c r="C459" t="s">
        <v>116</v>
      </c>
      <c r="D459" t="s">
        <v>572</v>
      </c>
      <c r="E459" t="s">
        <v>156</v>
      </c>
      <c r="F459" t="s">
        <v>75</v>
      </c>
      <c r="G459" t="e">
        <f>VLOOKUP(A:A,INVENTÁRIO_05_2025!A:A,1,0)</f>
        <v>#N/A</v>
      </c>
    </row>
    <row r="460" spans="1:7">
      <c r="A460" t="s">
        <v>320</v>
      </c>
      <c r="B460" t="s">
        <v>61</v>
      </c>
      <c r="C460" t="s">
        <v>51</v>
      </c>
      <c r="D460" t="s">
        <v>114</v>
      </c>
      <c r="E460" t="s">
        <v>156</v>
      </c>
      <c r="F460" t="s">
        <v>75</v>
      </c>
      <c r="G460" t="str">
        <f>VLOOKUP(A:A,INVENTÁRIO_05_2025!A:A,1,0)</f>
        <v>SPRDZBGRU01</v>
      </c>
    </row>
    <row r="461" spans="1:7">
      <c r="A461" t="s">
        <v>321</v>
      </c>
      <c r="B461" t="s">
        <v>61</v>
      </c>
      <c r="C461" t="s">
        <v>51</v>
      </c>
      <c r="D461" t="s">
        <v>114</v>
      </c>
      <c r="E461" t="s">
        <v>156</v>
      </c>
      <c r="F461" t="s">
        <v>75</v>
      </c>
      <c r="G461" t="str">
        <f>VLOOKUP(A:A,INVENTÁRIO_05_2025!A:A,1,0)</f>
        <v>SPRDZBGRU02</v>
      </c>
    </row>
    <row r="462" spans="1:7">
      <c r="A462" t="s">
        <v>322</v>
      </c>
      <c r="B462" t="s">
        <v>61</v>
      </c>
      <c r="C462" t="s">
        <v>51</v>
      </c>
      <c r="D462" t="s">
        <v>114</v>
      </c>
      <c r="E462" t="s">
        <v>156</v>
      </c>
      <c r="F462" t="s">
        <v>75</v>
      </c>
      <c r="G462" t="str">
        <f>VLOOKUP(A:A,INVENTÁRIO_05_2025!A:A,1,0)</f>
        <v>SPRDZBGRU03</v>
      </c>
    </row>
    <row r="463" spans="1:7">
      <c r="A463" t="s">
        <v>323</v>
      </c>
      <c r="B463" t="s">
        <v>61</v>
      </c>
      <c r="C463" t="s">
        <v>51</v>
      </c>
      <c r="D463" t="s">
        <v>114</v>
      </c>
      <c r="E463" t="s">
        <v>156</v>
      </c>
      <c r="F463" t="s">
        <v>75</v>
      </c>
      <c r="G463" t="str">
        <f>VLOOKUP(A:A,INVENTÁRIO_05_2025!A:A,1,0)</f>
        <v>SPRDZBGRU04</v>
      </c>
    </row>
    <row r="464" spans="1:7">
      <c r="A464" t="s">
        <v>324</v>
      </c>
      <c r="B464" t="s">
        <v>61</v>
      </c>
      <c r="C464" t="s">
        <v>51</v>
      </c>
      <c r="D464" t="s">
        <v>114</v>
      </c>
      <c r="E464" t="s">
        <v>156</v>
      </c>
      <c r="F464" t="s">
        <v>75</v>
      </c>
      <c r="G464" t="str">
        <f>VLOOKUP(A:A,INVENTÁRIO_05_2025!A:A,1,0)</f>
        <v>SPRDZBGRU05</v>
      </c>
    </row>
    <row r="465" spans="1:7">
      <c r="A465" t="s">
        <v>171</v>
      </c>
      <c r="B465" t="s">
        <v>61</v>
      </c>
      <c r="C465" t="s">
        <v>116</v>
      </c>
      <c r="D465" t="s">
        <v>122</v>
      </c>
      <c r="E465" t="s">
        <v>156</v>
      </c>
      <c r="F465" t="s">
        <v>75</v>
      </c>
      <c r="G465" t="str">
        <f>VLOOKUP(A:A,INVENTÁRIO_05_2025!A:A,1,0)</f>
        <v>SSERV1-GRU</v>
      </c>
    </row>
  </sheetData>
  <autoFilter ref="A1:G465">
    <filterColumn colId="4">
      <filters>
        <filter val="Virtual"/>
      </filters>
    </filterColumn>
    <sortState ref="A2:G465">
      <sortCondition ref="B1:B465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2:N38"/>
  <sheetViews>
    <sheetView showGridLines="0" showRowColHeaders="0" zoomScale="85" zoomScaleNormal="85" workbookViewId="0">
      <selection activeCell="N21" sqref="N21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49" t="s">
        <v>687</v>
      </c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2" t="s">
        <v>1</v>
      </c>
      <c r="C4" s="53"/>
      <c r="D4" s="4"/>
      <c r="E4" s="52" t="s">
        <v>2</v>
      </c>
      <c r="F4" s="53"/>
      <c r="G4" s="4"/>
      <c r="H4" s="52" t="s">
        <v>3</v>
      </c>
      <c r="I4" s="53"/>
      <c r="K4" s="52" t="s">
        <v>4</v>
      </c>
      <c r="L4" s="53"/>
    </row>
    <row r="5" spans="2:12">
      <c r="B5" s="5" t="s">
        <v>5</v>
      </c>
      <c r="C5" s="6">
        <f>COUNTIFS(INVENTÁRIO_07_2025!C:C,"Linux",INVENTÁRIO_07_2025!E:E,"Virtual")</f>
        <v>97</v>
      </c>
      <c r="D5" s="7"/>
      <c r="E5" s="5" t="s">
        <v>6</v>
      </c>
      <c r="F5" s="6">
        <f>COUNTIFS(INVENTÁRIO_07_2025!C:C,"Linux",INVENTÁRIO_07_2025!E:E,"Fisico")</f>
        <v>50</v>
      </c>
      <c r="G5" s="7"/>
      <c r="H5" s="5" t="s">
        <v>5</v>
      </c>
      <c r="I5" s="6">
        <f>COUNTIFS(INVENTÁRIO_07_2025!C:C,"Windows",INVENTÁRIO_07_2025!E:E,"Virtual")</f>
        <v>251</v>
      </c>
      <c r="K5" s="5" t="s">
        <v>6</v>
      </c>
      <c r="L5" s="6">
        <f>COUNTIFS(INVENTÁRIO_07_2025!C:C,"Windows",INVENTÁRIO_07_2025!E:E,"Fisico")</f>
        <v>49</v>
      </c>
    </row>
    <row r="6" spans="2:12">
      <c r="B6" s="5" t="s">
        <v>7</v>
      </c>
      <c r="C6" s="6">
        <f>COUNTIFS(INVENTÁRIO_07_2025!B:B,"poweredOff",INVENTÁRIO_07_2025!C:C,"Linux",INVENTÁRIO_07_2025!E:E,"Virtual")</f>
        <v>0</v>
      </c>
      <c r="D6" s="7"/>
      <c r="E6" s="5" t="s">
        <v>7</v>
      </c>
      <c r="F6" s="6">
        <f>COUNTIFS(INVENTÁRIO_07_2025!B:B,"poweredOff",INVENTÁRIO_07_2025!C:C,"Linux",INVENTÁRIO_07_2025!E:E,"Fisico")</f>
        <v>5</v>
      </c>
      <c r="G6" s="7"/>
      <c r="H6" s="5" t="s">
        <v>7</v>
      </c>
      <c r="I6" s="6">
        <f>COUNTIFS(INVENTÁRIO_07_2025!B:B,"poweredOff",INVENTÁRIO_07_2025!C:C,"Windows",INVENTÁRIO_07_2025!E:E,"Virtual")</f>
        <v>9</v>
      </c>
      <c r="K6" s="5" t="s">
        <v>7</v>
      </c>
      <c r="L6" s="6">
        <f>COUNTIFS(INVENTÁRIO_07_2025!B:B,"poweredOff",INVENTÁRIO_07_2025!C:C,"Windows",INVENTÁRIO_07_2025!E:E,"Fisico")</f>
        <v>28</v>
      </c>
    </row>
    <row r="7" spans="2:12">
      <c r="B7" s="5" t="s">
        <v>8</v>
      </c>
      <c r="C7" s="6">
        <f>COUNTIFS(INVENTÁRIO_07_2025!B:B,"poweredOn",INVENTÁRIO_07_2025!C:C,"Linux",INVENTÁRIO_07_2025!E:E,"Virtual")</f>
        <v>97</v>
      </c>
      <c r="D7" s="7"/>
      <c r="E7" s="5" t="s">
        <v>8</v>
      </c>
      <c r="F7" s="6">
        <f>COUNTIFS(INVENTÁRIO_07_2025!B:B,"poweredOn",INVENTÁRIO_07_2025!C:C,"Linux",INVENTÁRIO_07_2025!E:E,"Fisico")</f>
        <v>45</v>
      </c>
      <c r="G7" s="7"/>
      <c r="H7" s="5" t="s">
        <v>8</v>
      </c>
      <c r="I7" s="6">
        <f>COUNTIFS(INVENTÁRIO_07_2025!B:B,"poweredOn",INVENTÁRIO_07_2025!C:C,"Windows",INVENTÁRIO_07_2025!E:E,"Virtual")</f>
        <v>242</v>
      </c>
      <c r="K7" s="5" t="s">
        <v>8</v>
      </c>
      <c r="L7" s="6">
        <f>COUNTIFS(INVENTÁRIO_07_2025!B:B,"poweredOn",INVENTÁRIO_07_2025!C:C,"Windows",INVENTÁRIO_07_2025!E:E,"Fisico")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COUNTIFS(INVENTÁRIO_07_2025!C:C,"Linux",INVENTÁRIO_07_2025!D:D,"*RedHat 9*",INVENTÁRIO_07_2025!E:E,"Virtual")</f>
        <v>17</v>
      </c>
      <c r="D9" s="7"/>
      <c r="E9" s="5" t="s">
        <v>9</v>
      </c>
      <c r="F9" s="6">
        <f>COUNTIFS(INVENTÁRIO_07_2025!C:C,"Linux",INVENTÁRIO_07_2025!D:D,"*RedHat 9*",INVENTÁRIO_07_2025!E:E,"Fisico")</f>
        <v>0</v>
      </c>
      <c r="G9" s="7"/>
      <c r="H9" s="5" t="s">
        <v>10</v>
      </c>
      <c r="I9" s="6">
        <f>COUNTIFS(INVENTÁRIO_07_2025!C:C,"Windows",INVENTÁRIO_07_2025!D:D,"*2022*",INVENTÁRIO_07_2025!E:E,"Virtual")</f>
        <v>29</v>
      </c>
      <c r="K9" s="5" t="s">
        <v>10</v>
      </c>
      <c r="L9" s="6">
        <f>COUNTIFS(INVENTÁRIO_07_2025!C:C,"Windows",INVENTÁRIO_07_2025!D:D,"*2022*",INVENTÁRIO_07_2025!E:E,"Fisico")</f>
        <v>22</v>
      </c>
    </row>
    <row r="10" spans="2:12">
      <c r="B10" s="5" t="s">
        <v>11</v>
      </c>
      <c r="C10" s="6">
        <f>COUNTIFS(INVENTÁRIO_07_2025!C:C,"Linux",INVENTÁRIO_07_2025!D:D,"*RedHat 8*",INVENTÁRIO_07_2025!E:E,"Virtual")</f>
        <v>9</v>
      </c>
      <c r="D10" s="7"/>
      <c r="E10" s="5" t="s">
        <v>11</v>
      </c>
      <c r="F10" s="6">
        <f>COUNTIFS(INVENTÁRIO_07_2025!C:C,"Linux",INVENTÁRIO_07_2025!D:D,"*RedHat 8*",INVENTÁRIO_07_2025!E:E,"Fisico")</f>
        <v>2</v>
      </c>
      <c r="G10" s="7"/>
      <c r="H10" s="5" t="s">
        <v>12</v>
      </c>
      <c r="I10" s="6">
        <f>COUNTIFS(INVENTÁRIO_07_2025!C:C,"Windows",INVENTÁRIO_07_2025!D:D,"*2019*",INVENTÁRIO_07_2025!E:E,"Virtual")</f>
        <v>46</v>
      </c>
      <c r="K10" s="5" t="s">
        <v>12</v>
      </c>
      <c r="L10" s="6">
        <f>COUNTIFS(INVENTÁRIO_07_2025!C:C,"Windows",INVENTÁRIO_07_2025!D:D,"*2019*",INVENTÁRIO_07_2025!E:E,"Fisico")</f>
        <v>14</v>
      </c>
    </row>
    <row r="11" spans="2:12">
      <c r="B11" s="5" t="s">
        <v>13</v>
      </c>
      <c r="C11" s="6">
        <f>COUNTIFS(INVENTÁRIO_07_2025!C:C,"Linux",INVENTÁRIO_07_2025!D:D,"*RedHat 7*",INVENTÁRIO_07_2025!E:E,"Virtual")</f>
        <v>6</v>
      </c>
      <c r="D11" s="7"/>
      <c r="E11" s="5" t="s">
        <v>13</v>
      </c>
      <c r="F11" s="6">
        <f>COUNTIFS(INVENTÁRIO_07_2025!C:C,"Linux",INVENTÁRIO_07_2025!D:D,"*RedHat 7*",INVENTÁRIO_07_2025!E:E,"Fisico")</f>
        <v>1</v>
      </c>
      <c r="G11" s="7"/>
      <c r="H11" s="5" t="s">
        <v>14</v>
      </c>
      <c r="I11" s="6">
        <f>COUNTIFS(INVENTÁRIO_07_2025!C:C,"Windows",INVENTÁRIO_07_2025!D:D,"*2016*",INVENTÁRIO_07_2025!E:E,"Virtual")</f>
        <v>69</v>
      </c>
      <c r="K11" s="5" t="s">
        <v>14</v>
      </c>
      <c r="L11" s="6">
        <f>COUNTIFS(INVENTÁRIO_07_2025!C:C,"Windows",INVENTÁRIO_07_2025!D:D,"*2016*",INVENTÁRIO_07_2025!E:E,"Fisico")</f>
        <v>0</v>
      </c>
    </row>
    <row r="12" spans="2:12">
      <c r="B12" s="5" t="s">
        <v>15</v>
      </c>
      <c r="C12" s="6">
        <f>COUNTIFS(INVENTÁRIO_07_2025!C:C,"Linux",INVENTÁRIO_07_2025!D:D,"*RedHat 6*",INVENTÁRIO_07_2025!E:E,"Virtual")</f>
        <v>9</v>
      </c>
      <c r="D12" s="7"/>
      <c r="E12" s="5" t="s">
        <v>15</v>
      </c>
      <c r="F12" s="6">
        <f>COUNTIFS(INVENTÁRIO_07_2025!C:C,"Linux",INVENTÁRIO_07_2025!D:D,"*RedHat 6*",INVENTÁRIO_07_2025!E:E,"Fisico")</f>
        <v>23</v>
      </c>
      <c r="G12" s="7"/>
      <c r="H12" s="5" t="s">
        <v>16</v>
      </c>
      <c r="I12" s="6">
        <f>COUNTIFS(INVENTÁRIO_07_2025!C:C,"Windows",INVENTÁRIO_07_2025!D:D,"*2012*",INVENTÁRIO_07_2025!E:E,"Virtual")</f>
        <v>49</v>
      </c>
      <c r="K12" s="5" t="s">
        <v>16</v>
      </c>
      <c r="L12" s="6">
        <f>COUNTIFS(INVENTÁRIO_07_2025!C:C,"Windows",INVENTÁRIO_07_2025!D:D,"*2012*",INVENTÁRIO_07_2025!E:E,"Fisico")</f>
        <v>7</v>
      </c>
    </row>
    <row r="13" spans="2:12">
      <c r="B13" s="5" t="s">
        <v>17</v>
      </c>
      <c r="C13" s="6">
        <f>COUNTIFS(INVENTÁRIO_07_2025!C:C,"Linux",INVENTÁRIO_07_2025!D:D,"*RedHat 5*",INVENTÁRIO_07_2025!E:E,"Virtual")</f>
        <v>0</v>
      </c>
      <c r="D13" s="7"/>
      <c r="E13" s="5" t="s">
        <v>17</v>
      </c>
      <c r="F13" s="6">
        <f>COUNTIFS(INVENTÁRIO_07_2025!C:C,"Linux",INVENTÁRIO_07_2025!D:D,"*RedHat 5*",INVENTÁRIO_07_2025!E:E,"Fisico")</f>
        <v>1</v>
      </c>
      <c r="G13" s="7"/>
      <c r="H13" s="5" t="s">
        <v>18</v>
      </c>
      <c r="I13" s="6">
        <f>COUNTIFS(INVENTÁRIO_07_2025!C:C,"Windows",INVENTÁRIO_07_2025!D:D,"*2008*",INVENTÁRIO_07_2025!E:E,"Virtual")</f>
        <v>54</v>
      </c>
      <c r="K13" s="5" t="s">
        <v>18</v>
      </c>
      <c r="L13" s="6">
        <f>COUNTIFS(INVENTÁRIO_07_2025!C:C,"Windows",INVENTÁRIO_07_2025!D:D,"*2008*",INVENTÁRIO_07_2025!E:E,"Fisico")</f>
        <v>6</v>
      </c>
    </row>
    <row r="14" spans="2:12">
      <c r="B14" s="5" t="s">
        <v>19</v>
      </c>
      <c r="C14" s="6">
        <f>COUNTIFS(INVENTÁRIO_07_2025!C:C,"Linux",INVENTÁRIO_07_2025!D:D,"*Ubuntu*",INVENTÁRIO_07_2025!E:E,"Virtual")</f>
        <v>28</v>
      </c>
      <c r="D14" s="7"/>
      <c r="E14" s="5" t="s">
        <v>19</v>
      </c>
      <c r="F14" s="6">
        <f>COUNTIFS(INVENTÁRIO_07_2025!C:C,"Linux",INVENTÁRIO_07_2025!D:D,"*Ubuntu*",INVENTÁRIO_07_2025!E:E,"Fisico")</f>
        <v>1</v>
      </c>
      <c r="G14" s="7"/>
      <c r="H14" s="5" t="s">
        <v>20</v>
      </c>
      <c r="I14" s="6">
        <f>COUNTIFS(INVENTÁRIO_07_2025!C:C,"Windows",INVENTÁRIO_07_2025!D:D,"*10*",INVENTÁRIO_07_2025!E:E,"Virtual")</f>
        <v>2</v>
      </c>
      <c r="K14" s="5" t="s">
        <v>20</v>
      </c>
      <c r="L14" s="6">
        <f>COUNTIFS(INVENTÁRIO_07_2025!C:C,"Windows",INVENTÁRIO_07_2025!D:D,"*10*",INVENTÁRIO_07_2025!E:E,"Fisico")</f>
        <v>0</v>
      </c>
    </row>
    <row r="15" spans="2:12">
      <c r="B15" s="5" t="s">
        <v>21</v>
      </c>
      <c r="C15" s="6">
        <f>COUNTIFS(INVENTÁRIO_07_2025!C:C,"Linux",INVENTÁRIO_07_2025!D:D,"*Centos*",INVENTÁRIO_07_2025!E:E,"Virtual")</f>
        <v>4</v>
      </c>
      <c r="D15" s="7"/>
      <c r="E15" s="5" t="s">
        <v>21</v>
      </c>
      <c r="F15" s="6">
        <f>COUNTIFS(INVENTÁRIO_07_2025!C:C,"Linux",INVENTÁRIO_07_2025!D:D,"*Centos*",INVENTÁRIO_07_2025!E:E,"Fisico")</f>
        <v>0</v>
      </c>
      <c r="G15" s="7"/>
      <c r="H15" s="5" t="s">
        <v>22</v>
      </c>
      <c r="I15" s="6">
        <f>COUNTIFS(INVENTÁRIO_07_2025!C:C,"Windows",INVENTÁRIO_07_2025!D:D,"*Windows 8*",INVENTÁRIO_07_2025!E:E,"Virtual")</f>
        <v>0</v>
      </c>
      <c r="K15" s="5" t="s">
        <v>22</v>
      </c>
      <c r="L15" s="6">
        <f>COUNTIFS(INVENTÁRIO_07_2025!C:C,"Windows",INVENTÁRIO_07_2025!D:D,"*Windows 8*",INVENTÁRIO_07_2025!E:E,"Fisico")</f>
        <v>0</v>
      </c>
    </row>
    <row r="16" spans="2:12">
      <c r="B16" s="5" t="s">
        <v>23</v>
      </c>
      <c r="C16" s="6">
        <f>COUNTIFS(INVENTÁRIO_07_2025!C:C,"Linux",INVENTÁRIO_07_2025!D:D,"*Debian*",INVENTÁRIO_07_2025!E:E,"Virtual")</f>
        <v>6</v>
      </c>
      <c r="D16" s="7"/>
      <c r="E16" s="5" t="s">
        <v>23</v>
      </c>
      <c r="F16" s="6">
        <f>COUNTIFS(INVENTÁRIO_07_2025!C:C,"Linux",INVENTÁRIO_07_2025!D:D,"*Debian*",INVENTÁRIO_07_2025!E:E,"Fisico")</f>
        <v>0</v>
      </c>
      <c r="G16" s="7"/>
      <c r="H16" s="12" t="s">
        <v>24</v>
      </c>
      <c r="I16" s="13">
        <f>COUNTIFS(INVENTÁRIO_07_2025!C:C,"Windows",INVENTÁRIO_07_2025!D:D,"*7*",INVENTÁRIO_07_2025!E:E,"Virtual")</f>
        <v>2</v>
      </c>
      <c r="K16" s="12" t="s">
        <v>24</v>
      </c>
      <c r="L16" s="13">
        <f>COUNTIFS(INVENTÁRIO_07_2025!C:C,"Windows",INVENTÁRIO_07_2025!D:D,"*7*",INVENTÁRIO_07_2025!E:E,"Fisico")</f>
        <v>0</v>
      </c>
    </row>
    <row r="17" spans="2:12">
      <c r="B17" s="5" t="s">
        <v>25</v>
      </c>
      <c r="C17" s="6">
        <f>COUNTIFS(INVENTÁRIO_07_2025!C:C,"Linux",INVENTÁRIO_07_2025!D:D,"*Suse*",INVENTÁRIO_07_2025!E:E,"Virtual")</f>
        <v>9</v>
      </c>
      <c r="D17" s="7"/>
      <c r="E17" s="5" t="s">
        <v>25</v>
      </c>
      <c r="F17" s="6">
        <f>COUNTIFS(INVENTÁRIO_07_2025!C:C,"Linux",INVENTÁRIO_07_2025!D:D,"*Suse*",INVENTÁRIO_07_2025!E:E,"Fisico")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88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9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2" t="s">
        <v>28</v>
      </c>
      <c r="C22" s="53"/>
      <c r="E22" s="52" t="s">
        <v>611</v>
      </c>
      <c r="F22" s="53"/>
      <c r="H22" s="52" t="s">
        <v>30</v>
      </c>
      <c r="I22" s="53"/>
      <c r="K22" s="52" t="s">
        <v>612</v>
      </c>
      <c r="L22" s="53"/>
    </row>
    <row r="23" spans="2:12">
      <c r="B23" s="8" t="s">
        <v>10</v>
      </c>
      <c r="C23" s="9">
        <f>I9+L9</f>
        <v>51</v>
      </c>
      <c r="E23" s="36" t="s">
        <v>688</v>
      </c>
      <c r="F23" s="37"/>
      <c r="H23" s="36" t="s">
        <v>340</v>
      </c>
      <c r="I23" s="37"/>
      <c r="K23" s="8" t="s">
        <v>32</v>
      </c>
      <c r="L23" s="9">
        <f>L25+L24</f>
        <v>447</v>
      </c>
    </row>
    <row r="24" spans="2:12">
      <c r="B24" s="8" t="s">
        <v>12</v>
      </c>
      <c r="C24" s="9">
        <f>I10+L10</f>
        <v>60</v>
      </c>
      <c r="E24" s="24" t="s">
        <v>689</v>
      </c>
      <c r="F24" s="41" t="s">
        <v>676</v>
      </c>
      <c r="H24" s="24" t="s">
        <v>414</v>
      </c>
      <c r="I24" s="41" t="s">
        <v>676</v>
      </c>
      <c r="K24" s="8" t="s">
        <v>33</v>
      </c>
      <c r="L24" s="9">
        <f>C5+F5</f>
        <v>147</v>
      </c>
    </row>
    <row r="25" spans="2:12">
      <c r="B25" s="8" t="s">
        <v>14</v>
      </c>
      <c r="C25" s="9">
        <f>I11</f>
        <v>69</v>
      </c>
      <c r="E25" s="24" t="s">
        <v>690</v>
      </c>
      <c r="F25" s="41" t="s">
        <v>676</v>
      </c>
      <c r="H25" s="24" t="s">
        <v>328</v>
      </c>
      <c r="I25" s="41" t="s">
        <v>676</v>
      </c>
      <c r="K25" s="8" t="s">
        <v>34</v>
      </c>
      <c r="L25" s="9">
        <f>L5+I5</f>
        <v>300</v>
      </c>
    </row>
    <row r="26" spans="2:12">
      <c r="B26" s="8" t="s">
        <v>18</v>
      </c>
      <c r="C26" s="9">
        <f>I13+L13</f>
        <v>60</v>
      </c>
      <c r="E26" s="24" t="s">
        <v>691</v>
      </c>
      <c r="F26" s="41" t="s">
        <v>676</v>
      </c>
      <c r="H26" s="24" t="s">
        <v>525</v>
      </c>
      <c r="I26" s="41" t="s">
        <v>676</v>
      </c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56</v>
      </c>
      <c r="E27" s="24" t="s">
        <v>692</v>
      </c>
      <c r="F27" s="41" t="s">
        <v>676</v>
      </c>
      <c r="H27" s="24" t="s">
        <v>382</v>
      </c>
      <c r="I27" s="41" t="s">
        <v>676</v>
      </c>
      <c r="K27" s="8" t="s">
        <v>5</v>
      </c>
      <c r="L27" s="9">
        <f>C5+I5</f>
        <v>348</v>
      </c>
    </row>
    <row r="28" spans="2:12">
      <c r="B28" s="8" t="s">
        <v>35</v>
      </c>
      <c r="C28" s="9">
        <f>C9+C10+C11+C12+C13+F9+F10+F11+F12+F13</f>
        <v>68</v>
      </c>
      <c r="E28" s="44" t="s">
        <v>693</v>
      </c>
      <c r="F28" s="45" t="s">
        <v>676</v>
      </c>
      <c r="H28" s="24" t="s">
        <v>383</v>
      </c>
      <c r="I28" s="41" t="s">
        <v>676</v>
      </c>
      <c r="K28" s="8" t="s">
        <v>37</v>
      </c>
      <c r="L28" s="9">
        <f>C7+F7+I7+L7</f>
        <v>405</v>
      </c>
    </row>
    <row r="29" spans="2:12">
      <c r="B29" s="8" t="s">
        <v>36</v>
      </c>
      <c r="C29" s="9">
        <f>C14+F14</f>
        <v>29</v>
      </c>
      <c r="H29" s="24" t="s">
        <v>338</v>
      </c>
      <c r="I29" s="41" t="s">
        <v>676</v>
      </c>
      <c r="K29" s="8" t="s">
        <v>39</v>
      </c>
      <c r="L29" s="9">
        <f>C6+F6+I6+L6</f>
        <v>42</v>
      </c>
    </row>
    <row r="30" spans="2:12">
      <c r="B30" s="8" t="s">
        <v>38</v>
      </c>
      <c r="C30" s="9">
        <f>C15+F15</f>
        <v>4</v>
      </c>
      <c r="H30" s="24" t="s">
        <v>497</v>
      </c>
      <c r="I30" s="41" t="s">
        <v>676</v>
      </c>
      <c r="K30" s="8" t="s">
        <v>621</v>
      </c>
      <c r="L30" s="9">
        <v>6</v>
      </c>
    </row>
    <row r="31" spans="2:12">
      <c r="B31" s="8" t="s">
        <v>40</v>
      </c>
      <c r="C31" s="9">
        <f>C17+F17</f>
        <v>9</v>
      </c>
      <c r="H31" s="24" t="s">
        <v>405</v>
      </c>
      <c r="I31" s="41" t="s">
        <v>676</v>
      </c>
      <c r="K31" s="8" t="s">
        <v>623</v>
      </c>
      <c r="L31" s="9">
        <v>12</v>
      </c>
    </row>
    <row r="32" spans="2:12">
      <c r="B32" s="14" t="s">
        <v>654</v>
      </c>
      <c r="C32" s="11">
        <f>C19+F19+I14+I15+I16+C16+F16</f>
        <v>41</v>
      </c>
      <c r="F32" s="3" t="s">
        <v>685</v>
      </c>
      <c r="H32" s="24" t="s">
        <v>694</v>
      </c>
      <c r="I32" s="41" t="s">
        <v>676</v>
      </c>
    </row>
    <row r="33" spans="5:14">
      <c r="H33" s="24" t="s">
        <v>505</v>
      </c>
      <c r="I33" s="41" t="s">
        <v>676</v>
      </c>
    </row>
    <row r="34" spans="5:14">
      <c r="E34"/>
      <c r="F34"/>
      <c r="H34" s="44" t="s">
        <v>678</v>
      </c>
      <c r="I34" s="45" t="s">
        <v>676</v>
      </c>
    </row>
    <row r="35" spans="5:14">
      <c r="E35"/>
      <c r="F35"/>
      <c r="H35"/>
    </row>
    <row r="36" spans="5:14">
      <c r="E36"/>
    </row>
    <row r="37" spans="5:14">
      <c r="E37"/>
      <c r="M37" s="7"/>
      <c r="N37" s="7"/>
    </row>
    <row r="38" spans="5:14">
      <c r="E38"/>
      <c r="M38" s="7"/>
      <c r="N38" s="7"/>
    </row>
  </sheetData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79998168889431442"/>
  </sheetPr>
  <dimension ref="A1:H448"/>
  <sheetViews>
    <sheetView zoomScaleNormal="100" workbookViewId="0">
      <pane ySplit="1" topLeftCell="A144" activePane="bottomLeft" state="frozen"/>
      <selection pane="bottomLeft" activeCell="A144" sqref="A144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37" customWidth="1"/>
    <col min="8" max="8" width="44.8984375" bestFit="1" customWidth="1"/>
  </cols>
  <sheetData>
    <row r="1" spans="1:8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  <c r="H1" t="s">
        <v>637</v>
      </c>
    </row>
    <row r="2" spans="1:8" hidden="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VLOOKUP(A:A,INVENTÁRIO_06_2025!A:A,1,0)</f>
        <v>SLOT-01</v>
      </c>
      <c r="H2" t="str">
        <f>VLOOKUP(A:A,INVENTÁRIO_08_2025!A:A,1,0)</f>
        <v>SLOT-01</v>
      </c>
    </row>
    <row r="3" spans="1:8" hidden="1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VLOOKUP(A:A,INVENTÁRIO_06_2025!A:A,1,0)</f>
        <v>SPRDAPTRGRU01</v>
      </c>
      <c r="H3" t="str">
        <f>VLOOKUP(A:A,INVENTÁRIO_08_2025!A:A,1,0)</f>
        <v>SPRDAPTRGRU01</v>
      </c>
    </row>
    <row r="4" spans="1:8" hidden="1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56</v>
      </c>
      <c r="G4" t="str">
        <f>VLOOKUP(A:A,INVENTÁRIO_06_2025!A:A,1,0)</f>
        <v>SPRDAPBWGRU01</v>
      </c>
      <c r="H4" t="str">
        <f>VLOOKUP(A:A,INVENTÁRIO_08_2025!A:A,1,0)</f>
        <v>SPRDAPBWGRU01</v>
      </c>
    </row>
    <row r="5" spans="1:8" hidden="1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VLOOKUP(A:A,INVENTÁRIO_06_2025!A:A,1,0)</f>
        <v>SPRDAPBWGRU02</v>
      </c>
      <c r="H5" t="str">
        <f>VLOOKUP(A:A,INVENTÁRIO_08_2025!A:A,1,0)</f>
        <v>SPRDAPBWGRU02</v>
      </c>
    </row>
    <row r="6" spans="1:8" hidden="1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VLOOKUP(A:A,INVENTÁRIO_06_2025!A:A,1,0)</f>
        <v>SPRDVMGRU01</v>
      </c>
      <c r="H6" t="str">
        <f>VLOOKUP(A:A,INVENTÁRIO_08_2025!A:A,1,0)</f>
        <v>SPRDVMGRU01</v>
      </c>
    </row>
    <row r="7" spans="1:8" hidden="1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VLOOKUP(A:A,INVENTÁRIO_06_2025!A:A,1,0)</f>
        <v>SPRDVMGRU02</v>
      </c>
      <c r="H7" t="str">
        <f>VLOOKUP(A:A,INVENTÁRIO_08_2025!A:A,1,0)</f>
        <v>SPRDVMGRU02</v>
      </c>
    </row>
    <row r="8" spans="1:8" hidden="1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VLOOKUP(A:A,INVENTÁRIO_06_2025!A:A,1,0)</f>
        <v>SPRDVMGRU05</v>
      </c>
      <c r="H8" t="str">
        <f>VLOOKUP(A:A,INVENTÁRIO_08_2025!A:A,1,0)</f>
        <v>SPRDVMGRU05</v>
      </c>
    </row>
    <row r="9" spans="1:8" hidden="1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VLOOKUP(A:A,INVENTÁRIO_06_2025!A:A,1,0)</f>
        <v>SPRDVMGRU03</v>
      </c>
      <c r="H9" t="str">
        <f>VLOOKUP(A:A,INVENTÁRIO_08_2025!A:A,1,0)</f>
        <v>SPRDVMGRU03</v>
      </c>
    </row>
    <row r="10" spans="1:8" hidden="1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VLOOKUP(A:A,INVENTÁRIO_06_2025!A:A,1,0)</f>
        <v>SPRDVMGRU04</v>
      </c>
      <c r="H10" t="str">
        <f>VLOOKUP(A:A,INVENTÁRIO_08_2025!A:A,1,0)</f>
        <v>SPRDVMGRU04</v>
      </c>
    </row>
    <row r="11" spans="1:8" hidden="1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VLOOKUP(A:A,INVENTÁRIO_06_2025!A:A,1,0)</f>
        <v>SPRDVMGRU06</v>
      </c>
      <c r="H11" t="str">
        <f>VLOOKUP(A:A,INVENTÁRIO_08_2025!A:A,1,0)</f>
        <v>SPRDVMGRU06</v>
      </c>
    </row>
    <row r="12" spans="1:8" hidden="1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VLOOKUP(A:A,INVENTÁRIO_06_2025!A:A,1,0)</f>
        <v>SPRDVMSAPGRU01</v>
      </c>
      <c r="H12" t="str">
        <f>VLOOKUP(A:A,INVENTÁRIO_08_2025!A:A,1,0)</f>
        <v>SPRDVMSAPGRU01</v>
      </c>
    </row>
    <row r="13" spans="1:8" hidden="1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VLOOKUP(A:A,INVENTÁRIO_06_2025!A:A,1,0)</f>
        <v>SPRDVMSAPGRU02</v>
      </c>
      <c r="H13" t="str">
        <f>VLOOKUP(A:A,INVENTÁRIO_08_2025!A:A,1,0)</f>
        <v>SPRDVMSAPGRU02</v>
      </c>
    </row>
    <row r="14" spans="1:8" hidden="1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VLOOKUP(A:A,INVENTÁRIO_06_2025!A:A,1,0)</f>
        <v>SPRDVMSAPGRU03</v>
      </c>
      <c r="H14" t="str">
        <f>VLOOKUP(A:A,INVENTÁRIO_08_2025!A:A,1,0)</f>
        <v>SPRDVMSAPGRU03</v>
      </c>
    </row>
    <row r="15" spans="1:8" hidden="1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VLOOKUP(A:A,INVENTÁRIO_06_2025!A:A,1,0)</f>
        <v>SPRDVMSAPGRU04</v>
      </c>
      <c r="H15" t="str">
        <f>VLOOKUP(A:A,INVENTÁRIO_08_2025!A:A,1,0)</f>
        <v>SPRDVMSAPGRU04</v>
      </c>
    </row>
    <row r="16" spans="1:8" hidden="1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VLOOKUP(A:A,INVENTÁRIO_06_2025!A:A,1,0)</f>
        <v>SPRDESXIGRU01</v>
      </c>
      <c r="H16" t="str">
        <f>VLOOKUP(A:A,INVENTÁRIO_08_2025!A:A,1,0)</f>
        <v>SPRDESXIGRU01</v>
      </c>
    </row>
    <row r="17" spans="1:8" hidden="1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VLOOKUP(A:A,INVENTÁRIO_06_2025!A:A,1,0)</f>
        <v>SPRDESXIGRU02</v>
      </c>
      <c r="H17" t="str">
        <f>VLOOKUP(A:A,INVENTÁRIO_08_2025!A:A,1,0)</f>
        <v>SPRDESXIGRU02</v>
      </c>
    </row>
    <row r="18" spans="1:8" hidden="1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VLOOKUP(A:A,INVENTÁRIO_06_2025!A:A,1,0)</f>
        <v>SPRDESXIGRU03</v>
      </c>
      <c r="H18" t="str">
        <f>VLOOKUP(A:A,INVENTÁRIO_08_2025!A:A,1,0)</f>
        <v>SPRDESXIGRU03</v>
      </c>
    </row>
    <row r="19" spans="1:8" hidden="1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VLOOKUP(A:A,INVENTÁRIO_06_2025!A:A,1,0)</f>
        <v>SPRDESXIGRU04</v>
      </c>
      <c r="H19" t="str">
        <f>VLOOKUP(A:A,INVENTÁRIO_08_2025!A:A,1,0)</f>
        <v>SPRDESXIGRU04</v>
      </c>
    </row>
    <row r="20" spans="1:8" hidden="1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VLOOKUP(A:A,INVENTÁRIO_06_2025!A:A,1,0)</f>
        <v>SPRDESXIGRU05</v>
      </c>
      <c r="H20" t="str">
        <f>VLOOKUP(A:A,INVENTÁRIO_08_2025!A:A,1,0)</f>
        <v>SPRDESXIGRU05</v>
      </c>
    </row>
    <row r="21" spans="1:8" hidden="1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VLOOKUP(A:A,INVENTÁRIO_06_2025!A:A,1,0)</f>
        <v>SPRDESXIGRU06</v>
      </c>
      <c r="H21" t="str">
        <f>VLOOKUP(A:A,INVENTÁRIO_08_2025!A:A,1,0)</f>
        <v>SPRDESXIGRU06</v>
      </c>
    </row>
    <row r="22" spans="1:8" hidden="1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VLOOKUP(A:A,INVENTÁRIO_06_2025!A:A,1,0)</f>
        <v>SPRDESXIGRU07</v>
      </c>
      <c r="H22" t="str">
        <f>VLOOKUP(A:A,INVENTÁRIO_08_2025!A:A,1,0)</f>
        <v>SPRDESXIGRU07</v>
      </c>
    </row>
    <row r="23" spans="1:8" hidden="1">
      <c r="A23" t="s">
        <v>558</v>
      </c>
      <c r="B23" t="s">
        <v>61</v>
      </c>
      <c r="C23" t="s">
        <v>51</v>
      </c>
      <c r="D23" t="s">
        <v>559</v>
      </c>
      <c r="E23" t="s">
        <v>53</v>
      </c>
      <c r="F23" t="s">
        <v>560</v>
      </c>
      <c r="G23" t="str">
        <f>VLOOKUP(A:A,INVENTÁRIO_06_2025!A:A,1,0)</f>
        <v>SPRDCCTVGRU31-OLD</v>
      </c>
      <c r="H23" t="str">
        <f>VLOOKUP(A:A,INVENTÁRIO_08_2025!A:A,1,0)</f>
        <v>SPRDCCTVGRU31-OLD</v>
      </c>
    </row>
    <row r="24" spans="1:8" hidden="1">
      <c r="A24" t="s">
        <v>82</v>
      </c>
      <c r="B24" t="s">
        <v>61</v>
      </c>
      <c r="C24" t="s">
        <v>51</v>
      </c>
      <c r="D24" t="s">
        <v>83</v>
      </c>
      <c r="E24" t="s">
        <v>53</v>
      </c>
      <c r="F24" t="s">
        <v>63</v>
      </c>
      <c r="G24" t="str">
        <f>VLOOKUP(A:A,INVENTÁRIO_06_2025!A:A,1,0)</f>
        <v>SPRDBDORAGRU03</v>
      </c>
      <c r="H24" t="str">
        <f>VLOOKUP(A:A,INVENTÁRIO_08_2025!A:A,1,0)</f>
        <v>SPRDBDORAGRU03</v>
      </c>
    </row>
    <row r="25" spans="1:8" hidden="1">
      <c r="A25" t="s">
        <v>84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VLOOKUP(A:A,INVENTÁRIO_06_2025!A:A,1,0)</f>
        <v>SHOMBDORAGRU01</v>
      </c>
      <c r="H25" t="str">
        <f>VLOOKUP(A:A,INVENTÁRIO_08_2025!A:A,1,0)</f>
        <v>SHOMBDORAGRU01</v>
      </c>
    </row>
    <row r="26" spans="1:8" hidden="1">
      <c r="A26" t="s">
        <v>86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VLOOKUP(A:A,INVENTÁRIO_06_2025!A:A,1,0)</f>
        <v>SPRDAPCMSGRU02</v>
      </c>
      <c r="H26" t="str">
        <f>VLOOKUP(A:A,INVENTÁRIO_08_2025!A:A,1,0)</f>
        <v>SPRDAPCMSGRU02</v>
      </c>
    </row>
    <row r="27" spans="1:8" hidden="1">
      <c r="A27" t="s">
        <v>87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VLOOKUP(A:A,INVENTÁRIO_06_2025!A:A,1,0)</f>
        <v>SPRDBDORAGRU04</v>
      </c>
      <c r="H27" t="str">
        <f>VLOOKUP(A:A,INVENTÁRIO_08_2025!A:A,1,0)</f>
        <v>SPRDBDORAGRU04</v>
      </c>
    </row>
    <row r="28" spans="1:8" hidden="1">
      <c r="A28" t="s">
        <v>88</v>
      </c>
      <c r="B28" t="s">
        <v>61</v>
      </c>
      <c r="C28" t="s">
        <v>51</v>
      </c>
      <c r="D28" t="s">
        <v>85</v>
      </c>
      <c r="E28" t="s">
        <v>53</v>
      </c>
      <c r="F28" t="s">
        <v>63</v>
      </c>
      <c r="G28" t="str">
        <f>VLOOKUP(A:A,INVENTÁRIO_06_2025!A:A,1,0)</f>
        <v>SPRDAPCMSGRU07</v>
      </c>
      <c r="H28" t="str">
        <f>VLOOKUP(A:A,INVENTÁRIO_08_2025!A:A,1,0)</f>
        <v>SPRDAPCMSGRU07</v>
      </c>
    </row>
    <row r="29" spans="1:8" hidden="1">
      <c r="A29" t="s">
        <v>89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VLOOKUP(A:A,INVENTÁRIO_06_2025!A:A,1,0)</f>
        <v>SHOMAPCMSGRU02</v>
      </c>
      <c r="H29" t="str">
        <f>VLOOKUP(A:A,INVENTÁRIO_08_2025!A:A,1,0)</f>
        <v>SHOMAPCMSGRU02</v>
      </c>
    </row>
    <row r="30" spans="1:8" hidden="1">
      <c r="A30" t="s">
        <v>90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VLOOKUP(A:A,INVENTÁRIO_06_2025!A:A,1,0)</f>
        <v>SHOMBDORAGRU02</v>
      </c>
      <c r="H30" t="str">
        <f>VLOOKUP(A:A,INVENTÁRIO_08_2025!A:A,1,0)</f>
        <v>SHOMBDORAGRU02</v>
      </c>
    </row>
    <row r="31" spans="1:8" hidden="1">
      <c r="A31" t="s">
        <v>91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VLOOKUP(A:A,INVENTÁRIO_06_2025!A:A,1,0)</f>
        <v>SPRDAPCMSGRU04</v>
      </c>
      <c r="H31" t="str">
        <f>VLOOKUP(A:A,INVENTÁRIO_08_2025!A:A,1,0)</f>
        <v>SPRDAPCMSGRU04</v>
      </c>
    </row>
    <row r="32" spans="1:8" hidden="1">
      <c r="A32" t="s">
        <v>92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VLOOKUP(A:A,INVENTÁRIO_06_2025!A:A,1,0)</f>
        <v>SPRDAPCMSGRU05</v>
      </c>
      <c r="H32" t="str">
        <f>VLOOKUP(A:A,INVENTÁRIO_08_2025!A:A,1,0)</f>
        <v>SPRDAPCMSGRU05</v>
      </c>
    </row>
    <row r="33" spans="1:8" hidden="1">
      <c r="A33" t="s">
        <v>93</v>
      </c>
      <c r="B33" t="s">
        <v>61</v>
      </c>
      <c r="C33" t="s">
        <v>51</v>
      </c>
      <c r="D33" t="s">
        <v>85</v>
      </c>
      <c r="E33" t="s">
        <v>53</v>
      </c>
      <c r="F33" t="s">
        <v>67</v>
      </c>
      <c r="G33" t="str">
        <f>VLOOKUP(A:A,INVENTÁRIO_06_2025!A:A,1,0)</f>
        <v>SPRDBDORAGRU05</v>
      </c>
      <c r="H33" t="str">
        <f>VLOOKUP(A:A,INVENTÁRIO_08_2025!A:A,1,0)</f>
        <v>SPRDBDORAGRU05</v>
      </c>
    </row>
    <row r="34" spans="1:8" hidden="1">
      <c r="A34" t="s">
        <v>94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VLOOKUP(A:A,INVENTÁRIO_06_2025!A:A,1,0)</f>
        <v>SPRDAPBIGRU01</v>
      </c>
      <c r="H34" t="str">
        <f>VLOOKUP(A:A,INVENTÁRIO_08_2025!A:A,1,0)</f>
        <v>SPRDAPBIGRU01</v>
      </c>
    </row>
    <row r="35" spans="1:8" hidden="1">
      <c r="A35" t="s">
        <v>95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VLOOKUP(A:A,INVENTÁRIO_06_2025!A:A,1,0)</f>
        <v>SPRDAPECGRU01</v>
      </c>
      <c r="H35" t="str">
        <f>VLOOKUP(A:A,INVENTÁRIO_08_2025!A:A,1,0)</f>
        <v>SPRDAPECGRU01</v>
      </c>
    </row>
    <row r="36" spans="1:8" hidden="1">
      <c r="A36" t="s">
        <v>96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VLOOKUP(A:A,INVENTÁRIO_06_2025!A:A,1,0)</f>
        <v>SPRDAPECGRU02</v>
      </c>
      <c r="H36" t="str">
        <f>VLOOKUP(A:A,INVENTÁRIO_08_2025!A:A,1,0)</f>
        <v>SPRDAPECGRU02</v>
      </c>
    </row>
    <row r="37" spans="1:8" hidden="1">
      <c r="A37" t="s">
        <v>97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VLOOKUP(A:A,INVENTÁRIO_06_2025!A:A,1,0)</f>
        <v>SPRDAPECGRU03</v>
      </c>
      <c r="H37" t="str">
        <f>VLOOKUP(A:A,INVENTÁRIO_08_2025!A:A,1,0)</f>
        <v>SPRDAPECGRU03</v>
      </c>
    </row>
    <row r="38" spans="1:8" hidden="1">
      <c r="A38" t="s">
        <v>98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VLOOKUP(A:A,INVENTÁRIO_06_2025!A:A,1,0)</f>
        <v>SPRDAPPIGRU01</v>
      </c>
      <c r="H38" t="str">
        <f>VLOOKUP(A:A,INVENTÁRIO_08_2025!A:A,1,0)</f>
        <v>SPRDAPPIGRU01</v>
      </c>
    </row>
    <row r="39" spans="1:8" hidden="1">
      <c r="A39" t="s">
        <v>99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VLOOKUP(A:A,INVENTÁRIO_06_2025!A:A,1,0)</f>
        <v>SPRDAPSMGRU01</v>
      </c>
      <c r="H39" t="str">
        <f>VLOOKUP(A:A,INVENTÁRIO_08_2025!A:A,1,0)</f>
        <v>SPRDAPSMGRU01</v>
      </c>
    </row>
    <row r="40" spans="1:8" hidden="1">
      <c r="A40" t="s">
        <v>100</v>
      </c>
      <c r="B40" t="s">
        <v>61</v>
      </c>
      <c r="C40" t="s">
        <v>51</v>
      </c>
      <c r="D40" t="s">
        <v>85</v>
      </c>
      <c r="E40" t="s">
        <v>53</v>
      </c>
      <c r="F40" t="s">
        <v>56</v>
      </c>
      <c r="G40" t="str">
        <f>VLOOKUP(A:A,INVENTÁRIO_06_2025!A:A,1,0)</f>
        <v>SPRDBDORAGRU09</v>
      </c>
      <c r="H40" t="str">
        <f>VLOOKUP(A:A,INVENTÁRIO_08_2025!A:A,1,0)</f>
        <v>SPRDBDORAGRU09</v>
      </c>
    </row>
    <row r="41" spans="1:8" hidden="1">
      <c r="A41" t="s">
        <v>101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VLOOKUP(A:A,INVENTÁRIO_06_2025!A:A,1,0)</f>
        <v>SPRDAPBIGRU02</v>
      </c>
      <c r="H41" t="str">
        <f>VLOOKUP(A:A,INVENTÁRIO_08_2025!A:A,1,0)</f>
        <v>SPRDAPBIGRU02</v>
      </c>
    </row>
    <row r="42" spans="1:8" hidden="1">
      <c r="A42" t="s">
        <v>102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VLOOKUP(A:A,INVENTÁRIO_06_2025!A:A,1,0)</f>
        <v>SPRDAPECGRU04</v>
      </c>
      <c r="H42" t="str">
        <f>VLOOKUP(A:A,INVENTÁRIO_08_2025!A:A,1,0)</f>
        <v>SPRDAPECGRU04</v>
      </c>
    </row>
    <row r="43" spans="1:8" hidden="1">
      <c r="A43" t="s">
        <v>103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VLOOKUP(A:A,INVENTÁRIO_06_2025!A:A,1,0)</f>
        <v>SPRDAPECGRU05</v>
      </c>
      <c r="H43" t="str">
        <f>VLOOKUP(A:A,INVENTÁRIO_08_2025!A:A,1,0)</f>
        <v>SPRDAPECGRU05</v>
      </c>
    </row>
    <row r="44" spans="1:8" hidden="1">
      <c r="A44" t="s">
        <v>104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VLOOKUP(A:A,INVENTÁRIO_06_2025!A:A,1,0)</f>
        <v>SPRDAPECGRU06</v>
      </c>
      <c r="H44" t="str">
        <f>VLOOKUP(A:A,INVENTÁRIO_08_2025!A:A,1,0)</f>
        <v>SPRDAPECGRU06</v>
      </c>
    </row>
    <row r="45" spans="1:8" hidden="1">
      <c r="A45" t="s">
        <v>105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VLOOKUP(A:A,INVENTÁRIO_06_2025!A:A,1,0)</f>
        <v>SPRDAPPIGRU02</v>
      </c>
      <c r="H45" t="str">
        <f>VLOOKUP(A:A,INVENTÁRIO_08_2025!A:A,1,0)</f>
        <v>SPRDAPPIGRU02</v>
      </c>
    </row>
    <row r="46" spans="1:8" hidden="1">
      <c r="A46" t="s">
        <v>106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VLOOKUP(A:A,INVENTÁRIO_06_2025!A:A,1,0)</f>
        <v>SPRDAPSMGRU02</v>
      </c>
      <c r="H46" t="str">
        <f>VLOOKUP(A:A,INVENTÁRIO_08_2025!A:A,1,0)</f>
        <v>SPRDAPSMGRU02</v>
      </c>
    </row>
    <row r="47" spans="1:8" hidden="1">
      <c r="A47" t="s">
        <v>107</v>
      </c>
      <c r="B47" t="s">
        <v>61</v>
      </c>
      <c r="C47" t="s">
        <v>51</v>
      </c>
      <c r="D47" t="s">
        <v>85</v>
      </c>
      <c r="E47" t="s">
        <v>53</v>
      </c>
      <c r="F47" t="s">
        <v>58</v>
      </c>
      <c r="G47" t="str">
        <f>VLOOKUP(A:A,INVENTÁRIO_06_2025!A:A,1,0)</f>
        <v>SPRDBDORAGRU11</v>
      </c>
      <c r="H47" t="str">
        <f>VLOOKUP(A:A,INVENTÁRIO_08_2025!A:A,1,0)</f>
        <v>SPRDBDORAGRU11</v>
      </c>
    </row>
    <row r="48" spans="1:8" hidden="1">
      <c r="A48" t="s">
        <v>108</v>
      </c>
      <c r="B48" t="s">
        <v>61</v>
      </c>
      <c r="C48" t="s">
        <v>51</v>
      </c>
      <c r="D48" t="s">
        <v>109</v>
      </c>
      <c r="E48" t="s">
        <v>53</v>
      </c>
      <c r="F48" t="s">
        <v>58</v>
      </c>
      <c r="G48" t="str">
        <f>VLOOKUP(A:A,INVENTÁRIO_06_2025!A:A,1,0)</f>
        <v>SPRDBDORAGRU12</v>
      </c>
      <c r="H48" t="str">
        <f>VLOOKUP(A:A,INVENTÁRIO_08_2025!A:A,1,0)</f>
        <v>SPRDBDORAGRU12</v>
      </c>
    </row>
    <row r="49" spans="1:8" hidden="1">
      <c r="A49" t="s">
        <v>110</v>
      </c>
      <c r="B49" t="s">
        <v>50</v>
      </c>
      <c r="C49" t="s">
        <v>51</v>
      </c>
      <c r="D49" t="s">
        <v>111</v>
      </c>
      <c r="E49" t="s">
        <v>53</v>
      </c>
      <c r="F49" t="s">
        <v>67</v>
      </c>
      <c r="G49" t="str">
        <f>VLOOKUP(A:A,INVENTÁRIO_06_2025!A:A,1,0)</f>
        <v>SPRDAPCMSGRU06</v>
      </c>
      <c r="H49" t="str">
        <f>VLOOKUP(A:A,INVENTÁRIO_08_2025!A:A,1,0)</f>
        <v>SPRDAPCMSGRU06</v>
      </c>
    </row>
    <row r="50" spans="1:8" hidden="1">
      <c r="A50" t="s">
        <v>112</v>
      </c>
      <c r="B50" t="s">
        <v>61</v>
      </c>
      <c r="C50" t="s">
        <v>51</v>
      </c>
      <c r="D50" t="s">
        <v>111</v>
      </c>
      <c r="E50" t="s">
        <v>53</v>
      </c>
      <c r="F50" t="s">
        <v>58</v>
      </c>
      <c r="G50" t="str">
        <f>VLOOKUP(A:A,INVENTÁRIO_06_2025!A:A,1,0)</f>
        <v>SPRDAPCMSGRU08</v>
      </c>
      <c r="H50" t="str">
        <f>VLOOKUP(A:A,INVENTÁRIO_08_2025!A:A,1,0)</f>
        <v>SPRDAPCMSGRU08</v>
      </c>
    </row>
    <row r="51" spans="1:8" hidden="1">
      <c r="A51" t="s">
        <v>113</v>
      </c>
      <c r="B51" t="s">
        <v>61</v>
      </c>
      <c r="C51" t="s">
        <v>51</v>
      </c>
      <c r="D51" t="s">
        <v>114</v>
      </c>
      <c r="E51" t="s">
        <v>53</v>
      </c>
      <c r="F51" t="s">
        <v>56</v>
      </c>
      <c r="G51" t="str">
        <f>VLOOKUP(A:A,INVENTÁRIO_06_2025!A:A,1,0)</f>
        <v>SPRDAPSSHGRU01</v>
      </c>
      <c r="H51" t="str">
        <f>VLOOKUP(A:A,INVENTÁRIO_08_2025!A:A,1,0)</f>
        <v>SPRDAPSSHGRU01</v>
      </c>
    </row>
    <row r="52" spans="1:8" hidden="1">
      <c r="A52" t="s">
        <v>119</v>
      </c>
      <c r="B52" t="s">
        <v>61</v>
      </c>
      <c r="C52" t="s">
        <v>116</v>
      </c>
      <c r="D52" t="s">
        <v>117</v>
      </c>
      <c r="E52" t="s">
        <v>53</v>
      </c>
      <c r="F52" t="s">
        <v>120</v>
      </c>
      <c r="G52" t="str">
        <f>VLOOKUP(A:A,INVENTÁRIO_06_2025!A:A,1,0)</f>
        <v>SPRDADGRU01</v>
      </c>
      <c r="H52" t="str">
        <f>VLOOKUP(A:A,INVENTÁRIO_08_2025!A:A,1,0)</f>
        <v>SPRDADGRU01</v>
      </c>
    </row>
    <row r="53" spans="1:8" hidden="1">
      <c r="A53" t="s">
        <v>115</v>
      </c>
      <c r="B53" t="s">
        <v>50</v>
      </c>
      <c r="C53" t="s">
        <v>116</v>
      </c>
      <c r="D53" t="s">
        <v>117</v>
      </c>
      <c r="E53" t="s">
        <v>53</v>
      </c>
      <c r="F53" t="s">
        <v>56</v>
      </c>
      <c r="G53" t="str">
        <f>VLOOKUP(A:A,INVENTÁRIO_06_2025!A:A,1,0)</f>
        <v>SPRDAPMSGRU01</v>
      </c>
      <c r="H53" t="str">
        <f>VLOOKUP(A:A,INVENTÁRIO_08_2025!A:A,1,0)</f>
        <v>SPRDAPMSGRU01</v>
      </c>
    </row>
    <row r="54" spans="1:8" hidden="1">
      <c r="A54" t="s">
        <v>118</v>
      </c>
      <c r="B54" t="s">
        <v>50</v>
      </c>
      <c r="C54" t="s">
        <v>116</v>
      </c>
      <c r="D54" t="s">
        <v>117</v>
      </c>
      <c r="E54" t="s">
        <v>53</v>
      </c>
      <c r="F54" t="s">
        <v>58</v>
      </c>
      <c r="G54" t="str">
        <f>VLOOKUP(A:A,INVENTÁRIO_06_2025!A:A,1,0)</f>
        <v>SPRDAPMSGRU02</v>
      </c>
      <c r="H54" t="str">
        <f>VLOOKUP(A:A,INVENTÁRIO_08_2025!A:A,1,0)</f>
        <v>SPRDAPMSGRU02</v>
      </c>
    </row>
    <row r="55" spans="1:8">
      <c r="A55" t="s">
        <v>123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VLOOKUP(A:A,INVENTÁRIO_06_2025!A:A,1,0)</f>
        <v>SPRDAPBMSGRUA</v>
      </c>
      <c r="H55" t="str">
        <f>VLOOKUP(A:A,INVENTÁRIO_08_2025!A:A,1,0)</f>
        <v>SPRDAPBMSGRUA</v>
      </c>
    </row>
    <row r="56" spans="1:8" hidden="1">
      <c r="A56" t="s">
        <v>121</v>
      </c>
      <c r="B56" t="s">
        <v>50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SPRDAPBMSGRUB_O</v>
      </c>
      <c r="H56" t="str">
        <f>VLOOKUP(A:A,INVENTÁRIO_08_2025!A:A,1,0)</f>
        <v>SPRDAPBMSGRUB_O</v>
      </c>
    </row>
    <row r="57" spans="1:8" hidden="1">
      <c r="A57" t="s">
        <v>124</v>
      </c>
      <c r="B57" t="s">
        <v>61</v>
      </c>
      <c r="C57" t="s">
        <v>116</v>
      </c>
      <c r="D57" t="s">
        <v>122</v>
      </c>
      <c r="E57" t="s">
        <v>53</v>
      </c>
      <c r="F57" t="s">
        <v>120</v>
      </c>
      <c r="G57" t="str">
        <f>VLOOKUP(A:A,INVENTÁRIO_06_2025!A:A,1,0)</f>
        <v>SPRDAPOPCGRUB</v>
      </c>
      <c r="H57" t="str">
        <f>VLOOKUP(A:A,INVENTÁRIO_08_2025!A:A,1,0)</f>
        <v>SPRDAPOPCGRUB</v>
      </c>
    </row>
    <row r="58" spans="1:8" hidden="1">
      <c r="A58" t="s">
        <v>125</v>
      </c>
      <c r="B58" t="s">
        <v>61</v>
      </c>
      <c r="C58" t="s">
        <v>116</v>
      </c>
      <c r="D58" t="s">
        <v>126</v>
      </c>
      <c r="E58" t="s">
        <v>53</v>
      </c>
      <c r="F58" t="s">
        <v>63</v>
      </c>
      <c r="G58" t="str">
        <f>VLOOKUP(A:A,INVENTÁRIO_06_2025!A:A,1,0)</f>
        <v>SPRDSQLGRU10</v>
      </c>
      <c r="H58" t="str">
        <f>VLOOKUP(A:A,INVENTÁRIO_08_2025!A:A,1,0)</f>
        <v>SPRDSQLGRU10</v>
      </c>
    </row>
    <row r="59" spans="1:8" hidden="1">
      <c r="A59" t="s">
        <v>127</v>
      </c>
      <c r="B59" t="s">
        <v>50</v>
      </c>
      <c r="C59" t="s">
        <v>116</v>
      </c>
      <c r="D59" t="s">
        <v>126</v>
      </c>
      <c r="E59" t="s">
        <v>53</v>
      </c>
      <c r="F59" t="s">
        <v>67</v>
      </c>
      <c r="G59" t="str">
        <f>VLOOKUP(A:A,INVENTÁRIO_06_2025!A:A,1,0)</f>
        <v>SPRDSQLGRU11</v>
      </c>
      <c r="H59" t="str">
        <f>VLOOKUP(A:A,INVENTÁRIO_08_2025!A:A,1,0)</f>
        <v>SPRDSQLGRU11</v>
      </c>
    </row>
    <row r="60" spans="1:8" hidden="1">
      <c r="A60" t="s">
        <v>130</v>
      </c>
      <c r="B60" t="s">
        <v>61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VLOOKUP(A:A,INVENTÁRIO_06_2025!A:A,1,0)</f>
        <v>SPRDAPBKPGRU02</v>
      </c>
      <c r="H60" t="str">
        <f>VLOOKUP(A:A,INVENTÁRIO_08_2025!A:A,1,0)</f>
        <v>SPRDAPBKPGRU02</v>
      </c>
    </row>
    <row r="61" spans="1:8" hidden="1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VLOOKUP(A:A,INVENTÁRIO_06_2025!A:A,1,0)</f>
        <v>SPRDAPBKPGRU01</v>
      </c>
      <c r="H61" t="str">
        <f>VLOOKUP(A:A,INVENTÁRIO_08_2025!A:A,1,0)</f>
        <v>SPRDAPBKPGRU01</v>
      </c>
    </row>
    <row r="62" spans="1:8" hidden="1">
      <c r="A62" t="s">
        <v>128</v>
      </c>
      <c r="B62" t="s">
        <v>50</v>
      </c>
      <c r="C62" t="s">
        <v>116</v>
      </c>
      <c r="D62" t="s">
        <v>129</v>
      </c>
      <c r="E62" t="s">
        <v>53</v>
      </c>
      <c r="F62" t="s">
        <v>58</v>
      </c>
      <c r="G62" t="str">
        <f>VLOOKUP(A:A,INVENTÁRIO_06_2025!A:A,1,0)</f>
        <v>SPRDAPBPGRU02</v>
      </c>
      <c r="H62" t="str">
        <f>VLOOKUP(A:A,INVENTÁRIO_08_2025!A:A,1,0)</f>
        <v>SPRDAPBPGRU02</v>
      </c>
    </row>
    <row r="63" spans="1:8" hidden="1">
      <c r="A63" t="s">
        <v>132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VLOOKUP(A:A,INVENTÁRIO_06_2025!A:A,1,0)</f>
        <v>SPRDCCTVGRU08</v>
      </c>
      <c r="H63" t="str">
        <f>VLOOKUP(A:A,INVENTÁRIO_08_2025!A:A,1,0)</f>
        <v>SPRDCCTVGRU08</v>
      </c>
    </row>
    <row r="64" spans="1:8" hidden="1">
      <c r="A64" t="s">
        <v>134</v>
      </c>
      <c r="B64" t="s">
        <v>61</v>
      </c>
      <c r="C64" t="s">
        <v>116</v>
      </c>
      <c r="D64" t="s">
        <v>129</v>
      </c>
      <c r="E64" t="s">
        <v>53</v>
      </c>
      <c r="F64" t="s">
        <v>133</v>
      </c>
      <c r="G64" t="str">
        <f>VLOOKUP(A:A,INVENTÁRIO_06_2025!A:A,1,0)</f>
        <v>SPRDCCTVGRU10</v>
      </c>
      <c r="H64" t="str">
        <f>VLOOKUP(A:A,INVENTÁRIO_08_2025!A:A,1,0)</f>
        <v>SPRDCCTVGRU10</v>
      </c>
    </row>
    <row r="65" spans="1:8" hidden="1">
      <c r="A65" t="s">
        <v>135</v>
      </c>
      <c r="B65" t="s">
        <v>50</v>
      </c>
      <c r="C65" t="s">
        <v>116</v>
      </c>
      <c r="D65" t="s">
        <v>136</v>
      </c>
      <c r="E65" t="s">
        <v>53</v>
      </c>
      <c r="F65" t="s">
        <v>63</v>
      </c>
      <c r="G65" t="str">
        <f>VLOOKUP(A:A,INVENTÁRIO_06_2025!A:A,1,0)</f>
        <v>SPRDAPDMZGRU01</v>
      </c>
      <c r="H65" t="str">
        <f>VLOOKUP(A:A,INVENTÁRIO_08_2025!A:A,1,0)</f>
        <v>SPRDAPDMZGRU01</v>
      </c>
    </row>
    <row r="66" spans="1:8" hidden="1">
      <c r="A66" t="s">
        <v>137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VLOOKUP(A:A,INVENTÁRIO_06_2025!A:A,1,0)</f>
        <v>SPRDCCTVGRU01</v>
      </c>
      <c r="H66" t="str">
        <f>VLOOKUP(A:A,INVENTÁRIO_08_2025!A:A,1,0)</f>
        <v>SPRDCCTVGRU01</v>
      </c>
    </row>
    <row r="67" spans="1:8" hidden="1">
      <c r="A67" t="s">
        <v>138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VLOOKUP(A:A,INVENTÁRIO_06_2025!A:A,1,0)</f>
        <v>SPRDCCTVGRU20</v>
      </c>
      <c r="H67" t="str">
        <f>VLOOKUP(A:A,INVENTÁRIO_08_2025!A:A,1,0)</f>
        <v>SPRDCCTVGRU20</v>
      </c>
    </row>
    <row r="68" spans="1:8" hidden="1">
      <c r="A68" t="s">
        <v>139</v>
      </c>
      <c r="B68" t="s">
        <v>61</v>
      </c>
      <c r="C68" t="s">
        <v>116</v>
      </c>
      <c r="D68" t="s">
        <v>136</v>
      </c>
      <c r="E68" t="s">
        <v>53</v>
      </c>
      <c r="F68" t="s">
        <v>133</v>
      </c>
      <c r="G68" t="str">
        <f>VLOOKUP(A:A,INVENTÁRIO_06_2025!A:A,1,0)</f>
        <v>SPRDCCTVGRU21</v>
      </c>
      <c r="H68" t="str">
        <f>VLOOKUP(A:A,INVENTÁRIO_08_2025!A:A,1,0)</f>
        <v>SPRDCCTVGRU21</v>
      </c>
    </row>
    <row r="69" spans="1:8" hidden="1">
      <c r="A69" t="s">
        <v>140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VLOOKUP(A:A,INVENTÁRIO_06_2025!A:A,1,0)</f>
        <v>SPRDCCTVGRU02</v>
      </c>
      <c r="H69" t="str">
        <f>VLOOKUP(A:A,INVENTÁRIO_08_2025!A:A,1,0)</f>
        <v>SPRDCCTVGRU02</v>
      </c>
    </row>
    <row r="70" spans="1:8" hidden="1">
      <c r="A70" t="s">
        <v>142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VLOOKUP(A:A,INVENTÁRIO_06_2025!A:A,1,0)</f>
        <v>SPRDCCTVGRU05</v>
      </c>
      <c r="H70" t="str">
        <f>VLOOKUP(A:A,INVENTÁRIO_08_2025!A:A,1,0)</f>
        <v>SPRDCCTVGRU05</v>
      </c>
    </row>
    <row r="71" spans="1:8" hidden="1">
      <c r="A71" t="s">
        <v>143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VLOOKUP(A:A,INVENTÁRIO_06_2025!A:A,1,0)</f>
        <v>SPRDCCTVGRU07</v>
      </c>
      <c r="H71" t="str">
        <f>VLOOKUP(A:A,INVENTÁRIO_08_2025!A:A,1,0)</f>
        <v>SPRDCCTVGRU07</v>
      </c>
    </row>
    <row r="72" spans="1:8" hidden="1">
      <c r="A72" t="s">
        <v>144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VLOOKUP(A:A,INVENTÁRIO_06_2025!A:A,1,0)</f>
        <v>SPRDCCTVGRU09</v>
      </c>
      <c r="H72" t="str">
        <f>VLOOKUP(A:A,INVENTÁRIO_08_2025!A:A,1,0)</f>
        <v>SPRDCCTVGRU09</v>
      </c>
    </row>
    <row r="73" spans="1:8" hidden="1">
      <c r="A73" t="s">
        <v>145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VLOOKUP(A:A,INVENTÁRIO_06_2025!A:A,1,0)</f>
        <v>SPRDCCTVGRU11</v>
      </c>
      <c r="H73" t="str">
        <f>VLOOKUP(A:A,INVENTÁRIO_08_2025!A:A,1,0)</f>
        <v>SPRDCCTVGRU11</v>
      </c>
    </row>
    <row r="74" spans="1:8" hidden="1">
      <c r="A74" t="s">
        <v>146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VLOOKUP(A:A,INVENTÁRIO_06_2025!A:A,1,0)</f>
        <v>SPRDCCTVGRU25</v>
      </c>
      <c r="H74" t="str">
        <f>VLOOKUP(A:A,INVENTÁRIO_08_2025!A:A,1,0)</f>
        <v>SPRDCCTVGRU25</v>
      </c>
    </row>
    <row r="75" spans="1:8" hidden="1">
      <c r="A75" t="s">
        <v>147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VLOOKUP(A:A,INVENTÁRIO_06_2025!A:A,1,0)</f>
        <v>SPRDCCTVGRU26</v>
      </c>
      <c r="H75" t="str">
        <f>VLOOKUP(A:A,INVENTÁRIO_08_2025!A:A,1,0)</f>
        <v>SPRDCCTVGRU26</v>
      </c>
    </row>
    <row r="76" spans="1:8" hidden="1">
      <c r="A76" t="s">
        <v>148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VLOOKUP(A:A,INVENTÁRIO_06_2025!A:A,1,0)</f>
        <v>SPRDCCTVGRU28</v>
      </c>
      <c r="H76" t="str">
        <f>VLOOKUP(A:A,INVENTÁRIO_08_2025!A:A,1,0)</f>
        <v>SPRDCCTVGRU28</v>
      </c>
    </row>
    <row r="77" spans="1:8" hidden="1">
      <c r="A77" t="s">
        <v>149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VLOOKUP(A:A,INVENTÁRIO_06_2025!A:A,1,0)</f>
        <v>SPRDCCTVGRU29</v>
      </c>
      <c r="H77" t="str">
        <f>VLOOKUP(A:A,INVENTÁRIO_08_2025!A:A,1,0)</f>
        <v>SPRDCCTVGRU29</v>
      </c>
    </row>
    <row r="78" spans="1:8" hidden="1">
      <c r="A78" t="s">
        <v>150</v>
      </c>
      <c r="B78" t="s">
        <v>61</v>
      </c>
      <c r="C78" t="s">
        <v>116</v>
      </c>
      <c r="D78" t="s">
        <v>141</v>
      </c>
      <c r="E78" t="s">
        <v>53</v>
      </c>
      <c r="F78" t="s">
        <v>133</v>
      </c>
      <c r="G78" t="str">
        <f>VLOOKUP(A:A,INVENTÁRIO_06_2025!A:A,1,0)</f>
        <v>SPRDCCTVGRU30</v>
      </c>
      <c r="H78" t="str">
        <f>VLOOKUP(A:A,INVENTÁRIO_08_2025!A:A,1,0)</f>
        <v>SPRDCCTVGRU30</v>
      </c>
    </row>
    <row r="79" spans="1:8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VLOOKUP(A:A,INVENTÁRIO_06_2025!A:A,1,0)</f>
        <v>SPRDTSQGRU01</v>
      </c>
      <c r="H79" t="str">
        <f>VLOOKUP(A:A,INVENTÁRIO_08_2025!A:A,1,0)</f>
        <v>SPRDTSQGRU01</v>
      </c>
    </row>
    <row r="80" spans="1:8" hidden="1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VLOOKUP(A:A,INVENTÁRIO_06_2025!A:A,1,0)</f>
        <v>GRUSPRDCFTV200</v>
      </c>
      <c r="H80" t="str">
        <f>VLOOKUP(A:A,INVENTÁRIO_08_2025!A:A,1,0)</f>
        <v>GRUSPRDCFTV200</v>
      </c>
    </row>
    <row r="81" spans="1:8" hidden="1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VLOOKUP(A:A,INVENTÁRIO_06_2025!A:A,1,0)</f>
        <v>GRUSPRDCFTV201</v>
      </c>
      <c r="H81" t="str">
        <f>VLOOKUP(A:A,INVENTÁRIO_08_2025!A:A,1,0)</f>
        <v>GRUSPRDCFTV201</v>
      </c>
    </row>
    <row r="82" spans="1:8" hidden="1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VLOOKUP(A:A,INVENTÁRIO_06_2025!A:A,1,0)</f>
        <v>GRUSPRDCFTV202</v>
      </c>
      <c r="H82" t="str">
        <f>VLOOKUP(A:A,INVENTÁRIO_08_2025!A:A,1,0)</f>
        <v>GRUSPRDCFTV202</v>
      </c>
    </row>
    <row r="83" spans="1:8" hidden="1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VLOOKUP(A:A,INVENTÁRIO_06_2025!A:A,1,0)</f>
        <v>GRUSPRDCFTV203</v>
      </c>
      <c r="H83" t="str">
        <f>VLOOKUP(A:A,INVENTÁRIO_08_2025!A:A,1,0)</f>
        <v>GRUSPRDCFTV203</v>
      </c>
    </row>
    <row r="84" spans="1:8" hidden="1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VLOOKUP(A:A,INVENTÁRIO_06_2025!A:A,1,0)</f>
        <v>GRUSPRDCFTV204</v>
      </c>
      <c r="H84" t="str">
        <f>VLOOKUP(A:A,INVENTÁRIO_08_2025!A:A,1,0)</f>
        <v>GRUSPRDCFTV204</v>
      </c>
    </row>
    <row r="85" spans="1:8" hidden="1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VLOOKUP(A:A,INVENTÁRIO_06_2025!A:A,1,0)</f>
        <v>GRUSPRDCFTV205</v>
      </c>
      <c r="H85" t="str">
        <f>VLOOKUP(A:A,INVENTÁRIO_08_2025!A:A,1,0)</f>
        <v>GRUSPRDCFTV205</v>
      </c>
    </row>
    <row r="86" spans="1:8" hidden="1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VLOOKUP(A:A,INVENTÁRIO_06_2025!A:A,1,0)</f>
        <v>GRUSPRDCFTV206</v>
      </c>
      <c r="H86" t="str">
        <f>VLOOKUP(A:A,INVENTÁRIO_08_2025!A:A,1,0)</f>
        <v>GRUSPRDCFTV206</v>
      </c>
    </row>
    <row r="87" spans="1:8" hidden="1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VLOOKUP(A:A,INVENTÁRIO_06_2025!A:A,1,0)</f>
        <v>GRUSPRDCFTV207</v>
      </c>
      <c r="H87" t="str">
        <f>VLOOKUP(A:A,INVENTÁRIO_08_2025!A:A,1,0)</f>
        <v>GRUSPRDCFTV207</v>
      </c>
    </row>
    <row r="88" spans="1:8" hidden="1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VLOOKUP(A:A,INVENTÁRIO_06_2025!A:A,1,0)</f>
        <v>GRUSPRDCFTV208</v>
      </c>
      <c r="H88" t="str">
        <f>VLOOKUP(A:A,INVENTÁRIO_08_2025!A:A,1,0)</f>
        <v>GRUSPRDCFTV208</v>
      </c>
    </row>
    <row r="89" spans="1:8" hidden="1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VLOOKUP(A:A,INVENTÁRIO_06_2025!A:A,1,0)</f>
        <v>GRUSPRDCFTV209</v>
      </c>
      <c r="H89" t="str">
        <f>VLOOKUP(A:A,INVENTÁRIO_08_2025!A:A,1,0)</f>
        <v>GRUSPRDCFTV209</v>
      </c>
    </row>
    <row r="90" spans="1:8" hidden="1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VLOOKUP(A:A,INVENTÁRIO_06_2025!A:A,1,0)</f>
        <v>GRUSPRDCFTV210</v>
      </c>
      <c r="H90" t="str">
        <f>VLOOKUP(A:A,INVENTÁRIO_08_2025!A:A,1,0)</f>
        <v>GRUSPRDCFTV210</v>
      </c>
    </row>
    <row r="91" spans="1:8" hidden="1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VLOOKUP(A:A,INVENTÁRIO_06_2025!A:A,1,0)</f>
        <v>GRUSPRDCFTV211</v>
      </c>
      <c r="H91" t="str">
        <f>VLOOKUP(A:A,INVENTÁRIO_08_2025!A:A,1,0)</f>
        <v>GRUSPRDCFTV211</v>
      </c>
    </row>
    <row r="92" spans="1:8" hidden="1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VLOOKUP(A:A,INVENTÁRIO_06_2025!A:A,1,0)</f>
        <v>GRUSPRDCFTV212</v>
      </c>
      <c r="H92" t="str">
        <f>VLOOKUP(A:A,INVENTÁRIO_08_2025!A:A,1,0)</f>
        <v>GRUSPRDCFTV212</v>
      </c>
    </row>
    <row r="93" spans="1:8" hidden="1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VLOOKUP(A:A,INVENTÁRIO_06_2025!A:A,1,0)</f>
        <v>GRUSPRDCFTV213</v>
      </c>
      <c r="H93" t="str">
        <f>VLOOKUP(A:A,INVENTÁRIO_08_2025!A:A,1,0)</f>
        <v>GRUSPRDCFTV213</v>
      </c>
    </row>
    <row r="94" spans="1:8" hidden="1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VLOOKUP(A:A,INVENTÁRIO_06_2025!A:A,1,0)</f>
        <v>GRUSPRDCFTV214</v>
      </c>
      <c r="H94" t="str">
        <f>VLOOKUP(A:A,INVENTÁRIO_08_2025!A:A,1,0)</f>
        <v>GRUSPRDCFTV214</v>
      </c>
    </row>
    <row r="95" spans="1:8" hidden="1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VLOOKUP(A:A,INVENTÁRIO_06_2025!A:A,1,0)</f>
        <v>GRUSPRDCFTV215</v>
      </c>
      <c r="H95" t="str">
        <f>VLOOKUP(A:A,INVENTÁRIO_08_2025!A:A,1,0)</f>
        <v>GRUSPRDCFTV215</v>
      </c>
    </row>
    <row r="96" spans="1:8" hidden="1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VLOOKUP(A:A,INVENTÁRIO_06_2025!A:A,1,0)</f>
        <v>GRUSPRDCFTV216</v>
      </c>
      <c r="H96" t="str">
        <f>VLOOKUP(A:A,INVENTÁRIO_08_2025!A:A,1,0)</f>
        <v>GRUSPRDCFTV216</v>
      </c>
    </row>
    <row r="97" spans="1:8" hidden="1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VLOOKUP(A:A,INVENTÁRIO_06_2025!A:A,1,0)</f>
        <v>GRUSPRDCFTV217</v>
      </c>
      <c r="H97" t="str">
        <f>VLOOKUP(A:A,INVENTÁRIO_08_2025!A:A,1,0)</f>
        <v>GRUSPRDCFTV217</v>
      </c>
    </row>
    <row r="98" spans="1:8" hidden="1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VLOOKUP(A:A,INVENTÁRIO_06_2025!A:A,1,0)</f>
        <v>GRUSPRDCFTV218</v>
      </c>
      <c r="H98" t="str">
        <f>VLOOKUP(A:A,INVENTÁRIO_08_2025!A:A,1,0)</f>
        <v>GRUSPRDCFTV218</v>
      </c>
    </row>
    <row r="99" spans="1:8" hidden="1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VLOOKUP(A:A,INVENTÁRIO_06_2025!A:A,1,0)</f>
        <v>GRUSPRDCFTV219</v>
      </c>
      <c r="H99" t="str">
        <f>VLOOKUP(A:A,INVENTÁRIO_08_2025!A:A,1,0)</f>
        <v>GRUSPRDCFTV219</v>
      </c>
    </row>
    <row r="100" spans="1:8" hidden="1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VLOOKUP(A:A,INVENTÁRIO_06_2025!A:A,1,0)</f>
        <v>GRUSPRDCFTV220</v>
      </c>
      <c r="H100" t="str">
        <f>VLOOKUP(A:A,INVENTÁRIO_08_2025!A:A,1,0)</f>
        <v>GRUSPRDCFTV220</v>
      </c>
    </row>
    <row r="101" spans="1:8" hidden="1">
      <c r="A101" s="15" t="s">
        <v>688</v>
      </c>
      <c r="B101" t="s">
        <v>61</v>
      </c>
      <c r="C101" t="s">
        <v>51</v>
      </c>
      <c r="D101" t="s">
        <v>85</v>
      </c>
      <c r="E101" t="s">
        <v>156</v>
      </c>
      <c r="F101" s="42" t="s">
        <v>560</v>
      </c>
      <c r="G101" t="e">
        <f>VLOOKUP(A:A,INVENTÁRIO_06_2025!A:A,1,0)</f>
        <v>#N/A</v>
      </c>
      <c r="H101" t="e">
        <f>VLOOKUP(A:A,INVENTÁRIO_08_2025!A:A,1,0)</f>
        <v>#N/A</v>
      </c>
    </row>
    <row r="102" spans="1:8" hidden="1">
      <c r="A102" s="15" t="s">
        <v>350</v>
      </c>
      <c r="B102" t="s">
        <v>61</v>
      </c>
      <c r="C102" t="s">
        <v>116</v>
      </c>
      <c r="D102" t="s">
        <v>117</v>
      </c>
      <c r="E102" t="s">
        <v>156</v>
      </c>
      <c r="F102" t="s">
        <v>560</v>
      </c>
      <c r="G102" t="str">
        <f>VLOOKUP(A:A,INVENTÁRIO_06_2025!A:A,1,0)</f>
        <v>SDESAPMNTGRU01</v>
      </c>
      <c r="H102" t="str">
        <f>VLOOKUP(A:A,INVENTÁRIO_08_2025!A:A,1,0)</f>
        <v>SDESAPMNTGRU01</v>
      </c>
    </row>
    <row r="103" spans="1:8" hidden="1">
      <c r="A103" s="15" t="s">
        <v>522</v>
      </c>
      <c r="B103" t="s">
        <v>61</v>
      </c>
      <c r="C103" t="s">
        <v>51</v>
      </c>
      <c r="D103" t="s">
        <v>85</v>
      </c>
      <c r="E103" t="s">
        <v>156</v>
      </c>
      <c r="F103" t="s">
        <v>560</v>
      </c>
      <c r="G103" t="str">
        <f>VLOOKUP(A:A,INVENTÁRIO_06_2025!A:A,1,0)</f>
        <v>SDEVAPECGRU01</v>
      </c>
      <c r="H103" t="str">
        <f>VLOOKUP(A:A,INVENTÁRIO_08_2025!A:A,1,0)</f>
        <v>SDEVAPECGRU01</v>
      </c>
    </row>
    <row r="104" spans="1:8" hidden="1">
      <c r="A104" s="15" t="s">
        <v>523</v>
      </c>
      <c r="B104" t="s">
        <v>61</v>
      </c>
      <c r="C104" t="s">
        <v>51</v>
      </c>
      <c r="D104" t="s">
        <v>85</v>
      </c>
      <c r="E104" t="s">
        <v>156</v>
      </c>
      <c r="F104" t="s">
        <v>560</v>
      </c>
      <c r="G104" t="str">
        <f>VLOOKUP(A:A,INVENTÁRIO_06_2025!A:A,1,0)</f>
        <v>SDQBDORAGRU01</v>
      </c>
      <c r="H104" t="str">
        <f>VLOOKUP(A:A,INVENTÁRIO_08_2025!A:A,1,0)</f>
        <v>SDQBDORAGRU01</v>
      </c>
    </row>
    <row r="105" spans="1:8" hidden="1">
      <c r="A105" s="15" t="s">
        <v>524</v>
      </c>
      <c r="B105" t="s">
        <v>61</v>
      </c>
      <c r="C105" t="s">
        <v>51</v>
      </c>
      <c r="D105" t="s">
        <v>85</v>
      </c>
      <c r="E105" t="s">
        <v>156</v>
      </c>
      <c r="F105" t="s">
        <v>560</v>
      </c>
      <c r="G105" t="str">
        <f>VLOOKUP(A:A,INVENTÁRIO_06_2025!A:A,1,0)</f>
        <v>SDQBDORAGRU02</v>
      </c>
      <c r="H105" t="str">
        <f>VLOOKUP(A:A,INVENTÁRIO_08_2025!A:A,1,0)</f>
        <v>SDQBDORAGRU02</v>
      </c>
    </row>
    <row r="106" spans="1:8" hidden="1">
      <c r="A106" s="15" t="s">
        <v>409</v>
      </c>
      <c r="B106" t="s">
        <v>61</v>
      </c>
      <c r="C106" t="s">
        <v>116</v>
      </c>
      <c r="D106" t="s">
        <v>174</v>
      </c>
      <c r="E106" t="s">
        <v>156</v>
      </c>
      <c r="F106" t="s">
        <v>560</v>
      </c>
      <c r="G106" t="str">
        <f>VLOOKUP(A:A,INVENTÁRIO_06_2025!A:A,1,0)</f>
        <v>SDQOEMCWGRU01</v>
      </c>
      <c r="H106" t="str">
        <f>VLOOKUP(A:A,INVENTÁRIO_08_2025!A:A,1,0)</f>
        <v>SDQOEMCWGRU01</v>
      </c>
    </row>
    <row r="107" spans="1:8" hidden="1">
      <c r="A107" s="15" t="s">
        <v>655</v>
      </c>
      <c r="B107" t="s">
        <v>61</v>
      </c>
      <c r="C107" t="s">
        <v>116</v>
      </c>
      <c r="D107" t="s">
        <v>572</v>
      </c>
      <c r="E107" t="s">
        <v>156</v>
      </c>
      <c r="F107" t="s">
        <v>560</v>
      </c>
      <c r="G107" t="str">
        <f>VLOOKUP(A:A,INVENTÁRIO_06_2025!A:A,1,0)</f>
        <v>SHOMADGRU001</v>
      </c>
      <c r="H107" t="str">
        <f>VLOOKUP(A:A,INVENTÁRIO_08_2025!A:A,1,0)</f>
        <v>SHOMADGRU001</v>
      </c>
    </row>
    <row r="108" spans="1:8" hidden="1">
      <c r="A108" s="15" t="s">
        <v>656</v>
      </c>
      <c r="B108" t="s">
        <v>50</v>
      </c>
      <c r="C108" t="s">
        <v>116</v>
      </c>
      <c r="D108" t="s">
        <v>572</v>
      </c>
      <c r="E108" t="s">
        <v>156</v>
      </c>
      <c r="F108" t="s">
        <v>560</v>
      </c>
      <c r="G108" t="str">
        <f>VLOOKUP(A:A,INVENTÁRIO_06_2025!A:A,1,0)</f>
        <v>SHOMADGRU002</v>
      </c>
      <c r="H108" t="str">
        <f>VLOOKUP(A:A,INVENTÁRIO_08_2025!A:A,1,0)</f>
        <v>SHOMADGRU002</v>
      </c>
    </row>
    <row r="109" spans="1:8" hidden="1">
      <c r="A109" s="15" t="s">
        <v>658</v>
      </c>
      <c r="B109" t="s">
        <v>61</v>
      </c>
      <c r="C109" t="s">
        <v>116</v>
      </c>
      <c r="D109" t="s">
        <v>572</v>
      </c>
      <c r="E109" t="s">
        <v>156</v>
      </c>
      <c r="F109" t="s">
        <v>560</v>
      </c>
      <c r="G109" t="str">
        <f>VLOOKUP(A:A,INVENTÁRIO_06_2025!A:A,1,0)</f>
        <v>SHOMADGRU003</v>
      </c>
      <c r="H109" t="str">
        <f>VLOOKUP(A:A,INVENTÁRIO_08_2025!A:A,1,0)</f>
        <v>SHOMADGRU003</v>
      </c>
    </row>
    <row r="110" spans="1:8" hidden="1">
      <c r="A110" s="15" t="s">
        <v>410</v>
      </c>
      <c r="B110" t="s">
        <v>61</v>
      </c>
      <c r="C110" t="s">
        <v>116</v>
      </c>
      <c r="D110" t="s">
        <v>174</v>
      </c>
      <c r="E110" t="s">
        <v>156</v>
      </c>
      <c r="F110" t="s">
        <v>560</v>
      </c>
      <c r="G110" t="str">
        <f>VLOOKUP(A:A,INVENTÁRIO_06_2025!A:A,1,0)</f>
        <v>SHOMADGRU01</v>
      </c>
      <c r="H110" t="str">
        <f>VLOOKUP(A:A,INVENTÁRIO_08_2025!A:A,1,0)</f>
        <v>SHOMADGRU01</v>
      </c>
    </row>
    <row r="111" spans="1:8" hidden="1">
      <c r="A111" s="15" t="s">
        <v>561</v>
      </c>
      <c r="B111" t="s">
        <v>50</v>
      </c>
      <c r="C111" t="s">
        <v>116</v>
      </c>
      <c r="D111" t="s">
        <v>562</v>
      </c>
      <c r="E111" t="s">
        <v>156</v>
      </c>
      <c r="F111" t="s">
        <v>560</v>
      </c>
      <c r="G111" t="str">
        <f>VLOOKUP(A:A,INVENTÁRIO_06_2025!A:A,1,0)</f>
        <v>SHOMADGRU02</v>
      </c>
      <c r="H111" t="str">
        <f>VLOOKUP(A:A,INVENTÁRIO_08_2025!A:A,1,0)</f>
        <v>SHOMADGRU02</v>
      </c>
    </row>
    <row r="112" spans="1:8" hidden="1">
      <c r="A112" s="15" t="s">
        <v>351</v>
      </c>
      <c r="B112" t="s">
        <v>61</v>
      </c>
      <c r="C112" t="s">
        <v>116</v>
      </c>
      <c r="D112" t="s">
        <v>163</v>
      </c>
      <c r="E112" t="s">
        <v>156</v>
      </c>
      <c r="F112" t="s">
        <v>560</v>
      </c>
      <c r="G112" t="str">
        <f>VLOOKUP(A:A,INVENTÁRIO_06_2025!A:A,1,0)</f>
        <v>SHOMAPAMSGRU01</v>
      </c>
      <c r="H112" t="str">
        <f>VLOOKUP(A:A,INVENTÁRIO_08_2025!A:A,1,0)</f>
        <v>SHOMAPAMSGRU01</v>
      </c>
    </row>
    <row r="113" spans="1:8" hidden="1">
      <c r="A113" s="15" t="s">
        <v>352</v>
      </c>
      <c r="B113" t="s">
        <v>61</v>
      </c>
      <c r="C113" t="s">
        <v>116</v>
      </c>
      <c r="D113" t="s">
        <v>163</v>
      </c>
      <c r="E113" t="s">
        <v>156</v>
      </c>
      <c r="F113" t="s">
        <v>560</v>
      </c>
      <c r="G113" t="str">
        <f>VLOOKUP(A:A,INVENTÁRIO_06_2025!A:A,1,0)</f>
        <v>SHOMAPAMSGRU02</v>
      </c>
      <c r="H113" t="str">
        <f>VLOOKUP(A:A,INVENTÁRIO_08_2025!A:A,1,0)</f>
        <v>SHOMAPAMSGRU02</v>
      </c>
    </row>
    <row r="114" spans="1:8" hidden="1">
      <c r="A114" s="15" t="s">
        <v>411</v>
      </c>
      <c r="B114" t="s">
        <v>61</v>
      </c>
      <c r="C114" t="s">
        <v>116</v>
      </c>
      <c r="D114" t="s">
        <v>174</v>
      </c>
      <c r="E114" t="s">
        <v>156</v>
      </c>
      <c r="F114" t="s">
        <v>560</v>
      </c>
      <c r="G114" t="str">
        <f>VLOOKUP(A:A,INVENTÁRIO_06_2025!A:A,1,0)</f>
        <v>SHOMAPAMSWGRU01</v>
      </c>
      <c r="H114" t="str">
        <f>VLOOKUP(A:A,INVENTÁRIO_08_2025!A:A,1,0)</f>
        <v>SHOMAPAMSWGRU01</v>
      </c>
    </row>
    <row r="115" spans="1:8" hidden="1">
      <c r="A115" s="15" t="s">
        <v>563</v>
      </c>
      <c r="B115" t="s">
        <v>61</v>
      </c>
      <c r="C115" t="s">
        <v>116</v>
      </c>
      <c r="D115" t="s">
        <v>562</v>
      </c>
      <c r="E115" t="s">
        <v>156</v>
      </c>
      <c r="F115" t="s">
        <v>560</v>
      </c>
      <c r="G115" t="str">
        <f>VLOOKUP(A:A,INVENTÁRIO_06_2025!A:A,1,0)</f>
        <v>SHOMAPBCBPGRU01</v>
      </c>
      <c r="H115" t="str">
        <f>VLOOKUP(A:A,INVENTÁRIO_08_2025!A:A,1,0)</f>
        <v>SHOMAPBCBPGRU01</v>
      </c>
    </row>
    <row r="116" spans="1:8" hidden="1">
      <c r="A116" s="15" t="s">
        <v>614</v>
      </c>
      <c r="B116" t="s">
        <v>61</v>
      </c>
      <c r="C116" t="s">
        <v>116</v>
      </c>
      <c r="D116" t="s">
        <v>562</v>
      </c>
      <c r="E116" t="s">
        <v>156</v>
      </c>
      <c r="F116" t="s">
        <v>560</v>
      </c>
      <c r="G116" t="str">
        <f>VLOOKUP(A:A,INVENTÁRIO_06_2025!A:A,1,0)</f>
        <v>SHOMAPBCBPGRU02</v>
      </c>
      <c r="H116" t="str">
        <f>VLOOKUP(A:A,INVENTÁRIO_08_2025!A:A,1,0)</f>
        <v>SHOMAPBCBPGRU02</v>
      </c>
    </row>
    <row r="117" spans="1:8" hidden="1">
      <c r="A117" s="15" t="s">
        <v>528</v>
      </c>
      <c r="B117" t="s">
        <v>61</v>
      </c>
      <c r="C117" t="s">
        <v>51</v>
      </c>
      <c r="D117" t="s">
        <v>109</v>
      </c>
      <c r="E117" t="s">
        <v>156</v>
      </c>
      <c r="F117" t="s">
        <v>560</v>
      </c>
      <c r="G117" t="str">
        <f>VLOOKUP(A:A,INVENTÁRIO_06_2025!A:A,1,0)</f>
        <v>SHOMAPCMSGRU03</v>
      </c>
      <c r="H117" t="str">
        <f>VLOOKUP(A:A,INVENTÁRIO_08_2025!A:A,1,0)</f>
        <v>SHOMAPCMSGRU03</v>
      </c>
    </row>
    <row r="118" spans="1:8" hidden="1">
      <c r="A118" s="15" t="s">
        <v>564</v>
      </c>
      <c r="B118" t="s">
        <v>61</v>
      </c>
      <c r="C118" t="s">
        <v>116</v>
      </c>
      <c r="D118" t="s">
        <v>562</v>
      </c>
      <c r="E118" t="s">
        <v>156</v>
      </c>
      <c r="F118" t="s">
        <v>560</v>
      </c>
      <c r="G118" t="str">
        <f>VLOOKUP(A:A,INVENTÁRIO_06_2025!A:A,1,0)</f>
        <v>SHOMAPCMSGRU05</v>
      </c>
      <c r="H118" t="str">
        <f>VLOOKUP(A:A,INVENTÁRIO_08_2025!A:A,1,0)</f>
        <v>SHOMAPCMSGRU05</v>
      </c>
    </row>
    <row r="119" spans="1:8" hidden="1">
      <c r="A119" s="15" t="s">
        <v>617</v>
      </c>
      <c r="B119" t="s">
        <v>61</v>
      </c>
      <c r="C119" t="s">
        <v>51</v>
      </c>
      <c r="D119" t="s">
        <v>295</v>
      </c>
      <c r="E119" t="s">
        <v>156</v>
      </c>
      <c r="F119" t="s">
        <v>560</v>
      </c>
      <c r="G119" t="e">
        <f>VLOOKUP(A:A,INVENTÁRIO_06_2025!A:A,1,0)</f>
        <v>#N/A</v>
      </c>
      <c r="H119" t="str">
        <f>VLOOKUP(A:A,INVENTÁRIO_08_2025!A:A,1,0)</f>
        <v>SHOMAPCUPSGRU01</v>
      </c>
    </row>
    <row r="120" spans="1:8" hidden="1">
      <c r="A120" s="15" t="s">
        <v>514</v>
      </c>
      <c r="B120" t="s">
        <v>61</v>
      </c>
      <c r="C120" t="s">
        <v>116</v>
      </c>
      <c r="D120" t="s">
        <v>572</v>
      </c>
      <c r="E120" t="s">
        <v>156</v>
      </c>
      <c r="F120" t="s">
        <v>560</v>
      </c>
      <c r="G120" t="str">
        <f>VLOOKUP(A:A,INVENTÁRIO_06_2025!A:A,1,0)</f>
        <v>SHOMAPESBGRU07</v>
      </c>
      <c r="H120" t="str">
        <f>VLOOKUP(A:A,INVENTÁRIO_08_2025!A:A,1,0)</f>
        <v>SHOMAPESBGRU07</v>
      </c>
    </row>
    <row r="121" spans="1:8" hidden="1">
      <c r="A121" s="15" t="s">
        <v>618</v>
      </c>
      <c r="B121" t="s">
        <v>61</v>
      </c>
      <c r="C121" t="s">
        <v>51</v>
      </c>
      <c r="D121" t="s">
        <v>295</v>
      </c>
      <c r="E121" t="s">
        <v>156</v>
      </c>
      <c r="F121" t="s">
        <v>560</v>
      </c>
      <c r="G121" t="str">
        <f>VLOOKUP(A:A,INVENTÁRIO_06_2025!A:A,1,0)</f>
        <v>SHOMAPGPROGRU01</v>
      </c>
      <c r="H121" t="str">
        <f>VLOOKUP(A:A,INVENTÁRIO_08_2025!A:A,1,0)</f>
        <v>SHOMAPGPROGRU01</v>
      </c>
    </row>
    <row r="122" spans="1:8" hidden="1">
      <c r="A122" s="15" t="s">
        <v>529</v>
      </c>
      <c r="B122" t="s">
        <v>61</v>
      </c>
      <c r="C122" t="s">
        <v>51</v>
      </c>
      <c r="D122" t="s">
        <v>295</v>
      </c>
      <c r="E122" t="s">
        <v>156</v>
      </c>
      <c r="F122" t="s">
        <v>560</v>
      </c>
      <c r="G122" t="str">
        <f>VLOOKUP(A:A,INVENTÁRIO_06_2025!A:A,1,0)</f>
        <v>SHOMAPIHSGRU02</v>
      </c>
      <c r="H122" t="str">
        <f>VLOOKUP(A:A,INVENTÁRIO_08_2025!A:A,1,0)</f>
        <v>SHOMAPIHSGRU02</v>
      </c>
    </row>
    <row r="123" spans="1:8" hidden="1">
      <c r="A123" s="15" t="s">
        <v>353</v>
      </c>
      <c r="B123" t="s">
        <v>61</v>
      </c>
      <c r="C123" t="s">
        <v>116</v>
      </c>
      <c r="D123" t="s">
        <v>122</v>
      </c>
      <c r="E123" t="s">
        <v>156</v>
      </c>
      <c r="F123" t="s">
        <v>560</v>
      </c>
      <c r="G123" t="str">
        <f>VLOOKUP(A:A,INVENTÁRIO_06_2025!A:A,1,0)</f>
        <v>SHOMAPITLGRU01</v>
      </c>
      <c r="H123" t="str">
        <f>VLOOKUP(A:A,INVENTÁRIO_08_2025!A:A,1,0)</f>
        <v>SHOMAPITLGRU01</v>
      </c>
    </row>
    <row r="124" spans="1:8" hidden="1">
      <c r="A124" s="15" t="s">
        <v>619</v>
      </c>
      <c r="B124" t="s">
        <v>61</v>
      </c>
      <c r="C124" t="s">
        <v>51</v>
      </c>
      <c r="D124" t="s">
        <v>295</v>
      </c>
      <c r="E124" t="s">
        <v>156</v>
      </c>
      <c r="F124" t="s">
        <v>560</v>
      </c>
      <c r="G124" t="str">
        <f>VLOOKUP(A:A,INVENTÁRIO_06_2025!A:A,1,0)</f>
        <v>SHOMAPPHPIGRU01</v>
      </c>
      <c r="H124" t="e">
        <f>VLOOKUP(A:A,INVENTÁRIO_08_2025!A:A,1,0)</f>
        <v>#N/A</v>
      </c>
    </row>
    <row r="125" spans="1:8" hidden="1">
      <c r="A125" s="15" t="s">
        <v>648</v>
      </c>
      <c r="B125" t="s">
        <v>61</v>
      </c>
      <c r="C125" t="s">
        <v>51</v>
      </c>
      <c r="D125" t="s">
        <v>111</v>
      </c>
      <c r="E125" t="s">
        <v>156</v>
      </c>
      <c r="F125" t="s">
        <v>560</v>
      </c>
      <c r="G125" t="str">
        <f>VLOOKUP(A:A,INVENTÁRIO_06_2025!A:A,1,0)</f>
        <v>SHOMAPPOSTGRU01</v>
      </c>
      <c r="H125" t="str">
        <f>VLOOKUP(A:A,INVENTÁRIO_08_2025!A:A,1,0)</f>
        <v>SHOMAPPOSTGRU01</v>
      </c>
    </row>
    <row r="126" spans="1:8" hidden="1">
      <c r="A126" s="15" t="s">
        <v>354</v>
      </c>
      <c r="B126" t="s">
        <v>61</v>
      </c>
      <c r="C126" t="s">
        <v>116</v>
      </c>
      <c r="D126" t="s">
        <v>163</v>
      </c>
      <c r="E126" t="s">
        <v>156</v>
      </c>
      <c r="F126" t="s">
        <v>560</v>
      </c>
      <c r="G126" t="str">
        <f>VLOOKUP(A:A,INVENTÁRIO_06_2025!A:A,1,0)</f>
        <v>SHOMAPPTCAGRU01</v>
      </c>
      <c r="H126" t="str">
        <f>VLOOKUP(A:A,INVENTÁRIO_08_2025!A:A,1,0)</f>
        <v>SHOMAPPTCAGRU01</v>
      </c>
    </row>
    <row r="127" spans="1:8" hidden="1">
      <c r="A127" s="15" t="s">
        <v>565</v>
      </c>
      <c r="B127" t="s">
        <v>61</v>
      </c>
      <c r="C127" t="s">
        <v>116</v>
      </c>
      <c r="D127" t="s">
        <v>562</v>
      </c>
      <c r="E127" t="s">
        <v>156</v>
      </c>
      <c r="F127" t="s">
        <v>560</v>
      </c>
      <c r="G127" t="str">
        <f>VLOOKUP(A:A,INVENTÁRIO_06_2025!A:A,1,0)</f>
        <v>SHOMAPRIMAGRU01</v>
      </c>
      <c r="H127" t="str">
        <f>VLOOKUP(A:A,INVENTÁRIO_08_2025!A:A,1,0)</f>
        <v>SHOMAPRIMAGRU01</v>
      </c>
    </row>
    <row r="128" spans="1:8" hidden="1">
      <c r="A128" s="15" t="s">
        <v>455</v>
      </c>
      <c r="B128" t="s">
        <v>61</v>
      </c>
      <c r="C128" t="s">
        <v>116</v>
      </c>
      <c r="D128" t="s">
        <v>242</v>
      </c>
      <c r="E128" t="s">
        <v>156</v>
      </c>
      <c r="F128" t="s">
        <v>560</v>
      </c>
      <c r="G128" t="str">
        <f>VLOOKUP(A:A,INVENTÁRIO_06_2025!A:A,1,0)</f>
        <v>SHOMBDCMSGRU01</v>
      </c>
      <c r="H128" t="str">
        <f>VLOOKUP(A:A,INVENTÁRIO_08_2025!A:A,1,0)</f>
        <v>SHOMBDCMSGRU01</v>
      </c>
    </row>
    <row r="129" spans="1:8" hidden="1">
      <c r="A129" s="15" t="s">
        <v>689</v>
      </c>
      <c r="B129" t="s">
        <v>61</v>
      </c>
      <c r="C129" t="s">
        <v>116</v>
      </c>
      <c r="D129" t="s">
        <v>562</v>
      </c>
      <c r="E129" t="s">
        <v>156</v>
      </c>
      <c r="F129" s="42" t="s">
        <v>560</v>
      </c>
      <c r="G129" t="e">
        <f>VLOOKUP(A:A,INVENTÁRIO_06_2025!A:A,1,0)</f>
        <v>#N/A</v>
      </c>
      <c r="H129" t="str">
        <f>VLOOKUP(A:A,INVENTÁRIO_08_2025!A:A,1,0)</f>
        <v>SHOMBDGRU11</v>
      </c>
    </row>
    <row r="130" spans="1:8" hidden="1">
      <c r="A130" s="15" t="s">
        <v>674</v>
      </c>
      <c r="B130" t="s">
        <v>61</v>
      </c>
      <c r="C130" t="s">
        <v>51</v>
      </c>
      <c r="D130" t="s">
        <v>85</v>
      </c>
      <c r="E130" t="s">
        <v>156</v>
      </c>
      <c r="F130" t="s">
        <v>560</v>
      </c>
      <c r="G130" t="str">
        <f>VLOOKUP(A:A,INVENTÁRIO_06_2025!A:A,1,0)</f>
        <v>SHOMSAPNWGRU01</v>
      </c>
      <c r="H130" t="str">
        <f>VLOOKUP(A:A,INVENTÁRIO_08_2025!A:A,1,0)</f>
        <v>SHOMSAPNWGRU01</v>
      </c>
    </row>
    <row r="131" spans="1:8" hidden="1">
      <c r="A131" s="15" t="s">
        <v>456</v>
      </c>
      <c r="B131" t="s">
        <v>61</v>
      </c>
      <c r="C131" t="s">
        <v>116</v>
      </c>
      <c r="D131" t="s">
        <v>242</v>
      </c>
      <c r="E131" t="s">
        <v>156</v>
      </c>
      <c r="F131" t="s">
        <v>560</v>
      </c>
      <c r="G131" t="str">
        <f>VLOOKUP(A:A,INVENTÁRIO_06_2025!A:A,1,0)</f>
        <v>SHOMTEMPGRU01</v>
      </c>
      <c r="H131" t="str">
        <f>VLOOKUP(A:A,INVENTÁRIO_08_2025!A:A,1,0)</f>
        <v>SHOMTEMPGRU01</v>
      </c>
    </row>
    <row r="132" spans="1:8" hidden="1">
      <c r="A132" s="15" t="s">
        <v>530</v>
      </c>
      <c r="B132" t="s">
        <v>61</v>
      </c>
      <c r="C132" t="s">
        <v>51</v>
      </c>
      <c r="D132" t="s">
        <v>109</v>
      </c>
      <c r="E132" t="s">
        <v>156</v>
      </c>
      <c r="F132" t="s">
        <v>560</v>
      </c>
      <c r="G132" t="str">
        <f>VLOOKUP(A:A,INVENTÁRIO_06_2025!A:A,1,0)</f>
        <v>SHOMWBCMSGRU01</v>
      </c>
      <c r="H132" t="str">
        <f>VLOOKUP(A:A,INVENTÁRIO_08_2025!A:A,1,0)</f>
        <v>SHOMWBCMSGRU01</v>
      </c>
    </row>
    <row r="133" spans="1:8" hidden="1">
      <c r="A133" s="15" t="s">
        <v>696</v>
      </c>
      <c r="B133" t="s">
        <v>61</v>
      </c>
      <c r="C133" t="s">
        <v>116</v>
      </c>
      <c r="D133" t="s">
        <v>163</v>
      </c>
      <c r="E133" t="s">
        <v>156</v>
      </c>
      <c r="F133" t="s">
        <v>560</v>
      </c>
      <c r="G133" t="e">
        <f>VLOOKUP(A:A,INVENTÁRIO_06_2025!A:A,1,0)</f>
        <v>#N/A</v>
      </c>
      <c r="H133" t="str">
        <f>VLOOKUP(A:A,INVENTÁRIO_08_2025!A:A,1,0)</f>
        <v>SIAS1-GRU</v>
      </c>
    </row>
    <row r="134" spans="1:8" hidden="1">
      <c r="A134" s="15" t="s">
        <v>412</v>
      </c>
      <c r="B134" t="s">
        <v>61</v>
      </c>
      <c r="C134" t="s">
        <v>116</v>
      </c>
      <c r="D134" t="s">
        <v>174</v>
      </c>
      <c r="E134" t="s">
        <v>156</v>
      </c>
      <c r="F134" t="s">
        <v>560</v>
      </c>
      <c r="G134" t="str">
        <f>VLOOKUP(A:A,INVENTÁRIO_06_2025!A:A,1,0)</f>
        <v>SPRDACSINV01</v>
      </c>
      <c r="H134" t="str">
        <f>VLOOKUP(A:A,INVENTÁRIO_08_2025!A:A,1,0)</f>
        <v>SPRDACSINV01</v>
      </c>
    </row>
    <row r="135" spans="1:8" hidden="1">
      <c r="A135" s="15" t="s">
        <v>358</v>
      </c>
      <c r="B135" t="s">
        <v>61</v>
      </c>
      <c r="C135" t="s">
        <v>116</v>
      </c>
      <c r="D135" t="s">
        <v>117</v>
      </c>
      <c r="E135" t="s">
        <v>156</v>
      </c>
      <c r="F135" t="s">
        <v>560</v>
      </c>
      <c r="G135" t="str">
        <f>VLOOKUP(A:A,INVENTÁRIO_06_2025!A:A,1,0)</f>
        <v>SPRDAPACSGRU01</v>
      </c>
      <c r="H135" t="str">
        <f>VLOOKUP(A:A,INVENTÁRIO_08_2025!A:A,1,0)</f>
        <v>SPRDAPACSGRU01</v>
      </c>
    </row>
    <row r="136" spans="1:8" hidden="1">
      <c r="A136" s="46" t="s">
        <v>413</v>
      </c>
      <c r="B136" t="s">
        <v>50</v>
      </c>
      <c r="C136" t="s">
        <v>116</v>
      </c>
      <c r="D136" t="s">
        <v>126</v>
      </c>
      <c r="E136" t="s">
        <v>156</v>
      </c>
      <c r="F136" s="42" t="s">
        <v>75</v>
      </c>
      <c r="G136" t="str">
        <f>VLOOKUP(A:A,INVENTÁRIO_06_2025!A:A,1,0)</f>
        <v>SPRDAPAGPMGRU01</v>
      </c>
      <c r="H136" t="str">
        <f>VLOOKUP(A:A,INVENTÁRIO_08_2025!A:A,1,0)</f>
        <v>SPRDAPAGPMGRU01</v>
      </c>
    </row>
    <row r="137" spans="1:8" hidden="1">
      <c r="A137" s="15" t="s">
        <v>457</v>
      </c>
      <c r="B137" t="s">
        <v>61</v>
      </c>
      <c r="C137" t="s">
        <v>116</v>
      </c>
      <c r="D137" t="s">
        <v>425</v>
      </c>
      <c r="E137" t="s">
        <v>156</v>
      </c>
      <c r="F137" t="s">
        <v>560</v>
      </c>
      <c r="G137" t="str">
        <f>VLOOKUP(A:A,INVENTÁRIO_06_2025!A:A,1,0)</f>
        <v>SPRDAPATEGRU01</v>
      </c>
      <c r="H137" t="str">
        <f>VLOOKUP(A:A,INVENTÁRIO_08_2025!A:A,1,0)</f>
        <v>SPRDAPATEGRU01</v>
      </c>
    </row>
    <row r="138" spans="1:8" hidden="1">
      <c r="A138" s="15" t="s">
        <v>415</v>
      </c>
      <c r="B138" t="s">
        <v>61</v>
      </c>
      <c r="C138" t="s">
        <v>116</v>
      </c>
      <c r="D138" t="s">
        <v>126</v>
      </c>
      <c r="E138" t="s">
        <v>156</v>
      </c>
      <c r="F138" t="s">
        <v>560</v>
      </c>
      <c r="G138" t="str">
        <f>VLOOKUP(A:A,INVENTÁRIO_06_2025!A:A,1,0)</f>
        <v>SPRDAPATKGRU01</v>
      </c>
      <c r="H138" t="str">
        <f>VLOOKUP(A:A,INVENTÁRIO_08_2025!A:A,1,0)</f>
        <v>SPRDAPATKGRU01</v>
      </c>
    </row>
    <row r="139" spans="1:8" hidden="1">
      <c r="A139" s="15" t="s">
        <v>458</v>
      </c>
      <c r="B139" t="s">
        <v>61</v>
      </c>
      <c r="C139" t="s">
        <v>116</v>
      </c>
      <c r="D139" t="s">
        <v>425</v>
      </c>
      <c r="E139" t="s">
        <v>156</v>
      </c>
      <c r="F139" t="s">
        <v>560</v>
      </c>
      <c r="G139" t="str">
        <f>VLOOKUP(A:A,INVENTÁRIO_06_2025!A:A,1,0)</f>
        <v>SPRDAPBBGRU01</v>
      </c>
      <c r="H139" t="str">
        <f>VLOOKUP(A:A,INVENTÁRIO_08_2025!A:A,1,0)</f>
        <v>SPRDAPBBGRU01</v>
      </c>
    </row>
    <row r="140" spans="1:8" hidden="1">
      <c r="A140" s="15" t="s">
        <v>416</v>
      </c>
      <c r="B140" t="s">
        <v>61</v>
      </c>
      <c r="C140" t="s">
        <v>116</v>
      </c>
      <c r="D140" t="s">
        <v>671</v>
      </c>
      <c r="E140" t="s">
        <v>156</v>
      </c>
      <c r="F140" t="s">
        <v>560</v>
      </c>
      <c r="G140" t="str">
        <f>VLOOKUP(A:A,INVENTÁRIO_06_2025!A:A,1,0)</f>
        <v>SPRDAPBHSGRU01</v>
      </c>
      <c r="H140" t="str">
        <f>VLOOKUP(A:A,INVENTÁRIO_08_2025!A:A,1,0)</f>
        <v>SPRDAPBHSGRU01</v>
      </c>
    </row>
    <row r="141" spans="1:8" hidden="1">
      <c r="A141" s="15" t="s">
        <v>459</v>
      </c>
      <c r="B141" t="s">
        <v>61</v>
      </c>
      <c r="C141" t="s">
        <v>116</v>
      </c>
      <c r="D141" t="s">
        <v>141</v>
      </c>
      <c r="E141" t="s">
        <v>156</v>
      </c>
      <c r="F141" t="s">
        <v>560</v>
      </c>
      <c r="G141" t="str">
        <f>VLOOKUP(A:A,INVENTÁRIO_06_2025!A:A,1,0)</f>
        <v>SPRDAPBHSGRU02</v>
      </c>
      <c r="H141" t="str">
        <f>VLOOKUP(A:A,INVENTÁRIO_08_2025!A:A,1,0)</f>
        <v>SPRDAPBHSGRU02</v>
      </c>
    </row>
    <row r="142" spans="1:8" hidden="1">
      <c r="A142" s="15" t="s">
        <v>460</v>
      </c>
      <c r="B142" t="s">
        <v>61</v>
      </c>
      <c r="C142" t="s">
        <v>116</v>
      </c>
      <c r="D142" t="s">
        <v>141</v>
      </c>
      <c r="E142" t="s">
        <v>156</v>
      </c>
      <c r="F142" t="s">
        <v>560</v>
      </c>
      <c r="G142" t="str">
        <f>VLOOKUP(A:A,INVENTÁRIO_06_2025!A:A,1,0)</f>
        <v>SPRDAPBHSGRU03</v>
      </c>
      <c r="H142" t="str">
        <f>VLOOKUP(A:A,INVENTÁRIO_08_2025!A:A,1,0)</f>
        <v>SPRDAPBHSGRU03</v>
      </c>
    </row>
    <row r="143" spans="1:8" hidden="1">
      <c r="A143" s="15" t="s">
        <v>461</v>
      </c>
      <c r="B143" t="s">
        <v>61</v>
      </c>
      <c r="C143" t="s">
        <v>116</v>
      </c>
      <c r="D143" t="s">
        <v>425</v>
      </c>
      <c r="E143" t="s">
        <v>156</v>
      </c>
      <c r="F143" t="s">
        <v>560</v>
      </c>
      <c r="G143" t="str">
        <f>VLOOKUP(A:A,INVENTÁRIO_06_2025!A:A,1,0)</f>
        <v>SPRDAPBMSGRU02</v>
      </c>
      <c r="H143" t="str">
        <f>VLOOKUP(A:A,INVENTÁRIO_08_2025!A:A,1,0)</f>
        <v>SPRDAPBMSGRU02</v>
      </c>
    </row>
    <row r="144" spans="1:8">
      <c r="A144" s="15" t="s">
        <v>123</v>
      </c>
      <c r="B144" t="s">
        <v>61</v>
      </c>
      <c r="C144" t="s">
        <v>116</v>
      </c>
      <c r="D144" t="s">
        <v>122</v>
      </c>
      <c r="E144" t="s">
        <v>156</v>
      </c>
      <c r="F144" t="s">
        <v>560</v>
      </c>
      <c r="G144" t="str">
        <f>VLOOKUP(A:A,INVENTÁRIO_06_2025!A:A,1,0)</f>
        <v>SPRDAPBMSGRUA</v>
      </c>
      <c r="H144" t="str">
        <f>VLOOKUP(A:A,INVENTÁRIO_08_2025!A:A,1,0)</f>
        <v>SPRDAPBMSGRUA</v>
      </c>
    </row>
    <row r="145" spans="1:8" hidden="1">
      <c r="A145" t="s">
        <v>361</v>
      </c>
      <c r="B145" t="s">
        <v>61</v>
      </c>
      <c r="C145" t="s">
        <v>116</v>
      </c>
      <c r="D145" t="s">
        <v>122</v>
      </c>
      <c r="E145" t="s">
        <v>156</v>
      </c>
      <c r="F145" s="42" t="s">
        <v>75</v>
      </c>
      <c r="G145" t="str">
        <f>VLOOKUP(A:A,INVENTÁRIO_06_2025!A:A,1,0)</f>
        <v>SPRDAPBMSGRUB</v>
      </c>
      <c r="H145" t="str">
        <f>VLOOKUP(A:A,INVENTÁRIO_08_2025!A:A,1,0)</f>
        <v>SPRDAPBMSGRUB</v>
      </c>
    </row>
    <row r="146" spans="1:8" hidden="1">
      <c r="A146" s="15" t="s">
        <v>417</v>
      </c>
      <c r="B146" t="s">
        <v>61</v>
      </c>
      <c r="C146" t="s">
        <v>116</v>
      </c>
      <c r="D146" t="s">
        <v>136</v>
      </c>
      <c r="E146" t="s">
        <v>156</v>
      </c>
      <c r="F146" t="s">
        <v>560</v>
      </c>
      <c r="G146" t="str">
        <f>VLOOKUP(A:A,INVENTÁRIO_06_2025!A:A,1,0)</f>
        <v>SPRDAPBROGRU01</v>
      </c>
      <c r="H146" t="str">
        <f>VLOOKUP(A:A,INVENTÁRIO_08_2025!A:A,1,0)</f>
        <v>SPRDAPBROGRU01</v>
      </c>
    </row>
    <row r="147" spans="1:8" hidden="1">
      <c r="A147" s="15" t="s">
        <v>418</v>
      </c>
      <c r="B147" t="s">
        <v>61</v>
      </c>
      <c r="C147" t="s">
        <v>116</v>
      </c>
      <c r="D147" t="s">
        <v>419</v>
      </c>
      <c r="E147" t="s">
        <v>156</v>
      </c>
      <c r="F147" t="s">
        <v>560</v>
      </c>
      <c r="G147" t="str">
        <f>VLOOKUP(A:A,INVENTÁRIO_06_2025!A:A,1,0)</f>
        <v>SPRDAPCCGRU01</v>
      </c>
      <c r="H147" t="str">
        <f>VLOOKUP(A:A,INVENTÁRIO_08_2025!A:A,1,0)</f>
        <v>SPRDAPCCGRU01</v>
      </c>
    </row>
    <row r="148" spans="1:8" hidden="1">
      <c r="A148" s="15" t="s">
        <v>336</v>
      </c>
      <c r="B148" t="s">
        <v>61</v>
      </c>
      <c r="C148" t="s">
        <v>116</v>
      </c>
      <c r="D148" t="s">
        <v>337</v>
      </c>
      <c r="E148" t="s">
        <v>156</v>
      </c>
      <c r="F148" t="s">
        <v>560</v>
      </c>
      <c r="G148" t="str">
        <f>VLOOKUP(A:A,INVENTÁRIO_06_2025!A:A,1,0)</f>
        <v>SPRDAPCCGRU04</v>
      </c>
      <c r="H148" t="str">
        <f>VLOOKUP(A:A,INVENTÁRIO_08_2025!A:A,1,0)</f>
        <v>SPRDAPCCGRU04</v>
      </c>
    </row>
    <row r="149" spans="1:8" hidden="1">
      <c r="A149" s="15" t="s">
        <v>420</v>
      </c>
      <c r="B149" t="s">
        <v>61</v>
      </c>
      <c r="C149" t="s">
        <v>116</v>
      </c>
      <c r="D149" t="s">
        <v>126</v>
      </c>
      <c r="E149" t="s">
        <v>156</v>
      </c>
      <c r="F149" t="s">
        <v>560</v>
      </c>
      <c r="G149" t="str">
        <f>VLOOKUP(A:A,INVENTÁRIO_06_2025!A:A,1,0)</f>
        <v>SPRDAPCNIGRU01</v>
      </c>
      <c r="H149" t="str">
        <f>VLOOKUP(A:A,INVENTÁRIO_08_2025!A:A,1,0)</f>
        <v>SPRDAPCNIGRU01</v>
      </c>
    </row>
    <row r="150" spans="1:8" hidden="1">
      <c r="A150" s="15" t="s">
        <v>421</v>
      </c>
      <c r="B150" t="s">
        <v>61</v>
      </c>
      <c r="C150" t="s">
        <v>116</v>
      </c>
      <c r="D150" t="s">
        <v>126</v>
      </c>
      <c r="E150" t="s">
        <v>156</v>
      </c>
      <c r="F150" t="s">
        <v>560</v>
      </c>
      <c r="G150" t="str">
        <f>VLOOKUP(A:A,INVENTÁRIO_06_2025!A:A,1,0)</f>
        <v>SPRDAPCNWGRU01</v>
      </c>
      <c r="H150" t="str">
        <f>VLOOKUP(A:A,INVENTÁRIO_08_2025!A:A,1,0)</f>
        <v>SPRDAPCNWGRU01</v>
      </c>
    </row>
    <row r="151" spans="1:8" hidden="1">
      <c r="A151" s="15" t="s">
        <v>422</v>
      </c>
      <c r="B151" t="s">
        <v>61</v>
      </c>
      <c r="C151" t="s">
        <v>116</v>
      </c>
      <c r="D151" t="s">
        <v>423</v>
      </c>
      <c r="E151" t="s">
        <v>156</v>
      </c>
      <c r="F151" t="s">
        <v>560</v>
      </c>
      <c r="G151" t="str">
        <f>VLOOKUP(A:A,INVENTÁRIO_06_2025!A:A,1,0)</f>
        <v>SPRDAPCONVGRU03</v>
      </c>
      <c r="H151" t="str">
        <f>VLOOKUP(A:A,INVENTÁRIO_08_2025!A:A,1,0)</f>
        <v>SPRDAPCONVGRU03</v>
      </c>
    </row>
    <row r="152" spans="1:8" hidden="1">
      <c r="A152" s="15" t="s">
        <v>464</v>
      </c>
      <c r="B152" t="s">
        <v>61</v>
      </c>
      <c r="C152" t="s">
        <v>116</v>
      </c>
      <c r="D152" t="s">
        <v>136</v>
      </c>
      <c r="E152" t="s">
        <v>156</v>
      </c>
      <c r="F152" t="s">
        <v>560</v>
      </c>
      <c r="G152" t="str">
        <f>VLOOKUP(A:A,INVENTÁRIO_06_2025!A:A,1,0)</f>
        <v>SPRDAPCOVGRU01</v>
      </c>
      <c r="H152" t="str">
        <f>VLOOKUP(A:A,INVENTÁRIO_08_2025!A:A,1,0)</f>
        <v>SPRDAPCOVGRU01</v>
      </c>
    </row>
    <row r="153" spans="1:8" hidden="1">
      <c r="A153" s="15" t="s">
        <v>465</v>
      </c>
      <c r="B153" t="s">
        <v>61</v>
      </c>
      <c r="C153" t="s">
        <v>116</v>
      </c>
      <c r="D153" t="s">
        <v>136</v>
      </c>
      <c r="E153" t="s">
        <v>156</v>
      </c>
      <c r="F153" t="s">
        <v>560</v>
      </c>
      <c r="G153" t="str">
        <f>VLOOKUP(A:A,INVENTÁRIO_06_2025!A:A,1,0)</f>
        <v>SPRDAPCOVGRU02</v>
      </c>
      <c r="H153" t="str">
        <f>VLOOKUP(A:A,INVENTÁRIO_08_2025!A:A,1,0)</f>
        <v>SPRDAPCOVGRU02</v>
      </c>
    </row>
    <row r="154" spans="1:8" hidden="1">
      <c r="A154" s="15" t="s">
        <v>424</v>
      </c>
      <c r="B154" t="s">
        <v>61</v>
      </c>
      <c r="C154" t="s">
        <v>116</v>
      </c>
      <c r="D154" t="s">
        <v>425</v>
      </c>
      <c r="E154" t="s">
        <v>156</v>
      </c>
      <c r="F154" t="s">
        <v>560</v>
      </c>
      <c r="G154" t="str">
        <f>VLOOKUP(A:A,INVENTÁRIO_06_2025!A:A,1,0)</f>
        <v>SPRDAPCTBGRU01</v>
      </c>
      <c r="H154" t="str">
        <f>VLOOKUP(A:A,INVENTÁRIO_08_2025!A:A,1,0)</f>
        <v>SPRDAPCTBGRU01</v>
      </c>
    </row>
    <row r="155" spans="1:8" hidden="1">
      <c r="A155" s="15" t="s">
        <v>466</v>
      </c>
      <c r="B155" t="s">
        <v>61</v>
      </c>
      <c r="C155" t="s">
        <v>116</v>
      </c>
      <c r="D155" t="s">
        <v>425</v>
      </c>
      <c r="E155" t="s">
        <v>156</v>
      </c>
      <c r="F155" t="s">
        <v>560</v>
      </c>
      <c r="G155" t="str">
        <f>VLOOKUP(A:A,INVENTÁRIO_06_2025!A:A,1,0)</f>
        <v>SPRDAPCTDGRU01</v>
      </c>
      <c r="H155" t="str">
        <f>VLOOKUP(A:A,INVENTÁRIO_08_2025!A:A,1,0)</f>
        <v>SPRDAPCTDGRU01</v>
      </c>
    </row>
    <row r="156" spans="1:8" hidden="1">
      <c r="A156" s="15" t="s">
        <v>426</v>
      </c>
      <c r="B156" t="s">
        <v>61</v>
      </c>
      <c r="C156" t="s">
        <v>116</v>
      </c>
      <c r="D156" t="s">
        <v>126</v>
      </c>
      <c r="E156" t="s">
        <v>156</v>
      </c>
      <c r="F156" t="s">
        <v>560</v>
      </c>
      <c r="G156" t="str">
        <f>VLOOKUP(A:A,INVENTÁRIO_06_2025!A:A,1,0)</f>
        <v>SPRDAPDACGRU01</v>
      </c>
      <c r="H156" t="str">
        <f>VLOOKUP(A:A,INVENTÁRIO_08_2025!A:A,1,0)</f>
        <v>SPRDAPDACGRU01</v>
      </c>
    </row>
    <row r="157" spans="1:8" hidden="1">
      <c r="A157" s="15" t="s">
        <v>362</v>
      </c>
      <c r="B157" t="s">
        <v>61</v>
      </c>
      <c r="C157" t="s">
        <v>116</v>
      </c>
      <c r="D157" t="s">
        <v>117</v>
      </c>
      <c r="E157" t="s">
        <v>156</v>
      </c>
      <c r="F157" t="s">
        <v>560</v>
      </c>
      <c r="G157" t="str">
        <f>VLOOKUP(A:A,INVENTÁRIO_06_2025!A:A,1,0)</f>
        <v>SPRDAPDATGRU01</v>
      </c>
      <c r="H157" t="str">
        <f>VLOOKUP(A:A,INVENTÁRIO_08_2025!A:A,1,0)</f>
        <v>SPRDAPDATGRU01</v>
      </c>
    </row>
    <row r="158" spans="1:8" hidden="1">
      <c r="A158" s="15" t="s">
        <v>427</v>
      </c>
      <c r="B158" t="s">
        <v>61</v>
      </c>
      <c r="C158" t="s">
        <v>116</v>
      </c>
      <c r="D158" t="s">
        <v>174</v>
      </c>
      <c r="E158" t="s">
        <v>156</v>
      </c>
      <c r="F158" t="s">
        <v>560</v>
      </c>
      <c r="G158" t="str">
        <f>VLOOKUP(A:A,INVENTÁRIO_06_2025!A:A,1,0)</f>
        <v>SPRDAPDBGRU01</v>
      </c>
      <c r="H158" t="str">
        <f>VLOOKUP(A:A,INVENTÁRIO_08_2025!A:A,1,0)</f>
        <v>SPRDAPDBGRU01</v>
      </c>
    </row>
    <row r="159" spans="1:8" hidden="1">
      <c r="A159" s="15" t="s">
        <v>428</v>
      </c>
      <c r="B159" t="s">
        <v>61</v>
      </c>
      <c r="C159" t="s">
        <v>116</v>
      </c>
      <c r="D159" t="s">
        <v>126</v>
      </c>
      <c r="E159" t="s">
        <v>156</v>
      </c>
      <c r="F159" t="s">
        <v>560</v>
      </c>
      <c r="G159" t="str">
        <f>VLOOKUP(A:A,INVENTÁRIO_06_2025!A:A,1,0)</f>
        <v>SPRDAPDCLGRU01</v>
      </c>
      <c r="H159" t="str">
        <f>VLOOKUP(A:A,INVENTÁRIO_08_2025!A:A,1,0)</f>
        <v>SPRDAPDCLGRU01</v>
      </c>
    </row>
    <row r="160" spans="1:8" hidden="1">
      <c r="A160" s="15" t="s">
        <v>429</v>
      </c>
      <c r="B160" t="s">
        <v>61</v>
      </c>
      <c r="C160" t="s">
        <v>116</v>
      </c>
      <c r="D160" t="s">
        <v>126</v>
      </c>
      <c r="E160" t="s">
        <v>156</v>
      </c>
      <c r="F160" t="s">
        <v>560</v>
      </c>
      <c r="G160" t="str">
        <f>VLOOKUP(A:A,INVENTÁRIO_06_2025!A:A,1,0)</f>
        <v>SPRDAPDCLGRU02</v>
      </c>
      <c r="H160" t="str">
        <f>VLOOKUP(A:A,INVENTÁRIO_08_2025!A:A,1,0)</f>
        <v>SPRDAPDCLGRU02</v>
      </c>
    </row>
    <row r="161" spans="1:8" hidden="1">
      <c r="A161" s="15" t="s">
        <v>364</v>
      </c>
      <c r="B161" t="s">
        <v>61</v>
      </c>
      <c r="C161" t="s">
        <v>116</v>
      </c>
      <c r="D161" t="s">
        <v>163</v>
      </c>
      <c r="E161" t="s">
        <v>156</v>
      </c>
      <c r="F161" t="s">
        <v>560</v>
      </c>
      <c r="G161" t="str">
        <f>VLOOKUP(A:A,INVENTÁRIO_06_2025!A:A,1,0)</f>
        <v>SPRDAPENVGRU01</v>
      </c>
      <c r="H161" t="str">
        <f>VLOOKUP(A:A,INVENTÁRIO_08_2025!A:A,1,0)</f>
        <v>SPRDAPENVGRU01</v>
      </c>
    </row>
    <row r="162" spans="1:8" hidden="1">
      <c r="A162" s="15" t="s">
        <v>365</v>
      </c>
      <c r="B162" t="s">
        <v>61</v>
      </c>
      <c r="C162" t="s">
        <v>116</v>
      </c>
      <c r="D162" t="s">
        <v>117</v>
      </c>
      <c r="E162" t="s">
        <v>156</v>
      </c>
      <c r="F162" t="s">
        <v>560</v>
      </c>
      <c r="G162" t="str">
        <f>VLOOKUP(A:A,INVENTÁRIO_06_2025!A:A,1,0)</f>
        <v>SPRDAPENVGRU02</v>
      </c>
      <c r="H162" t="str">
        <f>VLOOKUP(A:A,INVENTÁRIO_08_2025!A:A,1,0)</f>
        <v>SPRDAPENVGRU02</v>
      </c>
    </row>
    <row r="163" spans="1:8" hidden="1">
      <c r="A163" s="15" t="s">
        <v>467</v>
      </c>
      <c r="B163" t="s">
        <v>61</v>
      </c>
      <c r="C163" t="s">
        <v>116</v>
      </c>
      <c r="D163" t="s">
        <v>425</v>
      </c>
      <c r="E163" t="s">
        <v>156</v>
      </c>
      <c r="F163" t="s">
        <v>560</v>
      </c>
      <c r="G163" t="str">
        <f>VLOOKUP(A:A,INVENTÁRIO_06_2025!A:A,1,0)</f>
        <v>SPRDAPESTGRU01</v>
      </c>
      <c r="H163" t="str">
        <f>VLOOKUP(A:A,INVENTÁRIO_08_2025!A:A,1,0)</f>
        <v>SPRDAPESTGRU01</v>
      </c>
    </row>
    <row r="164" spans="1:8" hidden="1">
      <c r="A164" s="15" t="s">
        <v>366</v>
      </c>
      <c r="B164" t="s">
        <v>61</v>
      </c>
      <c r="C164" t="s">
        <v>116</v>
      </c>
      <c r="D164" t="s">
        <v>122</v>
      </c>
      <c r="E164" t="s">
        <v>156</v>
      </c>
      <c r="F164" t="s">
        <v>560</v>
      </c>
      <c r="G164" t="str">
        <f>VLOOKUP(A:A,INVENTÁRIO_06_2025!A:A,1,0)</f>
        <v>SPRDAPEVDGRU01</v>
      </c>
      <c r="H164" t="str">
        <f>VLOOKUP(A:A,INVENTÁRIO_08_2025!A:A,1,0)</f>
        <v>SPRDAPEVDGRU01</v>
      </c>
    </row>
    <row r="165" spans="1:8" hidden="1">
      <c r="A165" s="15" t="s">
        <v>367</v>
      </c>
      <c r="B165" t="s">
        <v>50</v>
      </c>
      <c r="C165" t="s">
        <v>116</v>
      </c>
      <c r="D165" t="s">
        <v>117</v>
      </c>
      <c r="E165" t="s">
        <v>156</v>
      </c>
      <c r="F165" t="s">
        <v>560</v>
      </c>
      <c r="G165" t="str">
        <f>VLOOKUP(A:A,INVENTÁRIO_06_2025!A:A,1,0)</f>
        <v>SPRDAPEVGRU01</v>
      </c>
      <c r="H165" t="str">
        <f>VLOOKUP(A:A,INVENTÁRIO_08_2025!A:A,1,0)</f>
        <v>SPRDAPEVGRU01</v>
      </c>
    </row>
    <row r="166" spans="1:8" hidden="1">
      <c r="A166" s="15" t="s">
        <v>469</v>
      </c>
      <c r="B166" t="s">
        <v>61</v>
      </c>
      <c r="C166" t="s">
        <v>116</v>
      </c>
      <c r="D166" t="s">
        <v>153</v>
      </c>
      <c r="E166" t="s">
        <v>156</v>
      </c>
      <c r="F166" t="s">
        <v>560</v>
      </c>
      <c r="G166" t="str">
        <f>VLOOKUP(A:A,INVENTÁRIO_06_2025!A:A,1,0)</f>
        <v>SPRDAPFILAGRU01</v>
      </c>
      <c r="H166" t="str">
        <f>VLOOKUP(A:A,INVENTÁRIO_08_2025!A:A,1,0)</f>
        <v>SPRDAPFILAGRU01</v>
      </c>
    </row>
    <row r="167" spans="1:8" hidden="1">
      <c r="A167" s="15" t="s">
        <v>368</v>
      </c>
      <c r="B167" t="s">
        <v>61</v>
      </c>
      <c r="C167" t="s">
        <v>116</v>
      </c>
      <c r="D167" t="s">
        <v>117</v>
      </c>
      <c r="E167" t="s">
        <v>156</v>
      </c>
      <c r="F167" t="s">
        <v>560</v>
      </c>
      <c r="G167" t="str">
        <f>VLOOKUP(A:A,INVENTÁRIO_06_2025!A:A,1,0)</f>
        <v>SPRDAPFSCCGRU01</v>
      </c>
      <c r="H167" t="str">
        <f>VLOOKUP(A:A,INVENTÁRIO_08_2025!A:A,1,0)</f>
        <v>SPRDAPFSCCGRU01</v>
      </c>
    </row>
    <row r="168" spans="1:8" hidden="1">
      <c r="A168" s="15" t="s">
        <v>369</v>
      </c>
      <c r="B168" t="s">
        <v>61</v>
      </c>
      <c r="C168" t="s">
        <v>116</v>
      </c>
      <c r="D168" t="s">
        <v>117</v>
      </c>
      <c r="E168" t="s">
        <v>156</v>
      </c>
      <c r="F168" t="s">
        <v>560</v>
      </c>
      <c r="G168" t="str">
        <f>VLOOKUP(A:A,INVENTÁRIO_06_2025!A:A,1,0)</f>
        <v>SPRDAPGEDGRU01</v>
      </c>
      <c r="H168" t="str">
        <f>VLOOKUP(A:A,INVENTÁRIO_08_2025!A:A,1,0)</f>
        <v>SPRDAPGEDGRU01</v>
      </c>
    </row>
    <row r="169" spans="1:8" hidden="1">
      <c r="A169" s="15" t="s">
        <v>370</v>
      </c>
      <c r="B169" t="s">
        <v>61</v>
      </c>
      <c r="C169" t="s">
        <v>116</v>
      </c>
      <c r="D169" t="s">
        <v>117</v>
      </c>
      <c r="E169" t="s">
        <v>156</v>
      </c>
      <c r="F169" t="s">
        <v>560</v>
      </c>
      <c r="G169" t="str">
        <f>VLOOKUP(A:A,INVENTÁRIO_06_2025!A:A,1,0)</f>
        <v>SPRDAPGEDGRU02</v>
      </c>
      <c r="H169" t="str">
        <f>VLOOKUP(A:A,INVENTÁRIO_08_2025!A:A,1,0)</f>
        <v>SPRDAPGEDGRU02</v>
      </c>
    </row>
    <row r="170" spans="1:8" hidden="1">
      <c r="A170" s="15" t="s">
        <v>371</v>
      </c>
      <c r="B170" t="s">
        <v>61</v>
      </c>
      <c r="C170" t="s">
        <v>116</v>
      </c>
      <c r="D170" t="s">
        <v>117</v>
      </c>
      <c r="E170" t="s">
        <v>156</v>
      </c>
      <c r="F170" t="s">
        <v>560</v>
      </c>
      <c r="G170" t="str">
        <f>VLOOKUP(A:A,INVENTÁRIO_06_2025!A:A,1,0)</f>
        <v>SPRDAPGEDGRU03</v>
      </c>
      <c r="H170" t="str">
        <f>VLOOKUP(A:A,INVENTÁRIO_08_2025!A:A,1,0)</f>
        <v>SPRDAPGEDGRU03</v>
      </c>
    </row>
    <row r="171" spans="1:8" hidden="1">
      <c r="A171" s="15" t="s">
        <v>372</v>
      </c>
      <c r="B171" t="s">
        <v>61</v>
      </c>
      <c r="C171" t="s">
        <v>116</v>
      </c>
      <c r="D171" t="s">
        <v>117</v>
      </c>
      <c r="E171" t="s">
        <v>156</v>
      </c>
      <c r="F171" t="s">
        <v>560</v>
      </c>
      <c r="G171" t="str">
        <f>VLOOKUP(A:A,INVENTÁRIO_06_2025!A:A,1,0)</f>
        <v>SPRDAPGEDGRU04</v>
      </c>
      <c r="H171" t="str">
        <f>VLOOKUP(A:A,INVENTÁRIO_08_2025!A:A,1,0)</f>
        <v>SPRDAPGEDGRU04</v>
      </c>
    </row>
    <row r="172" spans="1:8" hidden="1">
      <c r="A172" s="15" t="s">
        <v>540</v>
      </c>
      <c r="B172" t="s">
        <v>61</v>
      </c>
      <c r="C172" t="s">
        <v>51</v>
      </c>
      <c r="D172" t="s">
        <v>114</v>
      </c>
      <c r="E172" t="s">
        <v>156</v>
      </c>
      <c r="F172" t="s">
        <v>560</v>
      </c>
      <c r="G172" t="str">
        <f>VLOOKUP(A:A,INVENTÁRIO_06_2025!A:A,1,0)</f>
        <v>SPRDAPGRFGRU01</v>
      </c>
      <c r="H172" t="str">
        <f>VLOOKUP(A:A,INVENTÁRIO_08_2025!A:A,1,0)</f>
        <v>SPRDAPGRFGRU01</v>
      </c>
    </row>
    <row r="173" spans="1:8" hidden="1">
      <c r="A173" s="15" t="s">
        <v>470</v>
      </c>
      <c r="B173" t="s">
        <v>61</v>
      </c>
      <c r="C173" t="s">
        <v>116</v>
      </c>
      <c r="D173" t="s">
        <v>136</v>
      </c>
      <c r="E173" t="s">
        <v>156</v>
      </c>
      <c r="F173" t="s">
        <v>560</v>
      </c>
      <c r="G173" t="str">
        <f>VLOOKUP(A:A,INVENTÁRIO_06_2025!A:A,1,0)</f>
        <v>SPRDAPGWBIGRU03</v>
      </c>
      <c r="H173" t="str">
        <f>VLOOKUP(A:A,INVENTÁRIO_08_2025!A:A,1,0)</f>
        <v>SPRDAPGWBIGRU03</v>
      </c>
    </row>
    <row r="174" spans="1:8" hidden="1">
      <c r="A174" s="15" t="s">
        <v>430</v>
      </c>
      <c r="B174" t="s">
        <v>61</v>
      </c>
      <c r="C174" t="s">
        <v>116</v>
      </c>
      <c r="D174" t="s">
        <v>671</v>
      </c>
      <c r="E174" t="s">
        <v>156</v>
      </c>
      <c r="F174" t="s">
        <v>560</v>
      </c>
      <c r="G174" t="str">
        <f>VLOOKUP(A:A,INVENTÁRIO_06_2025!A:A,1,0)</f>
        <v>SPRDAPHDMGRU01</v>
      </c>
      <c r="H174" t="str">
        <f>VLOOKUP(A:A,INVENTÁRIO_08_2025!A:A,1,0)</f>
        <v>SPRDAPHDMGRU01</v>
      </c>
    </row>
    <row r="175" spans="1:8" hidden="1">
      <c r="A175" s="15" t="s">
        <v>342</v>
      </c>
      <c r="B175" t="s">
        <v>61</v>
      </c>
      <c r="C175" t="s">
        <v>116</v>
      </c>
      <c r="D175" t="s">
        <v>341</v>
      </c>
      <c r="E175" t="s">
        <v>156</v>
      </c>
      <c r="F175" t="s">
        <v>560</v>
      </c>
      <c r="G175" t="str">
        <f>VLOOKUP(A:A,INVENTÁRIO_06_2025!A:A,1,0)</f>
        <v>SPRDAPHHGRU01</v>
      </c>
      <c r="H175" t="str">
        <f>VLOOKUP(A:A,INVENTÁRIO_08_2025!A:A,1,0)</f>
        <v>SPRDAPHHGRU01</v>
      </c>
    </row>
    <row r="176" spans="1:8" hidden="1">
      <c r="A176" s="15" t="s">
        <v>478</v>
      </c>
      <c r="B176" t="s">
        <v>61</v>
      </c>
      <c r="C176" t="s">
        <v>116</v>
      </c>
      <c r="D176" t="s">
        <v>419</v>
      </c>
      <c r="E176" t="s">
        <v>156</v>
      </c>
      <c r="F176" t="s">
        <v>560</v>
      </c>
      <c r="G176" t="str">
        <f>VLOOKUP(A:A,INVENTÁRIO_06_2025!A:A,1,0)</f>
        <v>SPRDAPIKNGRU01</v>
      </c>
      <c r="H176" t="str">
        <f>VLOOKUP(A:A,INVENTÁRIO_08_2025!A:A,1,0)</f>
        <v>SPRDAPIKNGRU01</v>
      </c>
    </row>
    <row r="177" spans="1:8" hidden="1">
      <c r="A177" s="15" t="s">
        <v>373</v>
      </c>
      <c r="B177" t="s">
        <v>61</v>
      </c>
      <c r="C177" t="s">
        <v>116</v>
      </c>
      <c r="D177" t="s">
        <v>117</v>
      </c>
      <c r="E177" t="s">
        <v>156</v>
      </c>
      <c r="F177" t="s">
        <v>560</v>
      </c>
      <c r="G177" t="str">
        <f>VLOOKUP(A:A,INVENTÁRIO_06_2025!A:A,1,0)</f>
        <v>SPRDAPIMGRU01</v>
      </c>
      <c r="H177" t="str">
        <f>VLOOKUP(A:A,INVENTÁRIO_08_2025!A:A,1,0)</f>
        <v>SPRDAPIMGRU01</v>
      </c>
    </row>
    <row r="178" spans="1:8" hidden="1">
      <c r="A178" s="15" t="s">
        <v>374</v>
      </c>
      <c r="B178" t="s">
        <v>61</v>
      </c>
      <c r="C178" t="s">
        <v>116</v>
      </c>
      <c r="D178" t="s">
        <v>117</v>
      </c>
      <c r="E178" t="s">
        <v>156</v>
      </c>
      <c r="F178" t="s">
        <v>560</v>
      </c>
      <c r="G178" t="str">
        <f>VLOOKUP(A:A,INVENTÁRIO_06_2025!A:A,1,0)</f>
        <v>SPRDAPIMGRU02</v>
      </c>
      <c r="H178" t="str">
        <f>VLOOKUP(A:A,INVENTÁRIO_08_2025!A:A,1,0)</f>
        <v>SPRDAPIMGRU02</v>
      </c>
    </row>
    <row r="179" spans="1:8" hidden="1">
      <c r="A179" s="15" t="s">
        <v>375</v>
      </c>
      <c r="B179" t="s">
        <v>61</v>
      </c>
      <c r="C179" t="s">
        <v>116</v>
      </c>
      <c r="D179" t="s">
        <v>122</v>
      </c>
      <c r="E179" t="s">
        <v>156</v>
      </c>
      <c r="F179" t="s">
        <v>560</v>
      </c>
      <c r="G179" t="str">
        <f>VLOOKUP(A:A,INVENTÁRIO_06_2025!A:A,1,0)</f>
        <v>SPRDAPINTGRU01</v>
      </c>
      <c r="H179" t="str">
        <f>VLOOKUP(A:A,INVENTÁRIO_08_2025!A:A,1,0)</f>
        <v>SPRDAPINTGRU01</v>
      </c>
    </row>
    <row r="180" spans="1:8" hidden="1">
      <c r="A180" s="15" t="s">
        <v>480</v>
      </c>
      <c r="B180" t="s">
        <v>61</v>
      </c>
      <c r="C180" t="s">
        <v>116</v>
      </c>
      <c r="D180" t="s">
        <v>425</v>
      </c>
      <c r="E180" t="s">
        <v>156</v>
      </c>
      <c r="F180" t="s">
        <v>560</v>
      </c>
      <c r="G180" t="str">
        <f>VLOOKUP(A:A,INVENTÁRIO_06_2025!A:A,1,0)</f>
        <v>SPRDAPLGGRU02</v>
      </c>
      <c r="H180" t="str">
        <f>VLOOKUP(A:A,INVENTÁRIO_08_2025!A:A,1,0)</f>
        <v>SPRDAPLGGRU02</v>
      </c>
    </row>
    <row r="181" spans="1:8" hidden="1">
      <c r="A181" s="15" t="s">
        <v>481</v>
      </c>
      <c r="B181" t="s">
        <v>61</v>
      </c>
      <c r="C181" t="s">
        <v>116</v>
      </c>
      <c r="D181" t="s">
        <v>425</v>
      </c>
      <c r="E181" t="s">
        <v>156</v>
      </c>
      <c r="F181" t="s">
        <v>560</v>
      </c>
      <c r="G181" t="str">
        <f>VLOOKUP(A:A,INVENTÁRIO_06_2025!A:A,1,0)</f>
        <v>SPRDAPLGGRU04</v>
      </c>
      <c r="H181" t="str">
        <f>VLOOKUP(A:A,INVENTÁRIO_08_2025!A:A,1,0)</f>
        <v>SPRDAPLGGRU04</v>
      </c>
    </row>
    <row r="182" spans="1:8" hidden="1">
      <c r="A182" s="15" t="s">
        <v>482</v>
      </c>
      <c r="B182" t="s">
        <v>61</v>
      </c>
      <c r="C182" t="s">
        <v>116</v>
      </c>
      <c r="D182" t="s">
        <v>141</v>
      </c>
      <c r="E182" t="s">
        <v>156</v>
      </c>
      <c r="F182" t="s">
        <v>560</v>
      </c>
      <c r="G182" t="str">
        <f>VLOOKUP(A:A,INVENTÁRIO_06_2025!A:A,1,0)</f>
        <v>SPRDAPMDSGRU01</v>
      </c>
      <c r="H182" t="str">
        <f>VLOOKUP(A:A,INVENTÁRIO_08_2025!A:A,1,0)</f>
        <v>SPRDAPMDSGRU01</v>
      </c>
    </row>
    <row r="183" spans="1:8" hidden="1">
      <c r="A183" s="15" t="s">
        <v>431</v>
      </c>
      <c r="B183" t="s">
        <v>61</v>
      </c>
      <c r="C183" t="s">
        <v>116</v>
      </c>
      <c r="D183" t="s">
        <v>136</v>
      </c>
      <c r="E183" t="s">
        <v>156</v>
      </c>
      <c r="F183" t="s">
        <v>560</v>
      </c>
      <c r="G183" t="str">
        <f>VLOOKUP(A:A,INVENTÁRIO_06_2025!A:A,1,0)</f>
        <v>SPRDAPMELGRU01</v>
      </c>
      <c r="H183" t="str">
        <f>VLOOKUP(A:A,INVENTÁRIO_08_2025!A:A,1,0)</f>
        <v>SPRDAPMELGRU01</v>
      </c>
    </row>
    <row r="184" spans="1:8" hidden="1">
      <c r="A184" s="15" t="s">
        <v>376</v>
      </c>
      <c r="B184" t="s">
        <v>61</v>
      </c>
      <c r="C184" t="s">
        <v>116</v>
      </c>
      <c r="D184" t="s">
        <v>117</v>
      </c>
      <c r="E184" t="s">
        <v>156</v>
      </c>
      <c r="F184" t="s">
        <v>560</v>
      </c>
      <c r="G184" t="str">
        <f>VLOOKUP(A:A,INVENTÁRIO_06_2025!A:A,1,0)</f>
        <v>SPRDAPMETGRU01</v>
      </c>
      <c r="H184" t="str">
        <f>VLOOKUP(A:A,INVENTÁRIO_08_2025!A:A,1,0)</f>
        <v>SPRDAPMETGRU01</v>
      </c>
    </row>
    <row r="185" spans="1:8" hidden="1">
      <c r="A185" s="15" t="s">
        <v>377</v>
      </c>
      <c r="B185" t="s">
        <v>61</v>
      </c>
      <c r="C185" t="s">
        <v>116</v>
      </c>
      <c r="D185" t="s">
        <v>117</v>
      </c>
      <c r="E185" t="s">
        <v>156</v>
      </c>
      <c r="F185" t="s">
        <v>560</v>
      </c>
      <c r="G185" t="str">
        <f>VLOOKUP(A:A,INVENTÁRIO_06_2025!A:A,1,0)</f>
        <v>SPRDAPMETGRU02</v>
      </c>
      <c r="H185" t="str">
        <f>VLOOKUP(A:A,INVENTÁRIO_08_2025!A:A,1,0)</f>
        <v>SPRDAPMETGRU02</v>
      </c>
    </row>
    <row r="186" spans="1:8" hidden="1">
      <c r="A186" s="15" t="s">
        <v>378</v>
      </c>
      <c r="B186" t="s">
        <v>61</v>
      </c>
      <c r="C186" t="s">
        <v>116</v>
      </c>
      <c r="D186" t="s">
        <v>117</v>
      </c>
      <c r="E186" t="s">
        <v>156</v>
      </c>
      <c r="F186" t="s">
        <v>560</v>
      </c>
      <c r="G186" t="str">
        <f>VLOOKUP(A:A,INVENTÁRIO_06_2025!A:A,1,0)</f>
        <v>SPRDAPMETGRU03</v>
      </c>
      <c r="H186" t="str">
        <f>VLOOKUP(A:A,INVENTÁRIO_08_2025!A:A,1,0)</f>
        <v>SPRDAPMETGRU03</v>
      </c>
    </row>
    <row r="187" spans="1:8" hidden="1">
      <c r="A187" s="15" t="s">
        <v>379</v>
      </c>
      <c r="B187" t="s">
        <v>61</v>
      </c>
      <c r="C187" t="s">
        <v>116</v>
      </c>
      <c r="D187" t="s">
        <v>117</v>
      </c>
      <c r="E187" t="s">
        <v>156</v>
      </c>
      <c r="F187" t="s">
        <v>560</v>
      </c>
      <c r="G187" t="str">
        <f>VLOOKUP(A:A,INVENTÁRIO_06_2025!A:A,1,0)</f>
        <v>SPRDAPMETGRU04</v>
      </c>
      <c r="H187" t="str">
        <f>VLOOKUP(A:A,INVENTÁRIO_08_2025!A:A,1,0)</f>
        <v>SPRDAPMETGRU04</v>
      </c>
    </row>
    <row r="188" spans="1:8" hidden="1">
      <c r="A188" s="15" t="s">
        <v>483</v>
      </c>
      <c r="B188" t="s">
        <v>61</v>
      </c>
      <c r="C188" t="s">
        <v>116</v>
      </c>
      <c r="D188" t="s">
        <v>242</v>
      </c>
      <c r="E188" t="s">
        <v>156</v>
      </c>
      <c r="F188" t="s">
        <v>560</v>
      </c>
      <c r="G188" t="str">
        <f>VLOOKUP(A:A,INVENTÁRIO_06_2025!A:A,1,0)</f>
        <v>SPRDAPMMETRAGRU01</v>
      </c>
      <c r="H188" t="str">
        <f>VLOOKUP(A:A,INVENTÁRIO_08_2025!A:A,1,0)</f>
        <v>SPRDAPMMETRAGRU01</v>
      </c>
    </row>
    <row r="189" spans="1:8" hidden="1">
      <c r="A189" s="15" t="s">
        <v>380</v>
      </c>
      <c r="B189" t="s">
        <v>61</v>
      </c>
      <c r="C189" t="s">
        <v>116</v>
      </c>
      <c r="D189" t="s">
        <v>117</v>
      </c>
      <c r="E189" t="s">
        <v>156</v>
      </c>
      <c r="F189" t="s">
        <v>560</v>
      </c>
      <c r="G189" t="str">
        <f>VLOOKUP(A:A,INVENTÁRIO_06_2025!A:A,1,0)</f>
        <v>SPRDAPMNTGRU02</v>
      </c>
      <c r="H189" t="str">
        <f>VLOOKUP(A:A,INVENTÁRIO_08_2025!A:A,1,0)</f>
        <v>SPRDAPMNTGRU02</v>
      </c>
    </row>
    <row r="190" spans="1:8" hidden="1">
      <c r="A190" s="15" t="s">
        <v>381</v>
      </c>
      <c r="B190" t="s">
        <v>61</v>
      </c>
      <c r="C190" t="s">
        <v>116</v>
      </c>
      <c r="D190" t="s">
        <v>122</v>
      </c>
      <c r="E190" t="s">
        <v>156</v>
      </c>
      <c r="F190" t="s">
        <v>560</v>
      </c>
      <c r="G190" t="str">
        <f>VLOOKUP(A:A,INVENTÁRIO_06_2025!A:A,1,0)</f>
        <v>SPRDAPMONGRU02</v>
      </c>
      <c r="H190" t="str">
        <f>VLOOKUP(A:A,INVENTÁRIO_08_2025!A:A,1,0)</f>
        <v>SPRDAPMONGRU02</v>
      </c>
    </row>
    <row r="191" spans="1:8" hidden="1">
      <c r="A191" s="15" t="s">
        <v>432</v>
      </c>
      <c r="B191" t="s">
        <v>61</v>
      </c>
      <c r="C191" t="s">
        <v>116</v>
      </c>
      <c r="D191" t="s">
        <v>126</v>
      </c>
      <c r="E191" t="s">
        <v>156</v>
      </c>
      <c r="F191" t="s">
        <v>560</v>
      </c>
      <c r="G191" t="str">
        <f>VLOOKUP(A:A,INVENTÁRIO_06_2025!A:A,1,0)</f>
        <v>SPRDAPMPBXGRU01</v>
      </c>
      <c r="H191" t="str">
        <f>VLOOKUP(A:A,INVENTÁRIO_08_2025!A:A,1,0)</f>
        <v>SPRDAPMPBXGRU01</v>
      </c>
    </row>
    <row r="192" spans="1:8" hidden="1">
      <c r="A192" s="15" t="s">
        <v>484</v>
      </c>
      <c r="B192" t="s">
        <v>61</v>
      </c>
      <c r="C192" t="s">
        <v>116</v>
      </c>
      <c r="D192" t="s">
        <v>425</v>
      </c>
      <c r="E192" t="s">
        <v>156</v>
      </c>
      <c r="F192" t="s">
        <v>560</v>
      </c>
      <c r="G192" t="str">
        <f>VLOOKUP(A:A,INVENTÁRIO_06_2025!A:A,1,0)</f>
        <v>SPRDAPMPMGRU01</v>
      </c>
      <c r="H192" t="str">
        <f>VLOOKUP(A:A,INVENTÁRIO_08_2025!A:A,1,0)</f>
        <v>SPRDAPMPMGRU01</v>
      </c>
    </row>
    <row r="193" spans="1:8" hidden="1">
      <c r="A193" s="15" t="s">
        <v>433</v>
      </c>
      <c r="B193" t="s">
        <v>61</v>
      </c>
      <c r="C193" t="s">
        <v>116</v>
      </c>
      <c r="D193" t="s">
        <v>174</v>
      </c>
      <c r="E193" t="s">
        <v>156</v>
      </c>
      <c r="F193" t="s">
        <v>560</v>
      </c>
      <c r="G193" t="str">
        <f>VLOOKUP(A:A,INVENTÁRIO_06_2025!A:A,1,0)</f>
        <v>SPRDAPNTPWGRU01</v>
      </c>
      <c r="H193" t="str">
        <f>VLOOKUP(A:A,INVENTÁRIO_08_2025!A:A,1,0)</f>
        <v>SPRDAPNTPWGRU01</v>
      </c>
    </row>
    <row r="194" spans="1:8" hidden="1">
      <c r="A194" s="15" t="s">
        <v>435</v>
      </c>
      <c r="B194" t="s">
        <v>61</v>
      </c>
      <c r="C194" t="s">
        <v>116</v>
      </c>
      <c r="D194" t="s">
        <v>126</v>
      </c>
      <c r="E194" t="s">
        <v>156</v>
      </c>
      <c r="F194" t="s">
        <v>560</v>
      </c>
      <c r="G194" t="str">
        <f>VLOOKUP(A:A,INVENTÁRIO_06_2025!A:A,1,0)</f>
        <v>SPRDAPOMPCGRU01</v>
      </c>
      <c r="H194" t="str">
        <f>VLOOKUP(A:A,INVENTÁRIO_08_2025!A:A,1,0)</f>
        <v>SPRDAPOMPCGRU01</v>
      </c>
    </row>
    <row r="195" spans="1:8" hidden="1">
      <c r="A195" s="15" t="s">
        <v>384</v>
      </c>
      <c r="B195" t="s">
        <v>61</v>
      </c>
      <c r="C195" t="s">
        <v>116</v>
      </c>
      <c r="D195" t="s">
        <v>122</v>
      </c>
      <c r="E195" t="s">
        <v>156</v>
      </c>
      <c r="F195" t="s">
        <v>560</v>
      </c>
      <c r="G195" t="str">
        <f>VLOOKUP(A:A,INVENTÁRIO_06_2025!A:A,1,0)</f>
        <v>SPRDAPPASGRU01</v>
      </c>
      <c r="H195" t="str">
        <f>VLOOKUP(A:A,INVENTÁRIO_08_2025!A:A,1,0)</f>
        <v>SPRDAPPASGRU01</v>
      </c>
    </row>
    <row r="196" spans="1:8" hidden="1">
      <c r="A196" s="15" t="s">
        <v>436</v>
      </c>
      <c r="B196" t="s">
        <v>61</v>
      </c>
      <c r="C196" t="s">
        <v>116</v>
      </c>
      <c r="D196" t="s">
        <v>126</v>
      </c>
      <c r="E196" t="s">
        <v>156</v>
      </c>
      <c r="F196" t="s">
        <v>560</v>
      </c>
      <c r="G196" t="str">
        <f>VLOOKUP(A:A,INVENTÁRIO_06_2025!A:A,1,0)</f>
        <v>SPRDAPPAVGRU01</v>
      </c>
      <c r="H196" t="str">
        <f>VLOOKUP(A:A,INVENTÁRIO_08_2025!A:A,1,0)</f>
        <v>SPRDAPPAVGRU01</v>
      </c>
    </row>
    <row r="197" spans="1:8" hidden="1">
      <c r="A197" s="15" t="s">
        <v>541</v>
      </c>
      <c r="B197" t="s">
        <v>61</v>
      </c>
      <c r="C197" t="s">
        <v>51</v>
      </c>
      <c r="D197" t="s">
        <v>114</v>
      </c>
      <c r="E197" t="s">
        <v>156</v>
      </c>
      <c r="F197" t="s">
        <v>560</v>
      </c>
      <c r="G197" t="str">
        <f>VLOOKUP(A:A,INVENTÁRIO_06_2025!A:A,1,0)</f>
        <v>SPRDAPPRMGRU01</v>
      </c>
      <c r="H197" t="str">
        <f>VLOOKUP(A:A,INVENTÁRIO_08_2025!A:A,1,0)</f>
        <v>SPRDAPPRMGRU01</v>
      </c>
    </row>
    <row r="198" spans="1:8" hidden="1">
      <c r="A198" s="15" t="s">
        <v>485</v>
      </c>
      <c r="B198" t="s">
        <v>61</v>
      </c>
      <c r="C198" t="s">
        <v>116</v>
      </c>
      <c r="D198" t="s">
        <v>419</v>
      </c>
      <c r="E198" t="s">
        <v>156</v>
      </c>
      <c r="F198" t="s">
        <v>560</v>
      </c>
      <c r="G198" t="str">
        <f>VLOOKUP(A:A,INVENTÁRIO_06_2025!A:A,1,0)</f>
        <v>SPRDAPPSGRU03</v>
      </c>
      <c r="H198" t="str">
        <f>VLOOKUP(A:A,INVENTÁRIO_08_2025!A:A,1,0)</f>
        <v>SPRDAPPSGRU03</v>
      </c>
    </row>
    <row r="199" spans="1:8" hidden="1">
      <c r="A199" s="15" t="s">
        <v>486</v>
      </c>
      <c r="B199" t="s">
        <v>61</v>
      </c>
      <c r="C199" t="s">
        <v>116</v>
      </c>
      <c r="D199" t="s">
        <v>136</v>
      </c>
      <c r="E199" t="s">
        <v>156</v>
      </c>
      <c r="F199" t="s">
        <v>560</v>
      </c>
      <c r="G199" t="str">
        <f>VLOOKUP(A:A,INVENTÁRIO_06_2025!A:A,1,0)</f>
        <v>SPRDAPPVGRU03</v>
      </c>
      <c r="H199" t="str">
        <f>VLOOKUP(A:A,INVENTÁRIO_08_2025!A:A,1,0)</f>
        <v>SPRDAPPVGRU03</v>
      </c>
    </row>
    <row r="200" spans="1:8" hidden="1">
      <c r="A200" s="15" t="s">
        <v>386</v>
      </c>
      <c r="B200" t="s">
        <v>61</v>
      </c>
      <c r="C200" t="s">
        <v>116</v>
      </c>
      <c r="D200" t="s">
        <v>163</v>
      </c>
      <c r="E200" t="s">
        <v>156</v>
      </c>
      <c r="F200" t="s">
        <v>560</v>
      </c>
      <c r="G200" t="str">
        <f>VLOOKUP(A:A,INVENTÁRIO_06_2025!A:A,1,0)</f>
        <v>SPRDAPQUAGRU01</v>
      </c>
      <c r="H200" t="str">
        <f>VLOOKUP(A:A,INVENTÁRIO_08_2025!A:A,1,0)</f>
        <v>SPRDAPQUAGRU01</v>
      </c>
    </row>
    <row r="201" spans="1:8" hidden="1">
      <c r="A201" s="15" t="s">
        <v>542</v>
      </c>
      <c r="B201" t="s">
        <v>61</v>
      </c>
      <c r="C201" t="s">
        <v>51</v>
      </c>
      <c r="D201" t="s">
        <v>114</v>
      </c>
      <c r="E201" t="s">
        <v>156</v>
      </c>
      <c r="F201" t="s">
        <v>560</v>
      </c>
      <c r="G201" t="str">
        <f>VLOOKUP(A:A,INVENTÁRIO_06_2025!A:A,1,0)</f>
        <v>SPRDAPRMAGRU01</v>
      </c>
      <c r="H201" t="str">
        <f>VLOOKUP(A:A,INVENTÁRIO_08_2025!A:A,1,0)</f>
        <v>SPRDAPRMAGRU01</v>
      </c>
    </row>
    <row r="202" spans="1:8" hidden="1">
      <c r="A202" s="15" t="s">
        <v>543</v>
      </c>
      <c r="B202" t="s">
        <v>61</v>
      </c>
      <c r="C202" t="s">
        <v>51</v>
      </c>
      <c r="D202" t="s">
        <v>114</v>
      </c>
      <c r="E202" t="s">
        <v>156</v>
      </c>
      <c r="F202" t="s">
        <v>560</v>
      </c>
      <c r="G202" t="str">
        <f>VLOOKUP(A:A,INVENTÁRIO_06_2025!A:A,1,0)</f>
        <v>SPRDAPRMAGRU02</v>
      </c>
      <c r="H202" t="str">
        <f>VLOOKUP(A:A,INVENTÁRIO_08_2025!A:A,1,0)</f>
        <v>SPRDAPRMAGRU02</v>
      </c>
    </row>
    <row r="203" spans="1:8" hidden="1">
      <c r="A203" s="15" t="s">
        <v>544</v>
      </c>
      <c r="B203" t="s">
        <v>61</v>
      </c>
      <c r="C203" t="s">
        <v>51</v>
      </c>
      <c r="D203" t="s">
        <v>114</v>
      </c>
      <c r="E203" t="s">
        <v>156</v>
      </c>
      <c r="F203" t="s">
        <v>560</v>
      </c>
      <c r="G203" t="str">
        <f>VLOOKUP(A:A,INVENTÁRIO_06_2025!A:A,1,0)</f>
        <v>SPRDAPRMAGRU03</v>
      </c>
      <c r="H203" t="str">
        <f>VLOOKUP(A:A,INVENTÁRIO_08_2025!A:A,1,0)</f>
        <v>SPRDAPRMAGRU03</v>
      </c>
    </row>
    <row r="204" spans="1:8" hidden="1">
      <c r="A204" s="15" t="s">
        <v>545</v>
      </c>
      <c r="B204" t="s">
        <v>61</v>
      </c>
      <c r="C204" t="s">
        <v>51</v>
      </c>
      <c r="D204" t="s">
        <v>114</v>
      </c>
      <c r="E204" t="s">
        <v>156</v>
      </c>
      <c r="F204" t="s">
        <v>560</v>
      </c>
      <c r="G204" t="str">
        <f>VLOOKUP(A:A,INVENTÁRIO_06_2025!A:A,1,0)</f>
        <v>SPRDAPRMAGRU05</v>
      </c>
      <c r="H204" t="str">
        <f>VLOOKUP(A:A,INVENTÁRIO_08_2025!A:A,1,0)</f>
        <v>SPRDAPRMAGRU05</v>
      </c>
    </row>
    <row r="205" spans="1:8" hidden="1">
      <c r="A205" s="15" t="s">
        <v>437</v>
      </c>
      <c r="B205" t="s">
        <v>61</v>
      </c>
      <c r="C205" t="s">
        <v>116</v>
      </c>
      <c r="D205" t="s">
        <v>126</v>
      </c>
      <c r="E205" t="s">
        <v>156</v>
      </c>
      <c r="F205" t="s">
        <v>560</v>
      </c>
      <c r="G205" t="str">
        <f>VLOOKUP(A:A,INVENTÁRIO_06_2025!A:A,1,0)</f>
        <v>SPRDAPRPAGRU01</v>
      </c>
      <c r="H205" t="str">
        <f>VLOOKUP(A:A,INVENTÁRIO_08_2025!A:A,1,0)</f>
        <v>SPRDAPRPAGRU01</v>
      </c>
    </row>
    <row r="206" spans="1:8" hidden="1">
      <c r="A206" s="15" t="s">
        <v>488</v>
      </c>
      <c r="B206" t="s">
        <v>61</v>
      </c>
      <c r="C206" t="s">
        <v>116</v>
      </c>
      <c r="D206" t="s">
        <v>425</v>
      </c>
      <c r="E206" t="s">
        <v>156</v>
      </c>
      <c r="F206" t="s">
        <v>560</v>
      </c>
      <c r="G206" t="str">
        <f>VLOOKUP(A:A,INVENTÁRIO_06_2025!A:A,1,0)</f>
        <v>SPRDAPRPAGRU02</v>
      </c>
      <c r="H206" t="str">
        <f>VLOOKUP(A:A,INVENTÁRIO_08_2025!A:A,1,0)</f>
        <v>SPRDAPRPAGRU02</v>
      </c>
    </row>
    <row r="207" spans="1:8" hidden="1">
      <c r="A207" s="15" t="s">
        <v>489</v>
      </c>
      <c r="B207" t="s">
        <v>61</v>
      </c>
      <c r="C207" t="s">
        <v>116</v>
      </c>
      <c r="D207" t="s">
        <v>242</v>
      </c>
      <c r="E207" t="s">
        <v>156</v>
      </c>
      <c r="F207" t="s">
        <v>560</v>
      </c>
      <c r="G207" t="str">
        <f>VLOOKUP(A:A,INVENTÁRIO_06_2025!A:A,1,0)</f>
        <v>SPRDAPRPGRU07</v>
      </c>
      <c r="H207" t="str">
        <f>VLOOKUP(A:A,INVENTÁRIO_08_2025!A:A,1,0)</f>
        <v>SPRDAPRPGRU07</v>
      </c>
    </row>
    <row r="208" spans="1:8" hidden="1">
      <c r="A208" s="15" t="s">
        <v>387</v>
      </c>
      <c r="B208" t="s">
        <v>61</v>
      </c>
      <c r="C208" t="s">
        <v>116</v>
      </c>
      <c r="D208" t="s">
        <v>122</v>
      </c>
      <c r="E208" t="s">
        <v>156</v>
      </c>
      <c r="F208" t="s">
        <v>560</v>
      </c>
      <c r="G208" t="str">
        <f>VLOOKUP(A:A,INVENTÁRIO_06_2025!A:A,1,0)</f>
        <v>SPRDAPRVGRU01</v>
      </c>
      <c r="H208" t="str">
        <f>VLOOKUP(A:A,INVENTÁRIO_08_2025!A:A,1,0)</f>
        <v>SPRDAPRVGRU01</v>
      </c>
    </row>
    <row r="209" spans="1:8" hidden="1">
      <c r="A209" s="15" t="s">
        <v>439</v>
      </c>
      <c r="B209" t="s">
        <v>61</v>
      </c>
      <c r="C209" t="s">
        <v>116</v>
      </c>
      <c r="D209" t="s">
        <v>126</v>
      </c>
      <c r="E209" t="s">
        <v>156</v>
      </c>
      <c r="F209" t="s">
        <v>560</v>
      </c>
      <c r="G209" t="str">
        <f>VLOOKUP(A:A,INVENTÁRIO_06_2025!A:A,1,0)</f>
        <v>SPRDAPSAMGRU01</v>
      </c>
      <c r="H209" t="str">
        <f>VLOOKUP(A:A,INVENTÁRIO_08_2025!A:A,1,0)</f>
        <v>SPRDAPSAMGRU01</v>
      </c>
    </row>
    <row r="210" spans="1:8" hidden="1">
      <c r="A210" s="15" t="s">
        <v>440</v>
      </c>
      <c r="B210" t="s">
        <v>61</v>
      </c>
      <c r="C210" t="s">
        <v>116</v>
      </c>
      <c r="D210" t="s">
        <v>126</v>
      </c>
      <c r="E210" t="s">
        <v>156</v>
      </c>
      <c r="F210" t="s">
        <v>560</v>
      </c>
      <c r="G210" t="str">
        <f>VLOOKUP(A:A,INVENTÁRIO_06_2025!A:A,1,0)</f>
        <v>SPRDAPSAMGRU02</v>
      </c>
      <c r="H210" t="str">
        <f>VLOOKUP(A:A,INVENTÁRIO_08_2025!A:A,1,0)</f>
        <v>SPRDAPSAMGRU02</v>
      </c>
    </row>
    <row r="211" spans="1:8" hidden="1">
      <c r="A211" s="15" t="s">
        <v>441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VLOOKUP(A:A,INVENTÁRIO_06_2025!A:A,1,0)</f>
        <v>SPRDAPSATGRU01</v>
      </c>
      <c r="H211" t="str">
        <f>VLOOKUP(A:A,INVENTÁRIO_08_2025!A:A,1,0)</f>
        <v>SPRDAPSATGRU01</v>
      </c>
    </row>
    <row r="212" spans="1:8" hidden="1">
      <c r="A212" s="15" t="s">
        <v>491</v>
      </c>
      <c r="B212" t="s">
        <v>61</v>
      </c>
      <c r="C212" t="s">
        <v>116</v>
      </c>
      <c r="D212" t="s">
        <v>425</v>
      </c>
      <c r="E212" t="s">
        <v>156</v>
      </c>
      <c r="F212" t="s">
        <v>560</v>
      </c>
      <c r="G212" t="str">
        <f>VLOOKUP(A:A,INVENTÁRIO_06_2025!A:A,1,0)</f>
        <v>SPRDAPSCOGRU03</v>
      </c>
      <c r="H212" t="str">
        <f>VLOOKUP(A:A,INVENTÁRIO_08_2025!A:A,1,0)</f>
        <v>SPRDAPSCOGRU03</v>
      </c>
    </row>
    <row r="213" spans="1:8" hidden="1">
      <c r="A213" s="15" t="s">
        <v>442</v>
      </c>
      <c r="B213" t="s">
        <v>61</v>
      </c>
      <c r="C213" t="s">
        <v>116</v>
      </c>
      <c r="D213" t="s">
        <v>126</v>
      </c>
      <c r="E213" t="s">
        <v>156</v>
      </c>
      <c r="F213" t="s">
        <v>560</v>
      </c>
      <c r="G213" t="str">
        <f>VLOOKUP(A:A,INVENTÁRIO_06_2025!A:A,1,0)</f>
        <v>SPRDAPSGPGRU01</v>
      </c>
      <c r="H213" t="e">
        <f>VLOOKUP(A:A,INVENTÁRIO_08_2025!A:A,1,0)</f>
        <v>#N/A</v>
      </c>
    </row>
    <row r="214" spans="1:8" hidden="1">
      <c r="A214" s="15" t="s">
        <v>390</v>
      </c>
      <c r="B214" t="s">
        <v>61</v>
      </c>
      <c r="C214" t="s">
        <v>116</v>
      </c>
      <c r="D214" t="s">
        <v>126</v>
      </c>
      <c r="E214" t="s">
        <v>156</v>
      </c>
      <c r="F214" t="s">
        <v>560</v>
      </c>
      <c r="G214" t="str">
        <f>VLOOKUP(A:A,INVENTÁRIO_06_2025!A:A,1,0)</f>
        <v>SPRDAPSHPGRU01</v>
      </c>
      <c r="H214" t="str">
        <f>VLOOKUP(A:A,INVENTÁRIO_08_2025!A:A,1,0)</f>
        <v>SPRDAPSHPGRU01</v>
      </c>
    </row>
    <row r="215" spans="1:8" hidden="1">
      <c r="A215" s="15" t="s">
        <v>391</v>
      </c>
      <c r="B215" t="s">
        <v>61</v>
      </c>
      <c r="C215" t="s">
        <v>116</v>
      </c>
      <c r="D215" t="s">
        <v>117</v>
      </c>
      <c r="E215" t="s">
        <v>156</v>
      </c>
      <c r="F215" t="s">
        <v>560</v>
      </c>
      <c r="G215" t="str">
        <f>VLOOKUP(A:A,INVENTÁRIO_06_2025!A:A,1,0)</f>
        <v>SPRDAPSTWBGRU01</v>
      </c>
      <c r="H215" t="str">
        <f>VLOOKUP(A:A,INVENTÁRIO_08_2025!A:A,1,0)</f>
        <v>SPRDAPSTWBGRU01</v>
      </c>
    </row>
    <row r="216" spans="1:8" hidden="1">
      <c r="A216" s="15" t="s">
        <v>392</v>
      </c>
      <c r="B216" t="s">
        <v>61</v>
      </c>
      <c r="C216" t="s">
        <v>116</v>
      </c>
      <c r="D216" t="s">
        <v>122</v>
      </c>
      <c r="E216" t="s">
        <v>156</v>
      </c>
      <c r="F216" t="s">
        <v>560</v>
      </c>
      <c r="G216" t="str">
        <f>VLOOKUP(A:A,INVENTÁRIO_06_2025!A:A,1,0)</f>
        <v>SPRDAPSTWBGRU03</v>
      </c>
      <c r="H216" t="str">
        <f>VLOOKUP(A:A,INVENTÁRIO_08_2025!A:A,1,0)</f>
        <v>SPRDAPSTWBGRU03</v>
      </c>
    </row>
    <row r="217" spans="1:8" hidden="1">
      <c r="A217" s="15" t="s">
        <v>494</v>
      </c>
      <c r="B217" t="s">
        <v>61</v>
      </c>
      <c r="C217" t="s">
        <v>116</v>
      </c>
      <c r="D217" t="s">
        <v>419</v>
      </c>
      <c r="E217" t="s">
        <v>156</v>
      </c>
      <c r="F217" t="s">
        <v>560</v>
      </c>
      <c r="G217" t="str">
        <f>VLOOKUP(A:A,INVENTÁRIO_06_2025!A:A,1,0)</f>
        <v>SPRDAPSVNGRU01</v>
      </c>
      <c r="H217" t="str">
        <f>VLOOKUP(A:A,INVENTÁRIO_08_2025!A:A,1,0)</f>
        <v>SPRDAPSVNGRU01</v>
      </c>
    </row>
    <row r="218" spans="1:8" hidden="1">
      <c r="A218" s="15" t="s">
        <v>496</v>
      </c>
      <c r="B218" t="s">
        <v>61</v>
      </c>
      <c r="C218" t="s">
        <v>116</v>
      </c>
      <c r="D218" t="s">
        <v>419</v>
      </c>
      <c r="E218" t="s">
        <v>156</v>
      </c>
      <c r="F218" t="s">
        <v>560</v>
      </c>
      <c r="G218" t="str">
        <f>VLOOKUP(A:A,INVENTÁRIO_06_2025!A:A,1,0)</f>
        <v>SPRDAPUPSGRU01</v>
      </c>
      <c r="H218" t="str">
        <f>VLOOKUP(A:A,INVENTÁRIO_08_2025!A:A,1,0)</f>
        <v>SPRDAPUPSGRU01</v>
      </c>
    </row>
    <row r="219" spans="1:8" hidden="1">
      <c r="A219" s="15" t="s">
        <v>554</v>
      </c>
      <c r="B219" t="s">
        <v>61</v>
      </c>
      <c r="C219" t="s">
        <v>51</v>
      </c>
      <c r="D219" t="s">
        <v>555</v>
      </c>
      <c r="E219" t="s">
        <v>156</v>
      </c>
      <c r="F219" t="s">
        <v>560</v>
      </c>
      <c r="G219" t="str">
        <f>VLOOKUP(A:A,INVENTÁRIO_06_2025!A:A,1,0)</f>
        <v>SPRDAPVCSAGRU01</v>
      </c>
      <c r="H219" t="str">
        <f>VLOOKUP(A:A,INVENTÁRIO_08_2025!A:A,1,0)</f>
        <v>SPRDAPVCSAGRU01</v>
      </c>
    </row>
    <row r="220" spans="1:8" hidden="1">
      <c r="A220" s="15" t="s">
        <v>534</v>
      </c>
      <c r="B220" t="s">
        <v>61</v>
      </c>
      <c r="C220" t="s">
        <v>51</v>
      </c>
      <c r="D220" t="s">
        <v>276</v>
      </c>
      <c r="E220" t="s">
        <v>156</v>
      </c>
      <c r="F220" t="s">
        <v>560</v>
      </c>
      <c r="G220" t="str">
        <f>VLOOKUP(A:A,INVENTÁRIO_06_2025!A:A,1,0)</f>
        <v>SPRDAPVPRGRU03</v>
      </c>
      <c r="H220" t="str">
        <f>VLOOKUP(A:A,INVENTÁRIO_08_2025!A:A,1,0)</f>
        <v>SPRDAPVPRGRU03</v>
      </c>
    </row>
    <row r="221" spans="1:8" hidden="1">
      <c r="A221" s="15" t="s">
        <v>535</v>
      </c>
      <c r="B221" t="s">
        <v>61</v>
      </c>
      <c r="C221" t="s">
        <v>51</v>
      </c>
      <c r="D221" t="s">
        <v>276</v>
      </c>
      <c r="E221" t="s">
        <v>156</v>
      </c>
      <c r="F221" t="s">
        <v>560</v>
      </c>
      <c r="G221" t="str">
        <f>VLOOKUP(A:A,INVENTÁRIO_06_2025!A:A,1,0)</f>
        <v>SPRDAPVPRGRU04</v>
      </c>
      <c r="H221" t="str">
        <f>VLOOKUP(A:A,INVENTÁRIO_08_2025!A:A,1,0)</f>
        <v>SPRDAPVPRGRU04</v>
      </c>
    </row>
    <row r="222" spans="1:8" hidden="1">
      <c r="A222" s="15" t="s">
        <v>536</v>
      </c>
      <c r="B222" t="s">
        <v>61</v>
      </c>
      <c r="C222" t="s">
        <v>51</v>
      </c>
      <c r="D222" t="s">
        <v>276</v>
      </c>
      <c r="E222" t="s">
        <v>156</v>
      </c>
      <c r="F222" t="s">
        <v>560</v>
      </c>
      <c r="G222" t="str">
        <f>VLOOKUP(A:A,INVENTÁRIO_06_2025!A:A,1,0)</f>
        <v>SPRDAPVPRGRU05</v>
      </c>
      <c r="H222" t="str">
        <f>VLOOKUP(A:A,INVENTÁRIO_08_2025!A:A,1,0)</f>
        <v>SPRDAPVPRGRU05</v>
      </c>
    </row>
    <row r="223" spans="1:8" hidden="1">
      <c r="A223" s="15" t="s">
        <v>537</v>
      </c>
      <c r="B223" t="s">
        <v>61</v>
      </c>
      <c r="C223" t="s">
        <v>51</v>
      </c>
      <c r="D223" t="s">
        <v>276</v>
      </c>
      <c r="E223" t="s">
        <v>156</v>
      </c>
      <c r="F223" t="s">
        <v>560</v>
      </c>
      <c r="G223" t="str">
        <f>VLOOKUP(A:A,INVENTÁRIO_06_2025!A:A,1,0)</f>
        <v>SPRDAPVPRGRU06</v>
      </c>
      <c r="H223" t="str">
        <f>VLOOKUP(A:A,INVENTÁRIO_08_2025!A:A,1,0)</f>
        <v>SPRDAPVPRGRU06</v>
      </c>
    </row>
    <row r="224" spans="1:8" hidden="1">
      <c r="A224" s="15" t="s">
        <v>650</v>
      </c>
      <c r="B224" t="s">
        <v>61</v>
      </c>
      <c r="C224" t="s">
        <v>51</v>
      </c>
      <c r="D224" t="s">
        <v>276</v>
      </c>
      <c r="E224" t="s">
        <v>156</v>
      </c>
      <c r="F224" t="s">
        <v>560</v>
      </c>
      <c r="G224" t="str">
        <f>VLOOKUP(A:A,INVENTÁRIO_06_2025!A:A,1,0)</f>
        <v>SPRDAPVPRGRU07</v>
      </c>
      <c r="H224" t="str">
        <f>VLOOKUP(A:A,INVENTÁRIO_08_2025!A:A,1,0)</f>
        <v>SPRDAPVPRGRU07</v>
      </c>
    </row>
    <row r="225" spans="1:8" hidden="1">
      <c r="A225" s="15" t="s">
        <v>443</v>
      </c>
      <c r="B225" t="s">
        <v>61</v>
      </c>
      <c r="C225" t="s">
        <v>116</v>
      </c>
      <c r="D225" t="s">
        <v>129</v>
      </c>
      <c r="E225" t="s">
        <v>156</v>
      </c>
      <c r="F225" t="s">
        <v>560</v>
      </c>
      <c r="G225" t="str">
        <f>VLOOKUP(A:A,INVENTÁRIO_06_2025!A:A,1,0)</f>
        <v>SPRDAPVPXGRU01</v>
      </c>
      <c r="H225" t="str">
        <f>VLOOKUP(A:A,INVENTÁRIO_08_2025!A:A,1,0)</f>
        <v>SPRDAPVPXGRU01</v>
      </c>
    </row>
    <row r="226" spans="1:8" hidden="1">
      <c r="A226" s="15" t="s">
        <v>444</v>
      </c>
      <c r="B226" t="s">
        <v>61</v>
      </c>
      <c r="C226" t="s">
        <v>116</v>
      </c>
      <c r="D226" t="s">
        <v>129</v>
      </c>
      <c r="E226" t="s">
        <v>156</v>
      </c>
      <c r="F226" t="s">
        <v>560</v>
      </c>
      <c r="G226" t="str">
        <f>VLOOKUP(A:A,INVENTÁRIO_06_2025!A:A,1,0)</f>
        <v>SPRDAPVPXGRU02</v>
      </c>
      <c r="H226" t="str">
        <f>VLOOKUP(A:A,INVENTÁRIO_08_2025!A:A,1,0)</f>
        <v>SPRDAPVPXGRU02</v>
      </c>
    </row>
    <row r="227" spans="1:8" hidden="1">
      <c r="A227" s="15" t="s">
        <v>445</v>
      </c>
      <c r="B227" t="s">
        <v>61</v>
      </c>
      <c r="C227" t="s">
        <v>116</v>
      </c>
      <c r="D227" t="s">
        <v>129</v>
      </c>
      <c r="E227" t="s">
        <v>156</v>
      </c>
      <c r="F227" t="s">
        <v>560</v>
      </c>
      <c r="G227" t="str">
        <f>VLOOKUP(A:A,INVENTÁRIO_06_2025!A:A,1,0)</f>
        <v>SPRDAPVPXGRU03</v>
      </c>
      <c r="H227" t="str">
        <f>VLOOKUP(A:A,INVENTÁRIO_08_2025!A:A,1,0)</f>
        <v>SPRDAPVPXGRU03</v>
      </c>
    </row>
    <row r="228" spans="1:8" hidden="1">
      <c r="A228" s="15" t="s">
        <v>446</v>
      </c>
      <c r="B228" t="s">
        <v>61</v>
      </c>
      <c r="C228" t="s">
        <v>116</v>
      </c>
      <c r="D228" t="s">
        <v>129</v>
      </c>
      <c r="E228" t="s">
        <v>156</v>
      </c>
      <c r="F228" t="s">
        <v>560</v>
      </c>
      <c r="G228" t="str">
        <f>VLOOKUP(A:A,INVENTÁRIO_06_2025!A:A,1,0)</f>
        <v>SPRDAPVPXGRU04</v>
      </c>
      <c r="H228" t="str">
        <f>VLOOKUP(A:A,INVENTÁRIO_08_2025!A:A,1,0)</f>
        <v>SPRDAPVPXGRU04</v>
      </c>
    </row>
    <row r="229" spans="1:8" hidden="1">
      <c r="A229" s="15" t="s">
        <v>393</v>
      </c>
      <c r="B229" t="s">
        <v>61</v>
      </c>
      <c r="C229" t="s">
        <v>116</v>
      </c>
      <c r="D229" t="s">
        <v>117</v>
      </c>
      <c r="E229" t="s">
        <v>156</v>
      </c>
      <c r="F229" t="s">
        <v>560</v>
      </c>
      <c r="G229" t="str">
        <f>VLOOKUP(A:A,INVENTÁRIO_06_2025!A:A,1,0)</f>
        <v>SPRDAPWEBGRU01</v>
      </c>
      <c r="H229" t="str">
        <f>VLOOKUP(A:A,INVENTÁRIO_08_2025!A:A,1,0)</f>
        <v>SPRDAPWEBGRU01</v>
      </c>
    </row>
    <row r="230" spans="1:8" hidden="1">
      <c r="A230" s="15" t="s">
        <v>394</v>
      </c>
      <c r="B230" t="s">
        <v>61</v>
      </c>
      <c r="C230" t="s">
        <v>116</v>
      </c>
      <c r="D230" t="s">
        <v>117</v>
      </c>
      <c r="E230" t="s">
        <v>156</v>
      </c>
      <c r="F230" t="s">
        <v>560</v>
      </c>
      <c r="G230" t="str">
        <f>VLOOKUP(A:A,INVENTÁRIO_06_2025!A:A,1,0)</f>
        <v>SPRDAPWEBGRU02</v>
      </c>
      <c r="H230" t="str">
        <f>VLOOKUP(A:A,INVENTÁRIO_08_2025!A:A,1,0)</f>
        <v>SPRDAPWEBGRU02</v>
      </c>
    </row>
    <row r="231" spans="1:8" hidden="1">
      <c r="A231" s="15" t="s">
        <v>447</v>
      </c>
      <c r="B231" t="s">
        <v>61</v>
      </c>
      <c r="C231" t="s">
        <v>116</v>
      </c>
      <c r="D231" t="s">
        <v>425</v>
      </c>
      <c r="E231" t="s">
        <v>156</v>
      </c>
      <c r="F231" t="s">
        <v>560</v>
      </c>
      <c r="G231" t="str">
        <f>VLOOKUP(A:A,INVENTÁRIO_06_2025!A:A,1,0)</f>
        <v>SPRDAPWSGRU02</v>
      </c>
      <c r="H231" t="str">
        <f>VLOOKUP(A:A,INVENTÁRIO_08_2025!A:A,1,0)</f>
        <v>SPRDAPWSGRU02</v>
      </c>
    </row>
    <row r="232" spans="1:8" hidden="1">
      <c r="A232" s="15" t="s">
        <v>395</v>
      </c>
      <c r="B232" t="s">
        <v>61</v>
      </c>
      <c r="C232" t="s">
        <v>116</v>
      </c>
      <c r="D232" t="s">
        <v>122</v>
      </c>
      <c r="E232" t="s">
        <v>156</v>
      </c>
      <c r="F232" t="s">
        <v>560</v>
      </c>
      <c r="G232" t="str">
        <f>VLOOKUP(A:A,INVENTÁRIO_06_2025!A:A,1,0)</f>
        <v>SPRDAUTGRU02</v>
      </c>
      <c r="H232" t="str">
        <f>VLOOKUP(A:A,INVENTÁRIO_08_2025!A:A,1,0)</f>
        <v>SPRDAUTGRU02</v>
      </c>
    </row>
    <row r="233" spans="1:8" hidden="1">
      <c r="A233" s="15" t="s">
        <v>333</v>
      </c>
      <c r="B233" t="s">
        <v>61</v>
      </c>
      <c r="C233" t="s">
        <v>51</v>
      </c>
      <c r="D233" t="s">
        <v>329</v>
      </c>
      <c r="E233" t="s">
        <v>156</v>
      </c>
      <c r="F233" t="s">
        <v>560</v>
      </c>
      <c r="G233" t="str">
        <f>VLOOKUP(A:A,INVENTÁRIO_06_2025!A:A,1,0)</f>
        <v>SPRDBDDACGRU01</v>
      </c>
      <c r="H233" t="str">
        <f>VLOOKUP(A:A,INVENTÁRIO_08_2025!A:A,1,0)</f>
        <v>SPRDBDDACGRU01</v>
      </c>
    </row>
    <row r="234" spans="1:8" hidden="1">
      <c r="A234" s="15" t="s">
        <v>498</v>
      </c>
      <c r="B234" t="s">
        <v>61</v>
      </c>
      <c r="C234" t="s">
        <v>116</v>
      </c>
      <c r="D234" t="s">
        <v>153</v>
      </c>
      <c r="E234" t="s">
        <v>156</v>
      </c>
      <c r="F234" t="s">
        <v>560</v>
      </c>
      <c r="G234" t="str">
        <f>VLOOKUP(A:A,INVENTÁRIO_06_2025!A:A,1,0)</f>
        <v>SPRDBKPPSTGRU01</v>
      </c>
      <c r="H234" t="str">
        <f>VLOOKUP(A:A,INVENTÁRIO_08_2025!A:A,1,0)</f>
        <v>SPRDBKPPSTGRU01</v>
      </c>
    </row>
    <row r="235" spans="1:8" hidden="1">
      <c r="A235" s="15" t="s">
        <v>339</v>
      </c>
      <c r="B235" t="s">
        <v>61</v>
      </c>
      <c r="C235" t="s">
        <v>116</v>
      </c>
      <c r="D235" t="s">
        <v>337</v>
      </c>
      <c r="E235" t="s">
        <v>156</v>
      </c>
      <c r="F235" t="s">
        <v>560</v>
      </c>
      <c r="G235" t="str">
        <f>VLOOKUP(A:A,INVENTÁRIO_06_2025!A:A,1,0)</f>
        <v>SPRDCFGEXTGRU01</v>
      </c>
      <c r="H235" t="str">
        <f>VLOOKUP(A:A,INVENTÁRIO_08_2025!A:A,1,0)</f>
        <v>SPRDCFGEXTGRU01</v>
      </c>
    </row>
    <row r="236" spans="1:8" hidden="1">
      <c r="A236" s="15" t="s">
        <v>616</v>
      </c>
      <c r="B236" t="s">
        <v>61</v>
      </c>
      <c r="C236" t="s">
        <v>116</v>
      </c>
      <c r="D236" t="s">
        <v>572</v>
      </c>
      <c r="E236" t="s">
        <v>156</v>
      </c>
      <c r="F236" t="s">
        <v>560</v>
      </c>
      <c r="G236" t="str">
        <f>VLOOKUP(A:A,INVENTÁRIO_06_2025!A:A,1,0)</f>
        <v>SPRDFSQUA01</v>
      </c>
      <c r="H236" t="str">
        <f>VLOOKUP(A:A,INVENTÁRIO_08_2025!A:A,1,0)</f>
        <v>SPRDFSQUA01</v>
      </c>
    </row>
    <row r="237" spans="1:8" hidden="1">
      <c r="A237" s="15" t="s">
        <v>400</v>
      </c>
      <c r="B237" t="s">
        <v>61</v>
      </c>
      <c r="C237" t="s">
        <v>116</v>
      </c>
      <c r="D237" t="s">
        <v>122</v>
      </c>
      <c r="E237" t="s">
        <v>156</v>
      </c>
      <c r="F237" t="s">
        <v>560</v>
      </c>
      <c r="G237" t="str">
        <f>VLOOKUP(A:A,INVENTÁRIO_06_2025!A:A,1,0)</f>
        <v>SPRDIAMDATGRU01</v>
      </c>
      <c r="H237" t="str">
        <f>VLOOKUP(A:A,INVENTÁRIO_08_2025!A:A,1,0)</f>
        <v>SPRDIAMDATGRU01</v>
      </c>
    </row>
    <row r="238" spans="1:8" hidden="1">
      <c r="A238" s="15" t="s">
        <v>499</v>
      </c>
      <c r="B238" t="s">
        <v>61</v>
      </c>
      <c r="C238" t="s">
        <v>116</v>
      </c>
      <c r="D238" t="s">
        <v>425</v>
      </c>
      <c r="E238" t="s">
        <v>156</v>
      </c>
      <c r="F238" t="s">
        <v>560</v>
      </c>
      <c r="G238" t="str">
        <f>VLOOKUP(A:A,INVENTÁRIO_06_2025!A:A,1,0)</f>
        <v>SPRDIRGRU01</v>
      </c>
      <c r="H238" t="str">
        <f>VLOOKUP(A:A,INVENTÁRIO_08_2025!A:A,1,0)</f>
        <v>SPRDIRGRU01</v>
      </c>
    </row>
    <row r="239" spans="1:8" hidden="1">
      <c r="A239" s="15" t="s">
        <v>500</v>
      </c>
      <c r="B239" t="s">
        <v>61</v>
      </c>
      <c r="C239" t="s">
        <v>116</v>
      </c>
      <c r="D239" t="s">
        <v>136</v>
      </c>
      <c r="E239" t="s">
        <v>156</v>
      </c>
      <c r="F239" t="s">
        <v>560</v>
      </c>
      <c r="G239" t="str">
        <f>VLOOKUP(A:A,INVENTÁRIO_06_2025!A:A,1,0)</f>
        <v>SPRDJPBEUMER-01</v>
      </c>
      <c r="H239" t="str">
        <f>VLOOKUP(A:A,INVENTÁRIO_08_2025!A:A,1,0)</f>
        <v>SPRDJPBEUMER-01</v>
      </c>
    </row>
    <row r="240" spans="1:8" hidden="1">
      <c r="A240" s="15" t="s">
        <v>401</v>
      </c>
      <c r="B240" t="s">
        <v>61</v>
      </c>
      <c r="C240" t="s">
        <v>116</v>
      </c>
      <c r="D240" t="s">
        <v>122</v>
      </c>
      <c r="E240" t="s">
        <v>156</v>
      </c>
      <c r="F240" t="s">
        <v>560</v>
      </c>
      <c r="G240" t="str">
        <f>VLOOKUP(A:A,INVENTÁRIO_06_2025!A:A,1,0)</f>
        <v>SPRDPRGGRU02</v>
      </c>
      <c r="H240" t="str">
        <f>VLOOKUP(A:A,INVENTÁRIO_08_2025!A:A,1,0)</f>
        <v>SPRDPRGGRU02</v>
      </c>
    </row>
    <row r="241" spans="1:8" hidden="1">
      <c r="A241" s="15" t="s">
        <v>448</v>
      </c>
      <c r="B241" t="s">
        <v>50</v>
      </c>
      <c r="C241" t="s">
        <v>116</v>
      </c>
      <c r="D241" t="s">
        <v>126</v>
      </c>
      <c r="E241" t="s">
        <v>156</v>
      </c>
      <c r="F241" t="s">
        <v>560</v>
      </c>
      <c r="G241" t="str">
        <f>VLOOKUP(A:A,INVENTÁRIO_06_2025!A:A,1,0)</f>
        <v>SPRDSAPECFGRU01</v>
      </c>
      <c r="H241" t="str">
        <f>VLOOKUP(A:A,INVENTÁRIO_08_2025!A:A,1,0)</f>
        <v>SPRDSAPECFGRU01</v>
      </c>
    </row>
    <row r="242" spans="1:8" hidden="1">
      <c r="A242" t="s">
        <v>518</v>
      </c>
      <c r="B242" t="s">
        <v>61</v>
      </c>
      <c r="C242" t="s">
        <v>51</v>
      </c>
      <c r="D242" t="s">
        <v>85</v>
      </c>
      <c r="E242" t="s">
        <v>156</v>
      </c>
      <c r="F242" s="43" t="s">
        <v>75</v>
      </c>
      <c r="G242" t="str">
        <f>VLOOKUP(A:A,INVENTÁRIO_06_2025!A:A,1,0)</f>
        <v>SPRDSCANVUL01</v>
      </c>
      <c r="H242" t="str">
        <f>VLOOKUP(A:A,INVENTÁRIO_08_2025!A:A,1,0)</f>
        <v>SPRDSCANVUL01</v>
      </c>
    </row>
    <row r="243" spans="1:8" hidden="1">
      <c r="A243" s="15" t="s">
        <v>449</v>
      </c>
      <c r="B243" t="s">
        <v>61</v>
      </c>
      <c r="C243" t="s">
        <v>116</v>
      </c>
      <c r="D243" t="s">
        <v>126</v>
      </c>
      <c r="E243" t="s">
        <v>156</v>
      </c>
      <c r="F243" t="s">
        <v>560</v>
      </c>
      <c r="G243" t="str">
        <f>VLOOKUP(A:A,INVENTÁRIO_06_2025!A:A,1,0)</f>
        <v>SPRDSHPINTGRU01</v>
      </c>
      <c r="H243" t="str">
        <f>VLOOKUP(A:A,INVENTÁRIO_08_2025!A:A,1,0)</f>
        <v>SPRDSHPINTGRU01</v>
      </c>
    </row>
    <row r="244" spans="1:8" hidden="1">
      <c r="A244" s="15" t="s">
        <v>450</v>
      </c>
      <c r="B244" t="s">
        <v>61</v>
      </c>
      <c r="C244" t="s">
        <v>116</v>
      </c>
      <c r="D244" t="s">
        <v>126</v>
      </c>
      <c r="E244" t="s">
        <v>156</v>
      </c>
      <c r="F244" t="s">
        <v>560</v>
      </c>
      <c r="G244" t="str">
        <f>VLOOKUP(A:A,INVENTÁRIO_06_2025!A:A,1,0)</f>
        <v>SPRDSHPINTGRU02</v>
      </c>
      <c r="H244" t="str">
        <f>VLOOKUP(A:A,INVENTÁRIO_08_2025!A:A,1,0)</f>
        <v>SPRDSHPINTGRU02</v>
      </c>
    </row>
    <row r="245" spans="1:8" hidden="1">
      <c r="A245" s="15" t="s">
        <v>451</v>
      </c>
      <c r="B245" t="s">
        <v>61</v>
      </c>
      <c r="C245" t="s">
        <v>116</v>
      </c>
      <c r="D245" t="s">
        <v>126</v>
      </c>
      <c r="E245" t="s">
        <v>156</v>
      </c>
      <c r="F245" t="s">
        <v>560</v>
      </c>
      <c r="G245" t="str">
        <f>VLOOKUP(A:A,INVENTÁRIO_06_2025!A:A,1,0)</f>
        <v>SPRDSHPINTGRU03</v>
      </c>
      <c r="H245" t="str">
        <f>VLOOKUP(A:A,INVENTÁRIO_08_2025!A:A,1,0)</f>
        <v>SPRDSHPINTGRU03</v>
      </c>
    </row>
    <row r="246" spans="1:8" hidden="1">
      <c r="A246" s="15" t="s">
        <v>512</v>
      </c>
      <c r="B246" t="s">
        <v>61</v>
      </c>
      <c r="C246" t="s">
        <v>51</v>
      </c>
      <c r="D246" t="s">
        <v>285</v>
      </c>
      <c r="E246" t="s">
        <v>156</v>
      </c>
      <c r="F246" t="s">
        <v>560</v>
      </c>
      <c r="G246" t="str">
        <f>VLOOKUP(A:A,INVENTÁRIO_06_2025!A:A,1,0)</f>
        <v>SPRDSKINTGRU01</v>
      </c>
      <c r="H246" t="str">
        <f>VLOOKUP(A:A,INVENTÁRIO_08_2025!A:A,1,0)</f>
        <v>SPRDSKINTGRU01</v>
      </c>
    </row>
    <row r="247" spans="1:8" hidden="1">
      <c r="A247" s="15" t="s">
        <v>513</v>
      </c>
      <c r="B247" t="s">
        <v>61</v>
      </c>
      <c r="C247" t="s">
        <v>51</v>
      </c>
      <c r="D247" t="s">
        <v>278</v>
      </c>
      <c r="E247" t="s">
        <v>156</v>
      </c>
      <c r="F247" t="s">
        <v>560</v>
      </c>
      <c r="G247" t="str">
        <f>VLOOKUP(A:A,INVENTÁRIO_06_2025!A:A,1,0)</f>
        <v>SPRDSKQRCGRU01</v>
      </c>
      <c r="H247" t="str">
        <f>VLOOKUP(A:A,INVENTÁRIO_08_2025!A:A,1,0)</f>
        <v>SPRDSKQRCGRU01</v>
      </c>
    </row>
    <row r="248" spans="1:8" hidden="1">
      <c r="A248" s="15" t="s">
        <v>402</v>
      </c>
      <c r="B248" t="s">
        <v>50</v>
      </c>
      <c r="C248" t="s">
        <v>116</v>
      </c>
      <c r="D248" t="s">
        <v>163</v>
      </c>
      <c r="E248" t="s">
        <v>156</v>
      </c>
      <c r="F248" t="s">
        <v>560</v>
      </c>
      <c r="G248" t="str">
        <f>VLOOKUP(A:A,INVENTÁRIO_06_2025!A:A,1,0)</f>
        <v>SPRDSQLGRU01_NÂOLIGAR_2024071045001124</v>
      </c>
      <c r="H248" t="str">
        <f>VLOOKUP(A:A,INVENTÁRIO_08_2025!A:A,1,0)</f>
        <v>SPRDSQLGRU01_NÂOLIGAR_2024071045001124</v>
      </c>
    </row>
    <row r="249" spans="1:8" hidden="1">
      <c r="A249" s="15" t="s">
        <v>403</v>
      </c>
      <c r="B249" t="s">
        <v>61</v>
      </c>
      <c r="C249" t="s">
        <v>116</v>
      </c>
      <c r="D249" t="s">
        <v>117</v>
      </c>
      <c r="E249" t="s">
        <v>156</v>
      </c>
      <c r="F249" t="s">
        <v>560</v>
      </c>
      <c r="G249" t="str">
        <f>VLOOKUP(A:A,INVENTÁRIO_06_2025!A:A,1,0)</f>
        <v>SPRDSQLGRU02</v>
      </c>
      <c r="H249" t="str">
        <f>VLOOKUP(A:A,INVENTÁRIO_08_2025!A:A,1,0)</f>
        <v>SPRDSQLGRU02</v>
      </c>
    </row>
    <row r="250" spans="1:8" hidden="1">
      <c r="A250" s="15" t="s">
        <v>404</v>
      </c>
      <c r="B250" t="s">
        <v>61</v>
      </c>
      <c r="C250" t="s">
        <v>116</v>
      </c>
      <c r="D250" t="s">
        <v>117</v>
      </c>
      <c r="E250" t="s">
        <v>156</v>
      </c>
      <c r="F250" t="s">
        <v>560</v>
      </c>
      <c r="G250" t="str">
        <f>VLOOKUP(A:A,INVENTÁRIO_06_2025!A:A,1,0)</f>
        <v>SPRDSQLGRU07</v>
      </c>
      <c r="H250" t="str">
        <f>VLOOKUP(A:A,INVENTÁRIO_08_2025!A:A,1,0)</f>
        <v>SPRDSQLGRU07</v>
      </c>
    </row>
    <row r="251" spans="1:8" hidden="1">
      <c r="A251" t="s">
        <v>260</v>
      </c>
      <c r="B251" t="s">
        <v>61</v>
      </c>
      <c r="C251" t="s">
        <v>116</v>
      </c>
      <c r="D251" t="s">
        <v>136</v>
      </c>
      <c r="E251" t="s">
        <v>156</v>
      </c>
      <c r="F251" s="42" t="s">
        <v>75</v>
      </c>
      <c r="G251" t="str">
        <f>VLOOKUP(A:A,INVENTÁRIO_06_2025!A:A,1,0)</f>
        <v>SPRDSQLLGGRU02</v>
      </c>
      <c r="H251" t="str">
        <f>VLOOKUP(A:A,INVENTÁRIO_08_2025!A:A,1,0)</f>
        <v>SPRDSQLLGGRU02</v>
      </c>
    </row>
    <row r="252" spans="1:8">
      <c r="A252" t="s">
        <v>152</v>
      </c>
      <c r="B252" t="s">
        <v>61</v>
      </c>
      <c r="C252" t="s">
        <v>116</v>
      </c>
      <c r="D252" t="s">
        <v>153</v>
      </c>
      <c r="E252" t="s">
        <v>156</v>
      </c>
      <c r="F252" s="42" t="s">
        <v>75</v>
      </c>
      <c r="G252" t="str">
        <f>VLOOKUP(A:A,INVENTÁRIO_06_2025!A:A,1,0)</f>
        <v>SPRDTSQGRU01</v>
      </c>
      <c r="H252" t="str">
        <f>VLOOKUP(A:A,INVENTÁRIO_08_2025!A:A,1,0)</f>
        <v>SPRDTSQGRU01</v>
      </c>
    </row>
    <row r="253" spans="1:8" hidden="1">
      <c r="A253" t="s">
        <v>508</v>
      </c>
      <c r="B253" t="s">
        <v>61</v>
      </c>
      <c r="C253" t="s">
        <v>116</v>
      </c>
      <c r="D253" t="s">
        <v>153</v>
      </c>
      <c r="E253" t="s">
        <v>156</v>
      </c>
      <c r="F253" s="42" t="s">
        <v>75</v>
      </c>
      <c r="G253" t="str">
        <f>VLOOKUP(A:A,INVENTÁRIO_06_2025!A:A,1,0)</f>
        <v>SPRDTSQGRU02</v>
      </c>
      <c r="H253" t="str">
        <f>VLOOKUP(A:A,INVENTÁRIO_08_2025!A:A,1,0)</f>
        <v>SPRDTSQGRU02</v>
      </c>
    </row>
    <row r="254" spans="1:8" hidden="1">
      <c r="A254" s="15" t="s">
        <v>510</v>
      </c>
      <c r="B254" t="s">
        <v>61</v>
      </c>
      <c r="C254" t="s">
        <v>116</v>
      </c>
      <c r="D254" t="s">
        <v>136</v>
      </c>
      <c r="E254" t="s">
        <v>156</v>
      </c>
      <c r="F254" t="s">
        <v>560</v>
      </c>
      <c r="G254" t="str">
        <f>VLOOKUP(A:A,INVENTÁRIO_06_2025!A:A,1,0)</f>
        <v>SPRDVCHSEGRU04</v>
      </c>
      <c r="H254" t="str">
        <f>VLOOKUP(A:A,INVENTÁRIO_08_2025!A:A,1,0)</f>
        <v>SPRDVCHSEGRU04</v>
      </c>
    </row>
    <row r="255" spans="1:8" hidden="1">
      <c r="A255" s="15" t="s">
        <v>511</v>
      </c>
      <c r="B255" t="s">
        <v>61</v>
      </c>
      <c r="C255" t="s">
        <v>116</v>
      </c>
      <c r="D255" t="s">
        <v>136</v>
      </c>
      <c r="E255" t="s">
        <v>156</v>
      </c>
      <c r="F255" t="s">
        <v>560</v>
      </c>
      <c r="G255" t="str">
        <f>VLOOKUP(A:A,INVENTÁRIO_06_2025!A:A,1,0)</f>
        <v>SPRDVCHSEGRU05</v>
      </c>
      <c r="H255" t="str">
        <f>VLOOKUP(A:A,INVENTÁRIO_08_2025!A:A,1,0)</f>
        <v>SPRDVCHSEGRU05</v>
      </c>
    </row>
    <row r="256" spans="1:8" hidden="1">
      <c r="A256" s="15" t="s">
        <v>527</v>
      </c>
      <c r="B256" t="s">
        <v>61</v>
      </c>
      <c r="C256" t="s">
        <v>51</v>
      </c>
      <c r="D256" t="s">
        <v>85</v>
      </c>
      <c r="E256" t="s">
        <v>156</v>
      </c>
      <c r="F256" t="s">
        <v>560</v>
      </c>
      <c r="G256" t="str">
        <f>VLOOKUP(A:A,INVENTÁRIO_06_2025!A:A,1,0)</f>
        <v>SQASAPECGRU01</v>
      </c>
      <c r="H256" t="str">
        <f>VLOOKUP(A:A,INVENTÁRIO_08_2025!A:A,1,0)</f>
        <v>SQASAPECGRU01</v>
      </c>
    </row>
    <row r="257" spans="1:8" hidden="1">
      <c r="A257" s="15" t="s">
        <v>407</v>
      </c>
      <c r="B257" t="s">
        <v>61</v>
      </c>
      <c r="C257" t="s">
        <v>116</v>
      </c>
      <c r="D257" t="s">
        <v>163</v>
      </c>
      <c r="E257" t="s">
        <v>156</v>
      </c>
      <c r="F257" t="s">
        <v>560</v>
      </c>
      <c r="G257" t="str">
        <f>VLOOKUP(A:A,INVENTÁRIO_06_2025!A:A,1,0)</f>
        <v>SSHAREPOINT2-GRU</v>
      </c>
      <c r="H257" t="str">
        <f>VLOOKUP(A:A,INVENTÁRIO_08_2025!A:A,1,0)</f>
        <v>SSHAREPOINT2-GRU</v>
      </c>
    </row>
    <row r="258" spans="1:8" hidden="1">
      <c r="A258" s="15" t="s">
        <v>454</v>
      </c>
      <c r="B258" t="s">
        <v>61</v>
      </c>
      <c r="C258" t="s">
        <v>116</v>
      </c>
      <c r="D258" t="s">
        <v>126</v>
      </c>
      <c r="E258" t="s">
        <v>156</v>
      </c>
      <c r="F258" t="s">
        <v>560</v>
      </c>
      <c r="G258" t="str">
        <f>VLOOKUP(A:A,INVENTÁRIO_06_2025!A:A,1,0)</f>
        <v>STESAPCLLGRU01</v>
      </c>
      <c r="H258" t="str">
        <f>VLOOKUP(A:A,INVENTÁRIO_08_2025!A:A,1,0)</f>
        <v>STESAPCLLGRU01</v>
      </c>
    </row>
    <row r="259" spans="1:8" hidden="1">
      <c r="A259" s="15" t="s">
        <v>408</v>
      </c>
      <c r="B259" t="s">
        <v>61</v>
      </c>
      <c r="C259" t="s">
        <v>116</v>
      </c>
      <c r="D259" t="s">
        <v>117</v>
      </c>
      <c r="E259" t="s">
        <v>156</v>
      </c>
      <c r="F259" t="s">
        <v>560</v>
      </c>
      <c r="G259" t="str">
        <f>VLOOKUP(A:A,INVENTÁRIO_06_2025!A:A,1,0)</f>
        <v>STESAPPVGRU01</v>
      </c>
      <c r="H259" t="str">
        <f>VLOOKUP(A:A,INVENTÁRIO_08_2025!A:A,1,0)</f>
        <v>STESAPPVGRU01</v>
      </c>
    </row>
    <row r="260" spans="1:8" hidden="1">
      <c r="A260" s="15" t="s">
        <v>343</v>
      </c>
      <c r="B260" t="s">
        <v>61</v>
      </c>
      <c r="C260" t="s">
        <v>116</v>
      </c>
      <c r="D260" t="s">
        <v>341</v>
      </c>
      <c r="E260" t="s">
        <v>156</v>
      </c>
      <c r="F260" t="s">
        <v>560</v>
      </c>
      <c r="G260" t="str">
        <f>VLOOKUP(A:A,INVENTÁRIO_06_2025!A:A,1,0)</f>
        <v>SVEDI2-GRU</v>
      </c>
      <c r="H260" t="str">
        <f>VLOOKUP(A:A,INVENTÁRIO_08_2025!A:A,1,0)</f>
        <v>SVEDI2-GRU</v>
      </c>
    </row>
    <row r="261" spans="1:8" hidden="1">
      <c r="A261" s="15" t="s">
        <v>162</v>
      </c>
      <c r="B261" t="s">
        <v>61</v>
      </c>
      <c r="C261" t="s">
        <v>116</v>
      </c>
      <c r="D261" t="s">
        <v>117</v>
      </c>
      <c r="E261" t="s">
        <v>156</v>
      </c>
      <c r="F261" t="s">
        <v>75</v>
      </c>
      <c r="G261" t="str">
        <f>VLOOKUP(A:A,INVENTÁRIO_06_2025!A:A,1,0)</f>
        <v>CCTVGRU20</v>
      </c>
      <c r="H261" t="str">
        <f>VLOOKUP(A:A,INVENTÁRIO_08_2025!A:A,1,0)</f>
        <v>CCTVGRU20</v>
      </c>
    </row>
    <row r="262" spans="1:8" hidden="1">
      <c r="A262" s="15" t="s">
        <v>291</v>
      </c>
      <c r="B262" t="s">
        <v>61</v>
      </c>
      <c r="C262" t="s">
        <v>51</v>
      </c>
      <c r="D262" t="s">
        <v>111</v>
      </c>
      <c r="E262" t="s">
        <v>156</v>
      </c>
      <c r="F262" t="s">
        <v>75</v>
      </c>
      <c r="G262" t="str">
        <f>VLOOKUP(A:A,INVENTÁRIO_06_2025!A:A,1,0)</f>
        <v>PRDRMADS02</v>
      </c>
      <c r="H262" t="str">
        <f>VLOOKUP(A:A,INVENTÁRIO_08_2025!A:A,1,0)</f>
        <v>PRDRMADS02</v>
      </c>
    </row>
    <row r="263" spans="1:8" hidden="1">
      <c r="A263" s="15" t="s">
        <v>207</v>
      </c>
      <c r="B263" t="s">
        <v>61</v>
      </c>
      <c r="C263" t="s">
        <v>116</v>
      </c>
      <c r="D263" t="s">
        <v>136</v>
      </c>
      <c r="E263" t="s">
        <v>156</v>
      </c>
      <c r="F263" t="s">
        <v>75</v>
      </c>
      <c r="G263" t="str">
        <f>VLOOKUP(A:A,INVENTÁRIO_06_2025!A:A,1,0)</f>
        <v>PRDSQLSC020</v>
      </c>
      <c r="H263" t="str">
        <f>VLOOKUP(A:A,INVENTÁRIO_08_2025!A:A,1,0)</f>
        <v>PRDSQLSC020</v>
      </c>
    </row>
    <row r="264" spans="1:8" hidden="1">
      <c r="A264" s="15" t="s">
        <v>164</v>
      </c>
      <c r="B264" t="s">
        <v>61</v>
      </c>
      <c r="C264" t="s">
        <v>116</v>
      </c>
      <c r="D264" t="s">
        <v>122</v>
      </c>
      <c r="E264" t="s">
        <v>156</v>
      </c>
      <c r="F264" t="s">
        <v>75</v>
      </c>
      <c r="G264" t="str">
        <f>VLOOKUP(A:A,INVENTÁRIO_06_2025!A:A,1,0)</f>
        <v>SAD2-GRU</v>
      </c>
      <c r="H264" t="str">
        <f>VLOOKUP(A:A,INVENTÁRIO_08_2025!A:A,1,0)</f>
        <v>SAD2-GRU</v>
      </c>
    </row>
    <row r="265" spans="1:8" hidden="1">
      <c r="A265" s="15" t="s">
        <v>348</v>
      </c>
      <c r="B265" t="s">
        <v>61</v>
      </c>
      <c r="C265" t="s">
        <v>116</v>
      </c>
      <c r="D265" t="s">
        <v>163</v>
      </c>
      <c r="E265" t="s">
        <v>156</v>
      </c>
      <c r="F265" t="s">
        <v>75</v>
      </c>
      <c r="G265" t="str">
        <f>VLOOKUP(A:A,INVENTÁRIO_06_2025!A:A,1,0)</f>
        <v>SADGUESTGRU01</v>
      </c>
      <c r="H265" t="str">
        <f>VLOOKUP(A:A,INVENTÁRIO_08_2025!A:A,1,0)</f>
        <v>SADGUESTGRU01</v>
      </c>
    </row>
    <row r="266" spans="1:8" hidden="1">
      <c r="A266" s="15" t="s">
        <v>165</v>
      </c>
      <c r="B266" t="s">
        <v>61</v>
      </c>
      <c r="C266" t="s">
        <v>116</v>
      </c>
      <c r="D266" t="s">
        <v>122</v>
      </c>
      <c r="E266" t="s">
        <v>156</v>
      </c>
      <c r="F266" t="s">
        <v>75</v>
      </c>
      <c r="G266" t="str">
        <f>VLOOKUP(A:A,INVENTÁRIO_06_2025!A:A,1,0)</f>
        <v>SFTP1-GRU</v>
      </c>
      <c r="H266" t="str">
        <f>VLOOKUP(A:A,INVENTÁRIO_08_2025!A:A,1,0)</f>
        <v>SFTP1-GRU</v>
      </c>
    </row>
    <row r="267" spans="1:8" hidden="1">
      <c r="A267" s="15" t="s">
        <v>166</v>
      </c>
      <c r="B267" t="s">
        <v>61</v>
      </c>
      <c r="C267" t="s">
        <v>116</v>
      </c>
      <c r="D267" t="s">
        <v>122</v>
      </c>
      <c r="E267" t="s">
        <v>156</v>
      </c>
      <c r="F267" t="s">
        <v>75</v>
      </c>
      <c r="G267" t="str">
        <f>VLOOKUP(A:A,INVENTÁRIO_06_2025!A:A,1,0)</f>
        <v>SPRDADGRU02</v>
      </c>
      <c r="H267" t="str">
        <f>VLOOKUP(A:A,INVENTÁRIO_08_2025!A:A,1,0)</f>
        <v>SPRDADGRU02</v>
      </c>
    </row>
    <row r="268" spans="1:8" hidden="1">
      <c r="A268" s="15" t="s">
        <v>208</v>
      </c>
      <c r="B268" t="s">
        <v>61</v>
      </c>
      <c r="C268" t="s">
        <v>116</v>
      </c>
      <c r="D268" t="s">
        <v>419</v>
      </c>
      <c r="E268" t="s">
        <v>156</v>
      </c>
      <c r="F268" t="s">
        <v>75</v>
      </c>
      <c r="G268" t="str">
        <f>VLOOKUP(A:A,INVENTÁRIO_06_2025!A:A,1,0)</f>
        <v>SPRDADGRU03</v>
      </c>
      <c r="H268" t="str">
        <f>VLOOKUP(A:A,INVENTÁRIO_08_2025!A:A,1,0)</f>
        <v>SPRDADGRU03</v>
      </c>
    </row>
    <row r="269" spans="1:8" hidden="1">
      <c r="A269" s="15" t="s">
        <v>241</v>
      </c>
      <c r="B269" t="s">
        <v>61</v>
      </c>
      <c r="C269" t="s">
        <v>116</v>
      </c>
      <c r="D269" t="s">
        <v>419</v>
      </c>
      <c r="E269" t="s">
        <v>156</v>
      </c>
      <c r="F269" t="s">
        <v>75</v>
      </c>
      <c r="G269" t="str">
        <f>VLOOKUP(A:A,INVENTÁRIO_06_2025!A:A,1,0)</f>
        <v>SPRDADGRU04</v>
      </c>
      <c r="H269" t="str">
        <f>VLOOKUP(A:A,INVENTÁRIO_08_2025!A:A,1,0)</f>
        <v>SPRDADGRU04</v>
      </c>
    </row>
    <row r="270" spans="1:8" hidden="1">
      <c r="A270" s="15" t="s">
        <v>209</v>
      </c>
      <c r="B270" t="s">
        <v>61</v>
      </c>
      <c r="C270" t="s">
        <v>116</v>
      </c>
      <c r="D270" t="s">
        <v>136</v>
      </c>
      <c r="E270" t="s">
        <v>156</v>
      </c>
      <c r="F270" t="s">
        <v>75</v>
      </c>
      <c r="G270" t="str">
        <f>VLOOKUP(A:A,INVENTÁRIO_06_2025!A:A,1,0)</f>
        <v>SPRDAPAUDGRU01</v>
      </c>
      <c r="H270" t="str">
        <f>VLOOKUP(A:A,INVENTÁRIO_08_2025!A:A,1,0)</f>
        <v>SPRDAPAUDGRU01</v>
      </c>
    </row>
    <row r="271" spans="1:8" hidden="1">
      <c r="A271" s="15" t="s">
        <v>246</v>
      </c>
      <c r="B271" t="s">
        <v>61</v>
      </c>
      <c r="C271" t="s">
        <v>116</v>
      </c>
      <c r="D271" t="s">
        <v>572</v>
      </c>
      <c r="E271" t="s">
        <v>156</v>
      </c>
      <c r="F271" t="s">
        <v>75</v>
      </c>
      <c r="G271" t="str">
        <f>VLOOKUP(A:A,INVENTÁRIO_06_2025!A:A,1,0)</f>
        <v>SPRDAPBCBPGRU01</v>
      </c>
      <c r="H271" t="str">
        <f>VLOOKUP(A:A,INVENTÁRIO_08_2025!A:A,1,0)</f>
        <v>SPRDAPBCBPGRU01</v>
      </c>
    </row>
    <row r="272" spans="1:8" hidden="1">
      <c r="A272" s="15" t="s">
        <v>248</v>
      </c>
      <c r="B272" t="s">
        <v>61</v>
      </c>
      <c r="C272" t="s">
        <v>116</v>
      </c>
      <c r="D272" t="s">
        <v>572</v>
      </c>
      <c r="E272" t="s">
        <v>156</v>
      </c>
      <c r="F272" t="s">
        <v>75</v>
      </c>
      <c r="G272" t="str">
        <f>VLOOKUP(A:A,INVENTÁRIO_06_2025!A:A,1,0)</f>
        <v>SPRDAPBCBPGRU02</v>
      </c>
      <c r="H272" t="str">
        <f>VLOOKUP(A:A,INVENTÁRIO_08_2025!A:A,1,0)</f>
        <v>SPRDAPBCBPGRU02</v>
      </c>
    </row>
    <row r="273" spans="1:8" hidden="1">
      <c r="A273" s="15" t="s">
        <v>211</v>
      </c>
      <c r="B273" t="s">
        <v>61</v>
      </c>
      <c r="C273" t="s">
        <v>116</v>
      </c>
      <c r="D273" t="s">
        <v>136</v>
      </c>
      <c r="E273" t="s">
        <v>156</v>
      </c>
      <c r="F273" t="s">
        <v>75</v>
      </c>
      <c r="G273" t="str">
        <f>VLOOKUP(A:A,INVENTÁRIO_06_2025!A:A,1,0)</f>
        <v>SPRDAPBCCGRU01</v>
      </c>
      <c r="H273" t="str">
        <f>VLOOKUP(A:A,INVENTÁRIO_08_2025!A:A,1,0)</f>
        <v>SPRDAPBCCGRU01</v>
      </c>
    </row>
    <row r="274" spans="1:8" hidden="1">
      <c r="A274" s="15" t="s">
        <v>212</v>
      </c>
      <c r="B274" t="s">
        <v>61</v>
      </c>
      <c r="C274" t="s">
        <v>116</v>
      </c>
      <c r="D274" t="s">
        <v>136</v>
      </c>
      <c r="E274" t="s">
        <v>156</v>
      </c>
      <c r="F274" t="s">
        <v>75</v>
      </c>
      <c r="G274" t="str">
        <f>VLOOKUP(A:A,INVENTÁRIO_06_2025!A:A,1,0)</f>
        <v>SPRDAPBCCGRU02</v>
      </c>
      <c r="H274" t="str">
        <f>VLOOKUP(A:A,INVENTÁRIO_08_2025!A:A,1,0)</f>
        <v>SPRDAPBCCGRU02</v>
      </c>
    </row>
    <row r="275" spans="1:8" hidden="1">
      <c r="A275" s="15" t="s">
        <v>213</v>
      </c>
      <c r="B275" t="s">
        <v>61</v>
      </c>
      <c r="C275" t="s">
        <v>116</v>
      </c>
      <c r="D275" t="s">
        <v>136</v>
      </c>
      <c r="E275" t="s">
        <v>156</v>
      </c>
      <c r="F275" t="s">
        <v>75</v>
      </c>
      <c r="G275" t="str">
        <f>VLOOKUP(A:A,INVENTÁRIO_06_2025!A:A,1,0)</f>
        <v>SPRDAPBENGRU01</v>
      </c>
      <c r="H275" t="str">
        <f>VLOOKUP(A:A,INVENTÁRIO_08_2025!A:A,1,0)</f>
        <v>SPRDAPBENGRU01</v>
      </c>
    </row>
    <row r="276" spans="1:8" hidden="1">
      <c r="A276" s="15" t="s">
        <v>167</v>
      </c>
      <c r="B276" t="s">
        <v>61</v>
      </c>
      <c r="C276" t="s">
        <v>116</v>
      </c>
      <c r="D276" t="s">
        <v>122</v>
      </c>
      <c r="E276" t="s">
        <v>156</v>
      </c>
      <c r="F276" t="s">
        <v>75</v>
      </c>
      <c r="G276" t="str">
        <f>VLOOKUP(A:A,INVENTÁRIO_06_2025!A:A,1,0)</f>
        <v>SPRDAPCADGRU01</v>
      </c>
      <c r="H276" t="str">
        <f>VLOOKUP(A:A,INVENTÁRIO_08_2025!A:A,1,0)</f>
        <v>SPRDAPCADGRU01</v>
      </c>
    </row>
    <row r="277" spans="1:8" hidden="1">
      <c r="A277" s="15" t="s">
        <v>214</v>
      </c>
      <c r="B277" t="s">
        <v>61</v>
      </c>
      <c r="C277" t="s">
        <v>116</v>
      </c>
      <c r="D277" t="s">
        <v>425</v>
      </c>
      <c r="E277" t="s">
        <v>156</v>
      </c>
      <c r="F277" t="s">
        <v>75</v>
      </c>
      <c r="G277" t="str">
        <f>VLOOKUP(A:A,INVENTÁRIO_06_2025!A:A,1,0)</f>
        <v>SPRDAPCCGRU03</v>
      </c>
      <c r="H277" t="str">
        <f>VLOOKUP(A:A,INVENTÁRIO_08_2025!A:A,1,0)</f>
        <v>SPRDAPCCGRU03</v>
      </c>
    </row>
    <row r="278" spans="1:8" hidden="1">
      <c r="A278" s="15" t="s">
        <v>292</v>
      </c>
      <c r="B278" t="s">
        <v>61</v>
      </c>
      <c r="C278" t="s">
        <v>51</v>
      </c>
      <c r="D278" t="s">
        <v>111</v>
      </c>
      <c r="E278" t="s">
        <v>156</v>
      </c>
      <c r="F278" t="s">
        <v>75</v>
      </c>
      <c r="G278" t="str">
        <f>VLOOKUP(A:A,INVENTÁRIO_06_2025!A:A,1,0)</f>
        <v>SPRDAPCCPRGRU01</v>
      </c>
      <c r="H278" t="str">
        <f>VLOOKUP(A:A,INVENTÁRIO_08_2025!A:A,1,0)</f>
        <v>SPRDAPCCPRGRU01</v>
      </c>
    </row>
    <row r="279" spans="1:8" hidden="1">
      <c r="A279" s="15" t="s">
        <v>293</v>
      </c>
      <c r="B279" t="s">
        <v>61</v>
      </c>
      <c r="C279" t="s">
        <v>51</v>
      </c>
      <c r="D279" t="s">
        <v>111</v>
      </c>
      <c r="E279" t="s">
        <v>156</v>
      </c>
      <c r="F279" t="s">
        <v>75</v>
      </c>
      <c r="G279" t="str">
        <f>VLOOKUP(A:A,INVENTÁRIO_06_2025!A:A,1,0)</f>
        <v>SPRDAPCCPRGRU02</v>
      </c>
      <c r="H279" t="str">
        <f>VLOOKUP(A:A,INVENTÁRIO_08_2025!A:A,1,0)</f>
        <v>SPRDAPCCPRGRU02</v>
      </c>
    </row>
    <row r="280" spans="1:8" hidden="1">
      <c r="A280" s="15" t="s">
        <v>571</v>
      </c>
      <c r="B280" t="s">
        <v>61</v>
      </c>
      <c r="C280" t="s">
        <v>116</v>
      </c>
      <c r="D280" t="s">
        <v>572</v>
      </c>
      <c r="E280" t="s">
        <v>156</v>
      </c>
      <c r="F280" t="s">
        <v>75</v>
      </c>
      <c r="G280" t="str">
        <f>VLOOKUP(A:A,INVENTÁRIO_06_2025!A:A,1,0)</f>
        <v>SPRDAPCMSGRU10</v>
      </c>
      <c r="H280" t="str">
        <f>VLOOKUP(A:A,INVENTÁRIO_08_2025!A:A,1,0)</f>
        <v>SPRDAPCMSGRU10</v>
      </c>
    </row>
    <row r="281" spans="1:8" hidden="1">
      <c r="A281" s="15" t="s">
        <v>626</v>
      </c>
      <c r="B281" t="s">
        <v>61</v>
      </c>
      <c r="C281" t="s">
        <v>51</v>
      </c>
      <c r="D281" t="s">
        <v>295</v>
      </c>
      <c r="E281" t="s">
        <v>156</v>
      </c>
      <c r="F281" t="s">
        <v>75</v>
      </c>
      <c r="G281" t="str">
        <f>VLOOKUP(A:A,INVENTÁRIO_06_2025!A:A,1,0)</f>
        <v>SPRDAPCMSM01</v>
      </c>
      <c r="H281" t="str">
        <f>VLOOKUP(A:A,INVENTÁRIO_08_2025!A:A,1,0)</f>
        <v>SPRDAPCMSM01</v>
      </c>
    </row>
    <row r="282" spans="1:8" hidden="1">
      <c r="A282" s="15" t="s">
        <v>627</v>
      </c>
      <c r="B282" t="s">
        <v>61</v>
      </c>
      <c r="C282" t="s">
        <v>51</v>
      </c>
      <c r="D282" t="s">
        <v>295</v>
      </c>
      <c r="E282" t="s">
        <v>156</v>
      </c>
      <c r="F282" t="s">
        <v>75</v>
      </c>
      <c r="G282" t="str">
        <f>VLOOKUP(A:A,INVENTÁRIO_06_2025!A:A,1,0)</f>
        <v>SPRDAPCMSP01</v>
      </c>
      <c r="H282" t="str">
        <f>VLOOKUP(A:A,INVENTÁRIO_08_2025!A:A,1,0)</f>
        <v>SPRDAPCMSP01</v>
      </c>
    </row>
    <row r="283" spans="1:8" hidden="1">
      <c r="A283" s="15" t="s">
        <v>628</v>
      </c>
      <c r="B283" t="s">
        <v>61</v>
      </c>
      <c r="C283" t="s">
        <v>51</v>
      </c>
      <c r="D283" t="s">
        <v>295</v>
      </c>
      <c r="E283" t="s">
        <v>156</v>
      </c>
      <c r="F283" t="s">
        <v>75</v>
      </c>
      <c r="G283" t="str">
        <f>VLOOKUP(A:A,INVENTÁRIO_06_2025!A:A,1,0)</f>
        <v>SPRDAPCMSP02</v>
      </c>
      <c r="H283" t="str">
        <f>VLOOKUP(A:A,INVENTÁRIO_08_2025!A:A,1,0)</f>
        <v>SPRDAPCMSP02</v>
      </c>
    </row>
    <row r="284" spans="1:8" hidden="1">
      <c r="A284" s="15" t="s">
        <v>629</v>
      </c>
      <c r="B284" t="s">
        <v>61</v>
      </c>
      <c r="C284" t="s">
        <v>51</v>
      </c>
      <c r="D284" t="s">
        <v>295</v>
      </c>
      <c r="E284" t="s">
        <v>156</v>
      </c>
      <c r="F284" t="s">
        <v>75</v>
      </c>
      <c r="G284" t="str">
        <f>VLOOKUP(A:A,INVENTÁRIO_06_2025!A:A,1,0)</f>
        <v>SPRDAPCMSP03</v>
      </c>
      <c r="H284" t="str">
        <f>VLOOKUP(A:A,INVENTÁRIO_08_2025!A:A,1,0)</f>
        <v>SPRDAPCMSP03</v>
      </c>
    </row>
    <row r="285" spans="1:8" hidden="1">
      <c r="A285" s="15" t="s">
        <v>630</v>
      </c>
      <c r="B285" t="s">
        <v>61</v>
      </c>
      <c r="C285" t="s">
        <v>51</v>
      </c>
      <c r="D285" t="s">
        <v>295</v>
      </c>
      <c r="E285" t="s">
        <v>156</v>
      </c>
      <c r="F285" t="s">
        <v>75</v>
      </c>
      <c r="G285" t="str">
        <f>VLOOKUP(A:A,INVENTÁRIO_06_2025!A:A,1,0)</f>
        <v>SPRDAPCMSW01</v>
      </c>
      <c r="H285" t="str">
        <f>VLOOKUP(A:A,INVENTÁRIO_08_2025!A:A,1,0)</f>
        <v>SPRDAPCMSW01</v>
      </c>
    </row>
    <row r="286" spans="1:8" hidden="1">
      <c r="A286" s="15" t="s">
        <v>631</v>
      </c>
      <c r="B286" t="s">
        <v>61</v>
      </c>
      <c r="C286" t="s">
        <v>51</v>
      </c>
      <c r="D286" t="s">
        <v>295</v>
      </c>
      <c r="E286" t="s">
        <v>156</v>
      </c>
      <c r="F286" t="s">
        <v>75</v>
      </c>
      <c r="G286" t="str">
        <f>VLOOKUP(A:A,INVENTÁRIO_06_2025!A:A,1,0)</f>
        <v>SPRDAPCMSW02</v>
      </c>
      <c r="H286" t="str">
        <f>VLOOKUP(A:A,INVENTÁRIO_08_2025!A:A,1,0)</f>
        <v>SPRDAPCMSW02</v>
      </c>
    </row>
    <row r="287" spans="1:8" hidden="1">
      <c r="A287" s="15" t="s">
        <v>215</v>
      </c>
      <c r="B287" t="s">
        <v>61</v>
      </c>
      <c r="C287" t="s">
        <v>116</v>
      </c>
      <c r="D287" t="s">
        <v>419</v>
      </c>
      <c r="E287" t="s">
        <v>156</v>
      </c>
      <c r="F287" t="s">
        <v>75</v>
      </c>
      <c r="G287" t="str">
        <f>VLOOKUP(A:A,INVENTÁRIO_06_2025!A:A,1,0)</f>
        <v>SPRDAPCONVGRU01</v>
      </c>
      <c r="H287" t="str">
        <f>VLOOKUP(A:A,INVENTÁRIO_08_2025!A:A,1,0)</f>
        <v>SPRDAPCONVGRU01</v>
      </c>
    </row>
    <row r="288" spans="1:8" hidden="1">
      <c r="A288" s="15" t="s">
        <v>294</v>
      </c>
      <c r="B288" t="s">
        <v>61</v>
      </c>
      <c r="C288" t="s">
        <v>51</v>
      </c>
      <c r="D288" t="s">
        <v>295</v>
      </c>
      <c r="E288" t="s">
        <v>156</v>
      </c>
      <c r="F288" t="s">
        <v>75</v>
      </c>
      <c r="G288" t="str">
        <f>VLOOKUP(A:A,INVENTÁRIO_06_2025!A:A,1,0)</f>
        <v>SPRDAPCUPSGRU03</v>
      </c>
      <c r="H288" t="str">
        <f>VLOOKUP(A:A,INVENTÁRIO_08_2025!A:A,1,0)</f>
        <v>SPRDAPCUPSGRU03</v>
      </c>
    </row>
    <row r="289" spans="1:8" hidden="1">
      <c r="A289" s="15" t="s">
        <v>296</v>
      </c>
      <c r="B289" t="s">
        <v>61</v>
      </c>
      <c r="C289" t="s">
        <v>51</v>
      </c>
      <c r="D289" t="s">
        <v>295</v>
      </c>
      <c r="E289" t="s">
        <v>156</v>
      </c>
      <c r="F289" t="s">
        <v>75</v>
      </c>
      <c r="G289" t="str">
        <f>VLOOKUP(A:A,INVENTÁRIO_06_2025!A:A,1,0)</f>
        <v>SPRDAPCUPSGRU04</v>
      </c>
      <c r="H289" t="str">
        <f>VLOOKUP(A:A,INVENTÁRIO_08_2025!A:A,1,0)</f>
        <v>SPRDAPCUPSGRU04</v>
      </c>
    </row>
    <row r="290" spans="1:8" hidden="1">
      <c r="A290" s="15" t="s">
        <v>173</v>
      </c>
      <c r="B290" t="s">
        <v>61</v>
      </c>
      <c r="C290" t="s">
        <v>116</v>
      </c>
      <c r="D290" t="s">
        <v>129</v>
      </c>
      <c r="E290" t="s">
        <v>156</v>
      </c>
      <c r="F290" t="s">
        <v>75</v>
      </c>
      <c r="G290" t="str">
        <f>VLOOKUP(A:A,INVENTÁRIO_06_2025!A:A,1,0)</f>
        <v>SPRDAPDGFGRU02</v>
      </c>
      <c r="H290" t="str">
        <f>VLOOKUP(A:A,INVENTÁRIO_08_2025!A:A,1,0)</f>
        <v>SPRDAPDGFGRU02</v>
      </c>
    </row>
    <row r="291" spans="1:8" hidden="1">
      <c r="A291" s="15" t="s">
        <v>175</v>
      </c>
      <c r="B291" t="s">
        <v>61</v>
      </c>
      <c r="C291" t="s">
        <v>116</v>
      </c>
      <c r="D291" t="s">
        <v>126</v>
      </c>
      <c r="E291" t="s">
        <v>156</v>
      </c>
      <c r="F291" t="s">
        <v>75</v>
      </c>
      <c r="G291" t="str">
        <f>VLOOKUP(A:A,INVENTÁRIO_06_2025!A:A,1,0)</f>
        <v>SPRDAPDHCPGRU01</v>
      </c>
      <c r="H291" t="str">
        <f>VLOOKUP(A:A,INVENTÁRIO_08_2025!A:A,1,0)</f>
        <v>SPRDAPDHCPGRU01</v>
      </c>
    </row>
    <row r="292" spans="1:8" hidden="1">
      <c r="A292" s="15" t="s">
        <v>176</v>
      </c>
      <c r="B292" t="s">
        <v>61</v>
      </c>
      <c r="C292" t="s">
        <v>116</v>
      </c>
      <c r="D292" t="s">
        <v>126</v>
      </c>
      <c r="E292" t="s">
        <v>156</v>
      </c>
      <c r="F292" t="s">
        <v>75</v>
      </c>
      <c r="G292" t="str">
        <f>VLOOKUP(A:A,INVENTÁRIO_06_2025!A:A,1,0)</f>
        <v>SPRDAPDHCPGRU02</v>
      </c>
      <c r="H292" t="str">
        <f>VLOOKUP(A:A,INVENTÁRIO_08_2025!A:A,1,0)</f>
        <v>SPRDAPDHCPGRU02</v>
      </c>
    </row>
    <row r="293" spans="1:8" hidden="1">
      <c r="A293" s="15" t="s">
        <v>270</v>
      </c>
      <c r="B293" t="s">
        <v>61</v>
      </c>
      <c r="C293" t="s">
        <v>51</v>
      </c>
      <c r="D293" t="s">
        <v>271</v>
      </c>
      <c r="E293" t="s">
        <v>156</v>
      </c>
      <c r="F293" t="s">
        <v>75</v>
      </c>
      <c r="G293" t="str">
        <f>VLOOKUP(A:A,INVENTÁRIO_06_2025!A:A,1,0)</f>
        <v>SPRDAPDIPGRU01</v>
      </c>
      <c r="H293" t="str">
        <f>VLOOKUP(A:A,INVENTÁRIO_08_2025!A:A,1,0)</f>
        <v>SPRDAPDIPGRU01</v>
      </c>
    </row>
    <row r="294" spans="1:8" hidden="1">
      <c r="A294" s="15" t="s">
        <v>525</v>
      </c>
      <c r="B294" t="s">
        <v>61</v>
      </c>
      <c r="C294" t="s">
        <v>51</v>
      </c>
      <c r="D294" t="s">
        <v>526</v>
      </c>
      <c r="E294" t="s">
        <v>156</v>
      </c>
      <c r="F294" t="s">
        <v>75</v>
      </c>
      <c r="G294" t="str">
        <f>VLOOKUP(A:A,INVENTÁRIO_06_2025!A:A,1,0)</f>
        <v>SPRDAPDSMGRU01</v>
      </c>
      <c r="H294" t="str">
        <f>VLOOKUP(A:A,INVENTÁRIO_08_2025!A:A,1,0)</f>
        <v>SPRDAPDSMGRU01</v>
      </c>
    </row>
    <row r="295" spans="1:8" hidden="1">
      <c r="A295" s="15" t="s">
        <v>251</v>
      </c>
      <c r="B295" t="s">
        <v>61</v>
      </c>
      <c r="C295" t="s">
        <v>116</v>
      </c>
      <c r="D295" t="s">
        <v>247</v>
      </c>
      <c r="E295" t="s">
        <v>156</v>
      </c>
      <c r="F295" t="s">
        <v>75</v>
      </c>
      <c r="G295" t="str">
        <f>VLOOKUP(A:A,INVENTÁRIO_06_2025!A:A,1,0)</f>
        <v>SPRDAPEDI7GRU01</v>
      </c>
      <c r="H295" t="str">
        <f>VLOOKUP(A:A,INVENTÁRIO_08_2025!A:A,1,0)</f>
        <v>SPRDAPEDI7GRU01</v>
      </c>
    </row>
    <row r="296" spans="1:8" hidden="1">
      <c r="A296" s="15" t="s">
        <v>216</v>
      </c>
      <c r="B296" t="s">
        <v>61</v>
      </c>
      <c r="C296" t="s">
        <v>116</v>
      </c>
      <c r="D296" t="s">
        <v>419</v>
      </c>
      <c r="E296" t="s">
        <v>156</v>
      </c>
      <c r="F296" t="s">
        <v>75</v>
      </c>
      <c r="G296" t="str">
        <f>VLOOKUP(A:A,INVENTÁRIO_06_2025!A:A,1,0)</f>
        <v>SPRDAPEDIGRU01</v>
      </c>
      <c r="H296" t="str">
        <f>VLOOKUP(A:A,INVENTÁRIO_08_2025!A:A,1,0)</f>
        <v>SPRDAPEDIGRU01</v>
      </c>
    </row>
    <row r="297" spans="1:8" hidden="1">
      <c r="A297" s="15" t="s">
        <v>177</v>
      </c>
      <c r="B297" t="s">
        <v>61</v>
      </c>
      <c r="C297" t="s">
        <v>116</v>
      </c>
      <c r="D297" t="s">
        <v>174</v>
      </c>
      <c r="E297" t="s">
        <v>156</v>
      </c>
      <c r="F297" t="s">
        <v>75</v>
      </c>
      <c r="G297" t="str">
        <f>VLOOKUP(A:A,INVENTÁRIO_06_2025!A:A,1,0)</f>
        <v>SPRDAPEGTGRU01 - T3 EMB</v>
      </c>
      <c r="H297" t="str">
        <f>VLOOKUP(A:A,INVENTÁRIO_08_2025!A:A,1,0)</f>
        <v>SPRDAPEGTGRU01 - T3 EMB</v>
      </c>
    </row>
    <row r="298" spans="1:8" hidden="1">
      <c r="A298" s="15" t="s">
        <v>178</v>
      </c>
      <c r="B298" t="s">
        <v>61</v>
      </c>
      <c r="C298" t="s">
        <v>116</v>
      </c>
      <c r="D298" t="s">
        <v>174</v>
      </c>
      <c r="E298" t="s">
        <v>156</v>
      </c>
      <c r="F298" t="s">
        <v>75</v>
      </c>
      <c r="G298" t="str">
        <f>VLOOKUP(A:A,INVENTÁRIO_06_2025!A:A,1,0)</f>
        <v>SPRDAPEGTGRU02 - T2 EMB</v>
      </c>
      <c r="H298" t="str">
        <f>VLOOKUP(A:A,INVENTÁRIO_08_2025!A:A,1,0)</f>
        <v>SPRDAPEGTGRU02 - T2 EMB</v>
      </c>
    </row>
    <row r="299" spans="1:8" hidden="1">
      <c r="A299" s="15" t="s">
        <v>179</v>
      </c>
      <c r="B299" t="s">
        <v>61</v>
      </c>
      <c r="C299" t="s">
        <v>116</v>
      </c>
      <c r="D299" t="s">
        <v>174</v>
      </c>
      <c r="E299" t="s">
        <v>156</v>
      </c>
      <c r="F299" t="s">
        <v>75</v>
      </c>
      <c r="G299" t="str">
        <f>VLOOKUP(A:A,INVENTÁRIO_06_2025!A:A,1,0)</f>
        <v>SPRDAPEGTGRU03 - T3 DES</v>
      </c>
      <c r="H299" t="str">
        <f>VLOOKUP(A:A,INVENTÁRIO_08_2025!A:A,1,0)</f>
        <v>SPRDAPEGTGRU03 - T3 DES</v>
      </c>
    </row>
    <row r="300" spans="1:8" hidden="1">
      <c r="A300" s="15" t="s">
        <v>180</v>
      </c>
      <c r="B300" t="s">
        <v>61</v>
      </c>
      <c r="C300" t="s">
        <v>116</v>
      </c>
      <c r="D300" t="s">
        <v>174</v>
      </c>
      <c r="E300" t="s">
        <v>156</v>
      </c>
      <c r="F300" t="s">
        <v>75</v>
      </c>
      <c r="G300" t="str">
        <f>VLOOKUP(A:A,INVENTÁRIO_06_2025!A:A,1,0)</f>
        <v>SPRDAPEGTGRU04 - T2 DES</v>
      </c>
      <c r="H300" t="str">
        <f>VLOOKUP(A:A,INVENTÁRIO_08_2025!A:A,1,0)</f>
        <v>SPRDAPEGTGRU04 - T2 DES</v>
      </c>
    </row>
    <row r="301" spans="1:8" hidden="1">
      <c r="A301" s="15" t="s">
        <v>181</v>
      </c>
      <c r="B301" t="s">
        <v>61</v>
      </c>
      <c r="C301" t="s">
        <v>116</v>
      </c>
      <c r="D301" t="s">
        <v>672</v>
      </c>
      <c r="E301" t="s">
        <v>156</v>
      </c>
      <c r="F301" t="s">
        <v>75</v>
      </c>
      <c r="G301" t="str">
        <f>VLOOKUP(A:A,INVENTÁRIO_06_2025!A:A,1,0)</f>
        <v>SPRDAPEGTGRU05</v>
      </c>
      <c r="H301" t="str">
        <f>VLOOKUP(A:A,INVENTÁRIO_08_2025!A:A,1,0)</f>
        <v>SPRDAPEGTGRU05</v>
      </c>
    </row>
    <row r="302" spans="1:8" hidden="1">
      <c r="A302" s="15" t="s">
        <v>182</v>
      </c>
      <c r="B302" t="s">
        <v>61</v>
      </c>
      <c r="C302" t="s">
        <v>116</v>
      </c>
      <c r="D302" t="s">
        <v>672</v>
      </c>
      <c r="E302" t="s">
        <v>156</v>
      </c>
      <c r="F302" t="s">
        <v>75</v>
      </c>
      <c r="G302" t="str">
        <f>VLOOKUP(A:A,INVENTÁRIO_06_2025!A:A,1,0)</f>
        <v>SPRDAPEGTGRU06</v>
      </c>
      <c r="H302" t="str">
        <f>VLOOKUP(A:A,INVENTÁRIO_08_2025!A:A,1,0)</f>
        <v>SPRDAPEGTGRU06</v>
      </c>
    </row>
    <row r="303" spans="1:8" hidden="1">
      <c r="A303" s="15" t="s">
        <v>218</v>
      </c>
      <c r="B303" t="s">
        <v>61</v>
      </c>
      <c r="C303" t="s">
        <v>116</v>
      </c>
      <c r="D303" t="s">
        <v>572</v>
      </c>
      <c r="E303" t="s">
        <v>156</v>
      </c>
      <c r="F303" t="s">
        <v>75</v>
      </c>
      <c r="G303" t="str">
        <f>VLOOKUP(A:A,INVENTÁRIO_06_2025!A:A,1,0)</f>
        <v>SPRDAPESBGRU12</v>
      </c>
      <c r="H303" t="str">
        <f>VLOOKUP(A:A,INVENTÁRIO_08_2025!A:A,1,0)</f>
        <v>SPRDAPESBGRU12</v>
      </c>
    </row>
    <row r="304" spans="1:8" hidden="1">
      <c r="A304" s="15" t="s">
        <v>279</v>
      </c>
      <c r="B304" t="s">
        <v>61</v>
      </c>
      <c r="C304" t="s">
        <v>51</v>
      </c>
      <c r="D304" t="s">
        <v>280</v>
      </c>
      <c r="E304" t="s">
        <v>156</v>
      </c>
      <c r="F304" t="s">
        <v>75</v>
      </c>
      <c r="G304" t="str">
        <f>VLOOKUP(A:A,INVENTÁRIO_06_2025!A:A,1,0)</f>
        <v>SPRDAPEVFWGRU01</v>
      </c>
      <c r="H304" t="str">
        <f>VLOOKUP(A:A,INVENTÁRIO_08_2025!A:A,1,0)</f>
        <v>SPRDAPEVFWGRU01</v>
      </c>
    </row>
    <row r="305" spans="1:8" hidden="1">
      <c r="A305" s="15" t="s">
        <v>220</v>
      </c>
      <c r="B305" t="s">
        <v>61</v>
      </c>
      <c r="C305" t="s">
        <v>116</v>
      </c>
      <c r="D305" t="s">
        <v>136</v>
      </c>
      <c r="E305" t="s">
        <v>156</v>
      </c>
      <c r="F305" t="s">
        <v>75</v>
      </c>
      <c r="G305" t="str">
        <f>VLOOKUP(A:A,INVENTÁRIO_06_2025!A:A,1,0)</f>
        <v>SPRDAPFSGRU01</v>
      </c>
      <c r="H305" t="str">
        <f>VLOOKUP(A:A,INVENTÁRIO_08_2025!A:A,1,0)</f>
        <v>SPRDAPFSGRU01</v>
      </c>
    </row>
    <row r="306" spans="1:8" hidden="1">
      <c r="A306" s="15" t="s">
        <v>308</v>
      </c>
      <c r="B306" t="s">
        <v>61</v>
      </c>
      <c r="C306" t="s">
        <v>51</v>
      </c>
      <c r="D306" t="s">
        <v>114</v>
      </c>
      <c r="E306" t="s">
        <v>156</v>
      </c>
      <c r="F306" t="s">
        <v>75</v>
      </c>
      <c r="G306" t="str">
        <f>VLOOKUP(A:A,INVENTÁRIO_06_2025!A:A,1,0)</f>
        <v>SPRDAPGFNGRU02</v>
      </c>
      <c r="H306" t="str">
        <f>VLOOKUP(A:A,INVENTÁRIO_08_2025!A:A,1,0)</f>
        <v>SPRDAPGFNGRU02</v>
      </c>
    </row>
    <row r="307" spans="1:8" hidden="1">
      <c r="A307" s="15" t="s">
        <v>538</v>
      </c>
      <c r="B307" t="s">
        <v>61</v>
      </c>
      <c r="C307" t="s">
        <v>51</v>
      </c>
      <c r="D307" t="s">
        <v>114</v>
      </c>
      <c r="E307" t="s">
        <v>156</v>
      </c>
      <c r="F307" t="s">
        <v>75</v>
      </c>
      <c r="G307" t="str">
        <f>VLOOKUP(A:A,INVENTÁRIO_06_2025!A:A,1,0)</f>
        <v>SPRDAPGLPIGRU01</v>
      </c>
      <c r="H307" t="str">
        <f>VLOOKUP(A:A,INVENTÁRIO_08_2025!A:A,1,0)</f>
        <v>SPRDAPGLPIGRU01</v>
      </c>
    </row>
    <row r="308" spans="1:8" hidden="1">
      <c r="A308" s="15" t="s">
        <v>539</v>
      </c>
      <c r="B308" t="s">
        <v>61</v>
      </c>
      <c r="C308" t="s">
        <v>51</v>
      </c>
      <c r="D308" t="s">
        <v>114</v>
      </c>
      <c r="E308" t="s">
        <v>156</v>
      </c>
      <c r="F308" t="s">
        <v>75</v>
      </c>
      <c r="G308" t="str">
        <f>VLOOKUP(A:A,INVENTÁRIO_06_2025!A:A,1,0)</f>
        <v>SPRDAPGLPIGRU02</v>
      </c>
      <c r="H308" t="str">
        <f>VLOOKUP(A:A,INVENTÁRIO_08_2025!A:A,1,0)</f>
        <v>SPRDAPGLPIGRU02</v>
      </c>
    </row>
    <row r="309" spans="1:8" hidden="1">
      <c r="A309" s="15" t="s">
        <v>221</v>
      </c>
      <c r="B309" t="s">
        <v>61</v>
      </c>
      <c r="C309" t="s">
        <v>116</v>
      </c>
      <c r="D309" t="s">
        <v>425</v>
      </c>
      <c r="E309" t="s">
        <v>156</v>
      </c>
      <c r="F309" t="s">
        <v>75</v>
      </c>
      <c r="G309" t="str">
        <f>VLOOKUP(A:A,INVENTÁRIO_06_2025!A:A,1,0)</f>
        <v>SPRDAPHSEGRU01</v>
      </c>
      <c r="H309" t="str">
        <f>VLOOKUP(A:A,INVENTÁRIO_08_2025!A:A,1,0)</f>
        <v>SPRDAPHSEGRU01</v>
      </c>
    </row>
    <row r="310" spans="1:8" hidden="1">
      <c r="A310" s="15" t="s">
        <v>222</v>
      </c>
      <c r="B310" t="s">
        <v>61</v>
      </c>
      <c r="C310" t="s">
        <v>116</v>
      </c>
      <c r="D310" t="s">
        <v>425</v>
      </c>
      <c r="E310" t="s">
        <v>156</v>
      </c>
      <c r="F310" t="s">
        <v>75</v>
      </c>
      <c r="G310" t="str">
        <f>VLOOKUP(A:A,INVENTÁRIO_06_2025!A:A,1,0)</f>
        <v>SPRDAPHSEGRU02</v>
      </c>
      <c r="H310" t="str">
        <f>VLOOKUP(A:A,INVENTÁRIO_08_2025!A:A,1,0)</f>
        <v>SPRDAPHSEGRU02</v>
      </c>
    </row>
    <row r="311" spans="1:8" hidden="1">
      <c r="A311" s="15" t="s">
        <v>252</v>
      </c>
      <c r="B311" t="s">
        <v>61</v>
      </c>
      <c r="C311" t="s">
        <v>116</v>
      </c>
      <c r="D311" t="s">
        <v>136</v>
      </c>
      <c r="E311" t="s">
        <v>156</v>
      </c>
      <c r="F311" t="s">
        <v>75</v>
      </c>
      <c r="G311" t="str">
        <f>VLOOKUP(A:A,INVENTÁRIO_06_2025!A:A,1,0)</f>
        <v>SPRDAPHSEGRU06</v>
      </c>
      <c r="H311" t="str">
        <f>VLOOKUP(A:A,INVENTÁRIO_08_2025!A:A,1,0)</f>
        <v>SPRDAPHSEGRU06</v>
      </c>
    </row>
    <row r="312" spans="1:8" hidden="1">
      <c r="A312" s="15" t="s">
        <v>471</v>
      </c>
      <c r="B312" t="s">
        <v>61</v>
      </c>
      <c r="C312" t="s">
        <v>116</v>
      </c>
      <c r="D312" t="s">
        <v>419</v>
      </c>
      <c r="E312" t="s">
        <v>156</v>
      </c>
      <c r="F312" t="s">
        <v>75</v>
      </c>
      <c r="G312" t="str">
        <f>VLOOKUP(A:A,INVENTÁRIO_06_2025!A:A,1,0)</f>
        <v>SPRDAPIAMGRU05</v>
      </c>
      <c r="H312" t="str">
        <f>VLOOKUP(A:A,INVENTÁRIO_08_2025!A:A,1,0)</f>
        <v>SPRDAPIAMGRU05</v>
      </c>
    </row>
    <row r="313" spans="1:8" hidden="1">
      <c r="A313" s="15" t="s">
        <v>472</v>
      </c>
      <c r="B313" t="s">
        <v>61</v>
      </c>
      <c r="C313" t="s">
        <v>116</v>
      </c>
      <c r="D313" t="s">
        <v>419</v>
      </c>
      <c r="E313" t="s">
        <v>156</v>
      </c>
      <c r="F313" t="s">
        <v>75</v>
      </c>
      <c r="G313" t="str">
        <f>VLOOKUP(A:A,INVENTÁRIO_06_2025!A:A,1,0)</f>
        <v>SPRDAPIAMGRU06</v>
      </c>
      <c r="H313" t="str">
        <f>VLOOKUP(A:A,INVENTÁRIO_08_2025!A:A,1,0)</f>
        <v>SPRDAPIAMGRU06</v>
      </c>
    </row>
    <row r="314" spans="1:8" hidden="1">
      <c r="A314" s="15" t="s">
        <v>473</v>
      </c>
      <c r="B314" t="s">
        <v>61</v>
      </c>
      <c r="C314" t="s">
        <v>116</v>
      </c>
      <c r="D314" t="s">
        <v>419</v>
      </c>
      <c r="E314" t="s">
        <v>156</v>
      </c>
      <c r="F314" t="s">
        <v>75</v>
      </c>
      <c r="G314" t="str">
        <f>VLOOKUP(A:A,INVENTÁRIO_06_2025!A:A,1,0)</f>
        <v>SPRDAPIAMGRU07</v>
      </c>
      <c r="H314" t="str">
        <f>VLOOKUP(A:A,INVENTÁRIO_08_2025!A:A,1,0)</f>
        <v>SPRDAPIAMGRU07</v>
      </c>
    </row>
    <row r="315" spans="1:8" hidden="1">
      <c r="A315" s="15" t="s">
        <v>474</v>
      </c>
      <c r="B315" t="s">
        <v>61</v>
      </c>
      <c r="C315" t="s">
        <v>116</v>
      </c>
      <c r="D315" t="s">
        <v>419</v>
      </c>
      <c r="E315" t="s">
        <v>156</v>
      </c>
      <c r="F315" t="s">
        <v>75</v>
      </c>
      <c r="G315" t="str">
        <f>VLOOKUP(A:A,INVENTÁRIO_06_2025!A:A,1,0)</f>
        <v>SPRDAPIAMGRU08</v>
      </c>
      <c r="H315" t="str">
        <f>VLOOKUP(A:A,INVENTÁRIO_08_2025!A:A,1,0)</f>
        <v>SPRDAPIAMGRU08</v>
      </c>
    </row>
    <row r="316" spans="1:8" hidden="1">
      <c r="A316" s="15" t="s">
        <v>475</v>
      </c>
      <c r="B316" t="s">
        <v>61</v>
      </c>
      <c r="C316" t="s">
        <v>116</v>
      </c>
      <c r="D316" t="s">
        <v>419</v>
      </c>
      <c r="E316" t="s">
        <v>156</v>
      </c>
      <c r="F316" t="s">
        <v>75</v>
      </c>
      <c r="G316" t="str">
        <f>VLOOKUP(A:A,INVENTÁRIO_06_2025!A:A,1,0)</f>
        <v>SPRDAPIAMGRU09</v>
      </c>
      <c r="H316" t="str">
        <f>VLOOKUP(A:A,INVENTÁRIO_08_2025!A:A,1,0)</f>
        <v>SPRDAPIAMGRU09</v>
      </c>
    </row>
    <row r="317" spans="1:8" hidden="1">
      <c r="A317" s="15" t="s">
        <v>476</v>
      </c>
      <c r="B317" t="s">
        <v>61</v>
      </c>
      <c r="C317" t="s">
        <v>116</v>
      </c>
      <c r="D317" t="s">
        <v>419</v>
      </c>
      <c r="E317" t="s">
        <v>156</v>
      </c>
      <c r="F317" t="s">
        <v>75</v>
      </c>
      <c r="G317" t="str">
        <f>VLOOKUP(A:A,INVENTÁRIO_06_2025!A:A,1,0)</f>
        <v>SPRDAPIAMGRU10</v>
      </c>
      <c r="H317" t="str">
        <f>VLOOKUP(A:A,INVENTÁRIO_08_2025!A:A,1,0)</f>
        <v>SPRDAPIAMGRU10</v>
      </c>
    </row>
    <row r="318" spans="1:8" hidden="1">
      <c r="A318" s="15" t="s">
        <v>477</v>
      </c>
      <c r="B318" t="s">
        <v>61</v>
      </c>
      <c r="C318" t="s">
        <v>116</v>
      </c>
      <c r="D318" t="s">
        <v>419</v>
      </c>
      <c r="E318" t="s">
        <v>156</v>
      </c>
      <c r="F318" t="s">
        <v>75</v>
      </c>
      <c r="G318" t="str">
        <f>VLOOKUP(A:A,INVENTÁRIO_06_2025!A:A,1,0)</f>
        <v>SPRDAPIAMGRU11</v>
      </c>
      <c r="H318" t="str">
        <f>VLOOKUP(A:A,INVENTÁRIO_08_2025!A:A,1,0)</f>
        <v>SPRDAPIAMGRU11</v>
      </c>
    </row>
    <row r="319" spans="1:8" hidden="1">
      <c r="A319" s="15" t="s">
        <v>297</v>
      </c>
      <c r="B319" t="s">
        <v>61</v>
      </c>
      <c r="C319" t="s">
        <v>51</v>
      </c>
      <c r="D319" t="s">
        <v>109</v>
      </c>
      <c r="E319" t="s">
        <v>156</v>
      </c>
      <c r="F319" t="s">
        <v>75</v>
      </c>
      <c r="G319" t="str">
        <f>VLOOKUP(A:A,INVENTÁRIO_06_2025!A:A,1,0)</f>
        <v>SPRDAPIHSGRU01</v>
      </c>
      <c r="H319" t="str">
        <f>VLOOKUP(A:A,INVENTÁRIO_08_2025!A:A,1,0)</f>
        <v>SPRDAPIHSGRU01</v>
      </c>
    </row>
    <row r="320" spans="1:8" hidden="1">
      <c r="A320" s="15" t="s">
        <v>298</v>
      </c>
      <c r="B320" t="s">
        <v>61</v>
      </c>
      <c r="C320" t="s">
        <v>51</v>
      </c>
      <c r="D320" t="s">
        <v>109</v>
      </c>
      <c r="E320" t="s">
        <v>156</v>
      </c>
      <c r="F320" t="s">
        <v>75</v>
      </c>
      <c r="G320" t="str">
        <f>VLOOKUP(A:A,INVENTÁRIO_06_2025!A:A,1,0)</f>
        <v>SPRDAPIHSGRU02</v>
      </c>
      <c r="H320" t="str">
        <f>VLOOKUP(A:A,INVENTÁRIO_08_2025!A:A,1,0)</f>
        <v>SPRDAPIHSGRU02</v>
      </c>
    </row>
    <row r="321" spans="1:8" hidden="1">
      <c r="A321" s="15" t="s">
        <v>299</v>
      </c>
      <c r="B321" t="s">
        <v>61</v>
      </c>
      <c r="C321" t="s">
        <v>51</v>
      </c>
      <c r="D321" t="s">
        <v>295</v>
      </c>
      <c r="E321" t="s">
        <v>156</v>
      </c>
      <c r="F321" t="s">
        <v>75</v>
      </c>
      <c r="G321" t="str">
        <f>VLOOKUP(A:A,INVENTÁRIO_06_2025!A:A,1,0)</f>
        <v>SPRDAPIHSGRU03</v>
      </c>
      <c r="H321" t="str">
        <f>VLOOKUP(A:A,INVENTÁRIO_08_2025!A:A,1,0)</f>
        <v>SPRDAPIHSGRU03</v>
      </c>
    </row>
    <row r="322" spans="1:8" hidden="1">
      <c r="A322" s="15" t="s">
        <v>243</v>
      </c>
      <c r="B322" t="s">
        <v>61</v>
      </c>
      <c r="C322" t="s">
        <v>116</v>
      </c>
      <c r="D322" t="s">
        <v>141</v>
      </c>
      <c r="E322" t="s">
        <v>156</v>
      </c>
      <c r="F322" t="s">
        <v>75</v>
      </c>
      <c r="G322" t="str">
        <f>VLOOKUP(A:A,INVENTÁRIO_06_2025!A:A,1,0)</f>
        <v>SPRDAPILMTGRU02</v>
      </c>
      <c r="H322" t="str">
        <f>VLOOKUP(A:A,INVENTÁRIO_08_2025!A:A,1,0)</f>
        <v>SPRDAPILMTGRU02</v>
      </c>
    </row>
    <row r="323" spans="1:8" hidden="1">
      <c r="A323" s="15" t="s">
        <v>183</v>
      </c>
      <c r="B323" t="s">
        <v>61</v>
      </c>
      <c r="C323" t="s">
        <v>116</v>
      </c>
      <c r="D323" t="s">
        <v>126</v>
      </c>
      <c r="E323" t="s">
        <v>156</v>
      </c>
      <c r="F323" t="s">
        <v>75</v>
      </c>
      <c r="G323" t="str">
        <f>VLOOKUP(A:A,INVENTÁRIO_06_2025!A:A,1,0)</f>
        <v>SPRDAPIMCGRU01</v>
      </c>
      <c r="H323" t="str">
        <f>VLOOKUP(A:A,INVENTÁRIO_08_2025!A:A,1,0)</f>
        <v>SPRDAPIMCGRU01</v>
      </c>
    </row>
    <row r="324" spans="1:8" hidden="1">
      <c r="A324" s="15" t="s">
        <v>160</v>
      </c>
      <c r="B324" t="s">
        <v>61</v>
      </c>
      <c r="C324" t="s">
        <v>51</v>
      </c>
      <c r="D324" t="s">
        <v>161</v>
      </c>
      <c r="E324" t="s">
        <v>156</v>
      </c>
      <c r="F324" t="s">
        <v>75</v>
      </c>
      <c r="G324" t="str">
        <f>VLOOKUP(A:A,INVENTÁRIO_06_2025!A:A,1,0)</f>
        <v>SPRDAPINSGRU01</v>
      </c>
      <c r="H324" t="str">
        <f>VLOOKUP(A:A,INVENTÁRIO_08_2025!A:A,1,0)</f>
        <v>SPRDAPINSGRU01</v>
      </c>
    </row>
    <row r="325" spans="1:8" hidden="1">
      <c r="A325" s="15" t="s">
        <v>223</v>
      </c>
      <c r="B325" t="s">
        <v>61</v>
      </c>
      <c r="C325" t="s">
        <v>116</v>
      </c>
      <c r="D325" t="s">
        <v>425</v>
      </c>
      <c r="E325" t="s">
        <v>156</v>
      </c>
      <c r="F325" t="s">
        <v>75</v>
      </c>
      <c r="G325" t="str">
        <f>VLOOKUP(A:A,INVENTÁRIO_06_2025!A:A,1,0)</f>
        <v>SPRDAPINVGRU01</v>
      </c>
      <c r="H325" t="str">
        <f>VLOOKUP(A:A,INVENTÁRIO_08_2025!A:A,1,0)</f>
        <v>SPRDAPINVGRU01</v>
      </c>
    </row>
    <row r="326" spans="1:8" hidden="1">
      <c r="A326" s="15" t="s">
        <v>224</v>
      </c>
      <c r="B326" t="s">
        <v>61</v>
      </c>
      <c r="C326" t="s">
        <v>116</v>
      </c>
      <c r="D326" t="s">
        <v>425</v>
      </c>
      <c r="E326" t="s">
        <v>156</v>
      </c>
      <c r="F326" t="s">
        <v>75</v>
      </c>
      <c r="G326" t="str">
        <f>VLOOKUP(A:A,INVENTÁRIO_06_2025!A:A,1,0)</f>
        <v>SPRDAPINVGRU02</v>
      </c>
      <c r="H326" t="str">
        <f>VLOOKUP(A:A,INVENTÁRIO_08_2025!A:A,1,0)</f>
        <v>SPRDAPINVGRU02</v>
      </c>
    </row>
    <row r="327" spans="1:8" hidden="1">
      <c r="A327" s="15" t="s">
        <v>225</v>
      </c>
      <c r="B327" t="s">
        <v>61</v>
      </c>
      <c r="C327" t="s">
        <v>116</v>
      </c>
      <c r="D327" t="s">
        <v>425</v>
      </c>
      <c r="E327" t="s">
        <v>156</v>
      </c>
      <c r="F327" t="s">
        <v>75</v>
      </c>
      <c r="G327" t="str">
        <f>VLOOKUP(A:A,INVENTÁRIO_06_2025!A:A,1,0)</f>
        <v>SPRDAPINVGRU03</v>
      </c>
      <c r="H327" t="str">
        <f>VLOOKUP(A:A,INVENTÁRIO_08_2025!A:A,1,0)</f>
        <v>SPRDAPINVGRU03</v>
      </c>
    </row>
    <row r="328" spans="1:8" hidden="1">
      <c r="A328" s="15" t="s">
        <v>226</v>
      </c>
      <c r="B328" t="s">
        <v>61</v>
      </c>
      <c r="C328" t="s">
        <v>116</v>
      </c>
      <c r="D328" t="s">
        <v>425</v>
      </c>
      <c r="E328" t="s">
        <v>156</v>
      </c>
      <c r="F328" t="s">
        <v>75</v>
      </c>
      <c r="G328" t="str">
        <f>VLOOKUP(A:A,INVENTÁRIO_06_2025!A:A,1,0)</f>
        <v>SPRDAPINVGRU04</v>
      </c>
      <c r="H328" t="str">
        <f>VLOOKUP(A:A,INVENTÁRIO_08_2025!A:A,1,0)</f>
        <v>SPRDAPINVGRU04</v>
      </c>
    </row>
    <row r="329" spans="1:8" hidden="1">
      <c r="A329" s="15" t="s">
        <v>227</v>
      </c>
      <c r="B329" t="s">
        <v>61</v>
      </c>
      <c r="C329" t="s">
        <v>116</v>
      </c>
      <c r="D329" t="s">
        <v>425</v>
      </c>
      <c r="E329" t="s">
        <v>156</v>
      </c>
      <c r="F329" t="s">
        <v>75</v>
      </c>
      <c r="G329" t="str">
        <f>VLOOKUP(A:A,INVENTÁRIO_06_2025!A:A,1,0)</f>
        <v>SPRDAPINVGRU07</v>
      </c>
      <c r="H329" t="str">
        <f>VLOOKUP(A:A,INVENTÁRIO_08_2025!A:A,1,0)</f>
        <v>SPRDAPINVGRU07</v>
      </c>
    </row>
    <row r="330" spans="1:8" hidden="1">
      <c r="A330" s="15" t="s">
        <v>479</v>
      </c>
      <c r="B330" t="s">
        <v>61</v>
      </c>
      <c r="C330" t="s">
        <v>116</v>
      </c>
      <c r="D330" t="s">
        <v>136</v>
      </c>
      <c r="E330" t="s">
        <v>156</v>
      </c>
      <c r="F330" t="s">
        <v>75</v>
      </c>
      <c r="G330" t="str">
        <f>VLOOKUP(A:A,INVENTÁRIO_06_2025!A:A,1,0)</f>
        <v>SPRDAPINVGRU09</v>
      </c>
      <c r="H330" t="str">
        <f>VLOOKUP(A:A,INVENTÁRIO_08_2025!A:A,1,0)</f>
        <v>SPRDAPINVGRU09</v>
      </c>
    </row>
    <row r="331" spans="1:8" hidden="1">
      <c r="A331" s="15" t="s">
        <v>244</v>
      </c>
      <c r="B331" t="s">
        <v>61</v>
      </c>
      <c r="C331" t="s">
        <v>116</v>
      </c>
      <c r="D331" t="s">
        <v>242</v>
      </c>
      <c r="E331" t="s">
        <v>156</v>
      </c>
      <c r="F331" t="s">
        <v>75</v>
      </c>
      <c r="G331" t="str">
        <f>VLOOKUP(A:A,INVENTÁRIO_06_2025!A:A,1,0)</f>
        <v>SPRDAPJPGRU02</v>
      </c>
      <c r="H331" t="str">
        <f>VLOOKUP(A:A,INVENTÁRIO_08_2025!A:A,1,0)</f>
        <v>SPRDAPJPGRU02</v>
      </c>
    </row>
    <row r="332" spans="1:8" hidden="1">
      <c r="A332" s="15" t="s">
        <v>253</v>
      </c>
      <c r="B332" t="s">
        <v>61</v>
      </c>
      <c r="C332" t="s">
        <v>116</v>
      </c>
      <c r="D332" t="s">
        <v>141</v>
      </c>
      <c r="E332" t="s">
        <v>156</v>
      </c>
      <c r="F332" t="s">
        <v>75</v>
      </c>
      <c r="G332" t="str">
        <f>VLOOKUP(A:A,INVENTÁRIO_06_2025!A:A,1,0)</f>
        <v>SPRDAPJPGRU03</v>
      </c>
      <c r="H332" t="str">
        <f>VLOOKUP(A:A,INVENTÁRIO_08_2025!A:A,1,0)</f>
        <v>SPRDAPJPGRU03</v>
      </c>
    </row>
    <row r="333" spans="1:8" hidden="1">
      <c r="A333" s="15" t="s">
        <v>254</v>
      </c>
      <c r="B333" t="s">
        <v>61</v>
      </c>
      <c r="C333" t="s">
        <v>116</v>
      </c>
      <c r="D333" t="s">
        <v>141</v>
      </c>
      <c r="E333" t="s">
        <v>156</v>
      </c>
      <c r="F333" t="s">
        <v>75</v>
      </c>
      <c r="G333" t="str">
        <f>VLOOKUP(A:A,INVENTÁRIO_06_2025!A:A,1,0)</f>
        <v>SPRDAPJPGRU04</v>
      </c>
      <c r="H333" t="str">
        <f>VLOOKUP(A:A,INVENTÁRIO_08_2025!A:A,1,0)</f>
        <v>SPRDAPJPGRU04</v>
      </c>
    </row>
    <row r="334" spans="1:8" hidden="1">
      <c r="A334" s="15" t="s">
        <v>255</v>
      </c>
      <c r="B334" t="s">
        <v>61</v>
      </c>
      <c r="C334" t="s">
        <v>116</v>
      </c>
      <c r="D334" t="s">
        <v>141</v>
      </c>
      <c r="E334" t="s">
        <v>156</v>
      </c>
      <c r="F334" t="s">
        <v>75</v>
      </c>
      <c r="G334" t="str">
        <f>VLOOKUP(A:A,INVENTÁRIO_06_2025!A:A,1,0)</f>
        <v>SPRDAPJPGRU05</v>
      </c>
      <c r="H334" t="str">
        <f>VLOOKUP(A:A,INVENTÁRIO_08_2025!A:A,1,0)</f>
        <v>SPRDAPJPGRU05</v>
      </c>
    </row>
    <row r="335" spans="1:8" hidden="1">
      <c r="A335" s="15" t="s">
        <v>245</v>
      </c>
      <c r="B335" t="s">
        <v>50</v>
      </c>
      <c r="C335" t="s">
        <v>116</v>
      </c>
      <c r="D335" t="s">
        <v>242</v>
      </c>
      <c r="E335" t="s">
        <v>156</v>
      </c>
      <c r="F335" t="s">
        <v>75</v>
      </c>
      <c r="G335" t="str">
        <f>VLOOKUP(A:A,INVENTÁRIO_06_2025!A:A,1,0)</f>
        <v>SPRDAPJPGRUXX</v>
      </c>
      <c r="H335" t="str">
        <f>VLOOKUP(A:A,INVENTÁRIO_08_2025!A:A,1,0)</f>
        <v>SPRDAPJPGRUXX</v>
      </c>
    </row>
    <row r="336" spans="1:8" hidden="1">
      <c r="A336" s="15" t="s">
        <v>228</v>
      </c>
      <c r="B336" t="s">
        <v>61</v>
      </c>
      <c r="C336" t="s">
        <v>116</v>
      </c>
      <c r="D336" t="s">
        <v>425</v>
      </c>
      <c r="E336" t="s">
        <v>156</v>
      </c>
      <c r="F336" t="s">
        <v>75</v>
      </c>
      <c r="G336" t="str">
        <f>VLOOKUP(A:A,INVENTÁRIO_06_2025!A:A,1,0)</f>
        <v>SPRDAPLGGRU01</v>
      </c>
      <c r="H336" t="str">
        <f>VLOOKUP(A:A,INVENTÁRIO_08_2025!A:A,1,0)</f>
        <v>SPRDAPLGGRU01</v>
      </c>
    </row>
    <row r="337" spans="1:8" hidden="1">
      <c r="A337" s="15" t="s">
        <v>229</v>
      </c>
      <c r="B337" t="s">
        <v>61</v>
      </c>
      <c r="C337" t="s">
        <v>116</v>
      </c>
      <c r="D337" t="s">
        <v>136</v>
      </c>
      <c r="E337" t="s">
        <v>156</v>
      </c>
      <c r="F337" t="s">
        <v>75</v>
      </c>
      <c r="G337" t="str">
        <f>VLOOKUP(A:A,INVENTÁRIO_06_2025!A:A,1,0)</f>
        <v>SPRDAPLGGRU03</v>
      </c>
      <c r="H337" t="str">
        <f>VLOOKUP(A:A,INVENTÁRIO_08_2025!A:A,1,0)</f>
        <v>SPRDAPLGGRU03</v>
      </c>
    </row>
    <row r="338" spans="1:8" hidden="1">
      <c r="A338" s="15" t="s">
        <v>332</v>
      </c>
      <c r="B338" t="s">
        <v>61</v>
      </c>
      <c r="C338" t="s">
        <v>51</v>
      </c>
      <c r="D338" t="s">
        <v>567</v>
      </c>
      <c r="E338" t="s">
        <v>156</v>
      </c>
      <c r="F338" t="s">
        <v>75</v>
      </c>
      <c r="G338" t="str">
        <f>VLOOKUP(A:A,INVENTÁRIO_06_2025!A:A,1,0)</f>
        <v>SPRDAPLOGSGRU01</v>
      </c>
      <c r="H338" t="str">
        <f>VLOOKUP(A:A,INVENTÁRIO_08_2025!A:A,1,0)</f>
        <v>SPRDAPLOGSGRU01</v>
      </c>
    </row>
    <row r="339" spans="1:8" hidden="1">
      <c r="A339" s="15" t="s">
        <v>690</v>
      </c>
      <c r="B339" t="s">
        <v>61</v>
      </c>
      <c r="C339" t="s">
        <v>51</v>
      </c>
      <c r="D339" t="s">
        <v>697</v>
      </c>
      <c r="E339" t="s">
        <v>156</v>
      </c>
      <c r="F339" s="42" t="s">
        <v>75</v>
      </c>
      <c r="G339" t="e">
        <f>VLOOKUP(A:A,INVENTÁRIO_06_2025!A:A,1,0)</f>
        <v>#N/A</v>
      </c>
      <c r="H339" t="str">
        <f>VLOOKUP(A:A,INVENTÁRIO_08_2025!A:A,1,0)</f>
        <v>SPRDAPMISP01</v>
      </c>
    </row>
    <row r="340" spans="1:8" hidden="1">
      <c r="A340" s="15" t="s">
        <v>168</v>
      </c>
      <c r="B340" t="s">
        <v>61</v>
      </c>
      <c r="C340" t="s">
        <v>116</v>
      </c>
      <c r="D340" t="s">
        <v>117</v>
      </c>
      <c r="E340" t="s">
        <v>156</v>
      </c>
      <c r="F340" t="s">
        <v>75</v>
      </c>
      <c r="G340" t="str">
        <f>VLOOKUP(A:A,INVENTÁRIO_06_2025!A:A,1,0)</f>
        <v>SPRDAPNAPGRU01</v>
      </c>
      <c r="H340" t="str">
        <f>VLOOKUP(A:A,INVENTÁRIO_08_2025!A:A,1,0)</f>
        <v>SPRDAPNAPGRU01</v>
      </c>
    </row>
    <row r="341" spans="1:8" hidden="1">
      <c r="A341" s="15" t="s">
        <v>289</v>
      </c>
      <c r="B341" t="s">
        <v>61</v>
      </c>
      <c r="C341" t="s">
        <v>51</v>
      </c>
      <c r="D341" t="s">
        <v>85</v>
      </c>
      <c r="E341" t="s">
        <v>156</v>
      </c>
      <c r="F341" t="s">
        <v>75</v>
      </c>
      <c r="G341" t="str">
        <f>VLOOKUP(A:A,INVENTÁRIO_06_2025!A:A,1,0)</f>
        <v>SPRDAPNBKGRU01</v>
      </c>
      <c r="H341" t="str">
        <f>VLOOKUP(A:A,INVENTÁRIO_08_2025!A:A,1,0)</f>
        <v>SPRDAPNBKGRU01</v>
      </c>
    </row>
    <row r="342" spans="1:8" hidden="1">
      <c r="A342" s="15" t="s">
        <v>300</v>
      </c>
      <c r="B342" t="s">
        <v>61</v>
      </c>
      <c r="C342" t="s">
        <v>51</v>
      </c>
      <c r="D342" t="s">
        <v>295</v>
      </c>
      <c r="E342" t="s">
        <v>156</v>
      </c>
      <c r="F342" t="s">
        <v>75</v>
      </c>
      <c r="G342" t="str">
        <f>VLOOKUP(A:A,INVENTÁRIO_06_2025!A:A,1,0)</f>
        <v>SPRDAPNFSGRU01</v>
      </c>
      <c r="H342" t="str">
        <f>VLOOKUP(A:A,INVENTÁRIO_08_2025!A:A,1,0)</f>
        <v>SPRDAPNFSGRU01</v>
      </c>
    </row>
    <row r="343" spans="1:8" hidden="1">
      <c r="A343" s="15" t="s">
        <v>272</v>
      </c>
      <c r="B343" t="s">
        <v>61</v>
      </c>
      <c r="C343" t="s">
        <v>51</v>
      </c>
      <c r="D343" t="s">
        <v>273</v>
      </c>
      <c r="E343" t="s">
        <v>156</v>
      </c>
      <c r="F343" t="s">
        <v>75</v>
      </c>
      <c r="G343" t="str">
        <f>VLOOKUP(A:A,INVENTÁRIO_06_2025!A:A,1,0)</f>
        <v>SPRDAPNLBGRU01</v>
      </c>
      <c r="H343" t="str">
        <f>VLOOKUP(A:A,INVENTÁRIO_08_2025!A:A,1,0)</f>
        <v>SPRDAPNLBGRU01</v>
      </c>
    </row>
    <row r="344" spans="1:8" hidden="1">
      <c r="A344" s="15" t="s">
        <v>274</v>
      </c>
      <c r="B344" t="s">
        <v>61</v>
      </c>
      <c r="C344" t="s">
        <v>51</v>
      </c>
      <c r="D344" t="s">
        <v>273</v>
      </c>
      <c r="E344" t="s">
        <v>156</v>
      </c>
      <c r="F344" t="s">
        <v>75</v>
      </c>
      <c r="G344" t="str">
        <f>VLOOKUP(A:A,INVENTÁRIO_06_2025!A:A,1,0)</f>
        <v>SPRDAPNLBGRU02</v>
      </c>
      <c r="H344" t="str">
        <f>VLOOKUP(A:A,INVENTÁRIO_08_2025!A:A,1,0)</f>
        <v>SPRDAPNLBGRU02</v>
      </c>
    </row>
    <row r="345" spans="1:8" hidden="1">
      <c r="A345" s="15" t="s">
        <v>303</v>
      </c>
      <c r="B345" t="s">
        <v>61</v>
      </c>
      <c r="C345" t="s">
        <v>51</v>
      </c>
      <c r="D345" t="s">
        <v>111</v>
      </c>
      <c r="E345" t="s">
        <v>156</v>
      </c>
      <c r="F345" t="s">
        <v>75</v>
      </c>
      <c r="G345" t="str">
        <f>VLOOKUP(A:A,INVENTÁRIO_06_2025!A:A,1,0)</f>
        <v>SPRDAPNMCGRU01</v>
      </c>
      <c r="H345" t="str">
        <f>VLOOKUP(A:A,INVENTÁRIO_08_2025!A:A,1,0)</f>
        <v>SPRDAPNMCGRU01</v>
      </c>
    </row>
    <row r="346" spans="1:8" hidden="1">
      <c r="A346" s="15" t="s">
        <v>304</v>
      </c>
      <c r="B346" t="s">
        <v>61</v>
      </c>
      <c r="C346" t="s">
        <v>51</v>
      </c>
      <c r="D346" t="s">
        <v>111</v>
      </c>
      <c r="E346" t="s">
        <v>156</v>
      </c>
      <c r="F346" t="s">
        <v>75</v>
      </c>
      <c r="G346" t="str">
        <f>VLOOKUP(A:A,INVENTÁRIO_06_2025!A:A,1,0)</f>
        <v>SPRDAPNTWSGRU01</v>
      </c>
      <c r="H346" t="str">
        <f>VLOOKUP(A:A,INVENTÁRIO_08_2025!A:A,1,0)</f>
        <v>SPRDAPNTWSGRU01</v>
      </c>
    </row>
    <row r="347" spans="1:8" hidden="1">
      <c r="A347" s="15" t="s">
        <v>335</v>
      </c>
      <c r="B347" t="s">
        <v>61</v>
      </c>
      <c r="C347" t="s">
        <v>51</v>
      </c>
      <c r="D347" t="s">
        <v>158</v>
      </c>
      <c r="E347" t="s">
        <v>156</v>
      </c>
      <c r="F347" t="s">
        <v>75</v>
      </c>
      <c r="G347" t="str">
        <f>VLOOKUP(A:A,INVENTÁRIO_06_2025!A:A,1,0)</f>
        <v>SPRDAPOCSGRU01</v>
      </c>
      <c r="H347" t="str">
        <f>VLOOKUP(A:A,INVENTÁRIO_08_2025!A:A,1,0)</f>
        <v>SPRDAPOCSGRU01</v>
      </c>
    </row>
    <row r="348" spans="1:8" hidden="1">
      <c r="A348" s="15" t="s">
        <v>434</v>
      </c>
      <c r="B348" t="s">
        <v>61</v>
      </c>
      <c r="C348" t="s">
        <v>116</v>
      </c>
      <c r="D348" t="s">
        <v>126</v>
      </c>
      <c r="E348" t="s">
        <v>156</v>
      </c>
      <c r="F348" t="s">
        <v>75</v>
      </c>
      <c r="G348" t="str">
        <f>VLOOKUP(A:A,INVENTÁRIO_06_2025!A:A,1,0)</f>
        <v>SPRDAPOMEGRU01</v>
      </c>
      <c r="H348" t="str">
        <f>VLOOKUP(A:A,INVENTÁRIO_08_2025!A:A,1,0)</f>
        <v>SPRDAPOMEGRU01</v>
      </c>
    </row>
    <row r="349" spans="1:8" hidden="1">
      <c r="A349" s="15" t="s">
        <v>580</v>
      </c>
      <c r="B349" t="s">
        <v>61</v>
      </c>
      <c r="C349" t="s">
        <v>51</v>
      </c>
      <c r="D349" t="s">
        <v>114</v>
      </c>
      <c r="E349" t="s">
        <v>156</v>
      </c>
      <c r="F349" t="s">
        <v>75</v>
      </c>
      <c r="G349" t="str">
        <f>VLOOKUP(A:A,INVENTÁRIO_06_2025!A:A,1,0)</f>
        <v>SPRDAPOTRSGRU02</v>
      </c>
      <c r="H349" t="e">
        <f>VLOOKUP(A:A,INVENTÁRIO_08_2025!A:A,1,0)</f>
        <v>#N/A</v>
      </c>
    </row>
    <row r="350" spans="1:8" hidden="1">
      <c r="A350" s="15" t="s">
        <v>256</v>
      </c>
      <c r="B350" t="s">
        <v>61</v>
      </c>
      <c r="C350" t="s">
        <v>116</v>
      </c>
      <c r="D350" t="s">
        <v>141</v>
      </c>
      <c r="E350" t="s">
        <v>156</v>
      </c>
      <c r="F350" t="s">
        <v>75</v>
      </c>
      <c r="G350" t="str">
        <f>VLOOKUP(A:A,INVENTÁRIO_06_2025!A:A,1,0)</f>
        <v>SPRDAPPEAGRU01</v>
      </c>
      <c r="H350" t="str">
        <f>VLOOKUP(A:A,INVENTÁRIO_08_2025!A:A,1,0)</f>
        <v>SPRDAPPEAGRU01</v>
      </c>
    </row>
    <row r="351" spans="1:8" hidden="1">
      <c r="A351" s="15" t="s">
        <v>305</v>
      </c>
      <c r="B351" t="s">
        <v>61</v>
      </c>
      <c r="C351" t="s">
        <v>51</v>
      </c>
      <c r="D351" t="s">
        <v>111</v>
      </c>
      <c r="E351" t="s">
        <v>156</v>
      </c>
      <c r="F351" t="s">
        <v>75</v>
      </c>
      <c r="G351" t="str">
        <f>VLOOKUP(A:A,INVENTÁRIO_06_2025!A:A,1,0)</f>
        <v>SPRDAPPOSTGRU01</v>
      </c>
      <c r="H351" t="str">
        <f>VLOOKUP(A:A,INVENTÁRIO_08_2025!A:A,1,0)</f>
        <v>SPRDAPPOSTGRU01</v>
      </c>
    </row>
    <row r="352" spans="1:8" hidden="1">
      <c r="A352" s="15" t="s">
        <v>169</v>
      </c>
      <c r="B352" t="s">
        <v>61</v>
      </c>
      <c r="C352" t="s">
        <v>116</v>
      </c>
      <c r="D352" t="s">
        <v>117</v>
      </c>
      <c r="E352" t="s">
        <v>156</v>
      </c>
      <c r="F352" t="s">
        <v>75</v>
      </c>
      <c r="G352" t="str">
        <f>VLOOKUP(A:A,INVENTÁRIO_06_2025!A:A,1,0)</f>
        <v>SPRDAPPTCAGRU01</v>
      </c>
      <c r="H352" t="str">
        <f>VLOOKUP(A:A,INVENTÁRIO_08_2025!A:A,1,0)</f>
        <v>SPRDAPPTCAGRU01</v>
      </c>
    </row>
    <row r="353" spans="1:8" hidden="1">
      <c r="A353" s="15" t="s">
        <v>170</v>
      </c>
      <c r="B353" t="s">
        <v>61</v>
      </c>
      <c r="C353" t="s">
        <v>116</v>
      </c>
      <c r="D353" t="s">
        <v>163</v>
      </c>
      <c r="E353" t="s">
        <v>156</v>
      </c>
      <c r="F353" t="s">
        <v>75</v>
      </c>
      <c r="G353" t="str">
        <f>VLOOKUP(A:A,INVENTÁRIO_06_2025!A:A,1,0)</f>
        <v>SPRDAPPVGRU02</v>
      </c>
      <c r="H353" t="str">
        <f>VLOOKUP(A:A,INVENTÁRIO_08_2025!A:A,1,0)</f>
        <v>SPRDAPPVGRU02</v>
      </c>
    </row>
    <row r="354" spans="1:8" hidden="1">
      <c r="A354" s="15" t="s">
        <v>230</v>
      </c>
      <c r="B354" t="s">
        <v>61</v>
      </c>
      <c r="C354" t="s">
        <v>116</v>
      </c>
      <c r="D354" t="s">
        <v>425</v>
      </c>
      <c r="E354" t="s">
        <v>156</v>
      </c>
      <c r="F354" t="s">
        <v>75</v>
      </c>
      <c r="G354" t="str">
        <f>VLOOKUP(A:A,INVENTÁRIO_06_2025!A:A,1,0)</f>
        <v>SPRDAPRADGRU01</v>
      </c>
      <c r="H354" t="str">
        <f>VLOOKUP(A:A,INVENTÁRIO_08_2025!A:A,1,0)</f>
        <v>SPRDAPRADGRU01</v>
      </c>
    </row>
    <row r="355" spans="1:8" hidden="1">
      <c r="A355" s="15" t="s">
        <v>184</v>
      </c>
      <c r="B355" t="s">
        <v>61</v>
      </c>
      <c r="C355" t="s">
        <v>116</v>
      </c>
      <c r="D355" t="s">
        <v>126</v>
      </c>
      <c r="E355" t="s">
        <v>156</v>
      </c>
      <c r="F355" t="s">
        <v>75</v>
      </c>
      <c r="G355" t="str">
        <f>VLOOKUP(A:A,INVENTÁRIO_06_2025!A:A,1,0)</f>
        <v>SPRDAPRDGGRU01</v>
      </c>
      <c r="H355" t="str">
        <f>VLOOKUP(A:A,INVENTÁRIO_08_2025!A:A,1,0)</f>
        <v>SPRDAPRDGGRU01</v>
      </c>
    </row>
    <row r="356" spans="1:8" hidden="1">
      <c r="A356" s="15" t="s">
        <v>632</v>
      </c>
      <c r="B356" t="s">
        <v>61</v>
      </c>
      <c r="C356" t="s">
        <v>116</v>
      </c>
      <c r="D356" t="s">
        <v>572</v>
      </c>
      <c r="E356" t="s">
        <v>156</v>
      </c>
      <c r="F356" t="s">
        <v>75</v>
      </c>
      <c r="G356" t="str">
        <f>VLOOKUP(A:A,INVENTÁRIO_06_2025!A:A,1,0)</f>
        <v>SPRDAPRIMAGRU01</v>
      </c>
      <c r="H356" t="str">
        <f>VLOOKUP(A:A,INVENTÁRIO_08_2025!A:A,1,0)</f>
        <v>SPRDAPRIMAGRU01</v>
      </c>
    </row>
    <row r="357" spans="1:8" hidden="1">
      <c r="A357" s="15" t="s">
        <v>309</v>
      </c>
      <c r="B357" t="s">
        <v>61</v>
      </c>
      <c r="C357" t="s">
        <v>51</v>
      </c>
      <c r="D357" t="s">
        <v>114</v>
      </c>
      <c r="E357" t="s">
        <v>156</v>
      </c>
      <c r="F357" t="s">
        <v>75</v>
      </c>
      <c r="G357" t="str">
        <f>VLOOKUP(A:A,INVENTÁRIO_06_2025!A:A,1,0)</f>
        <v>SPRDAPRMAGRU04</v>
      </c>
      <c r="H357" t="str">
        <f>VLOOKUP(A:A,INVENTÁRIO_08_2025!A:A,1,0)</f>
        <v>SPRDAPRMAGRU04</v>
      </c>
    </row>
    <row r="358" spans="1:8" hidden="1">
      <c r="A358" s="15" t="s">
        <v>487</v>
      </c>
      <c r="B358" t="s">
        <v>61</v>
      </c>
      <c r="C358" t="s">
        <v>116</v>
      </c>
      <c r="D358" t="s">
        <v>136</v>
      </c>
      <c r="E358" t="s">
        <v>156</v>
      </c>
      <c r="F358" t="s">
        <v>75</v>
      </c>
      <c r="G358" t="str">
        <f>VLOOKUP(A:A,INVENTÁRIO_06_2025!A:A,1,0)</f>
        <v>SPRDAPRMIGRU01</v>
      </c>
      <c r="H358" t="str">
        <f>VLOOKUP(A:A,INVENTÁRIO_08_2025!A:A,1,0)</f>
        <v>SPRDAPRMIGRU01</v>
      </c>
    </row>
    <row r="359" spans="1:8" hidden="1">
      <c r="A359" s="15" t="s">
        <v>185</v>
      </c>
      <c r="B359" t="s">
        <v>61</v>
      </c>
      <c r="C359" t="s">
        <v>116</v>
      </c>
      <c r="D359" t="s">
        <v>174</v>
      </c>
      <c r="E359" t="s">
        <v>156</v>
      </c>
      <c r="F359" t="s">
        <v>75</v>
      </c>
      <c r="G359" t="str">
        <f>VLOOKUP(A:A,INVENTÁRIO_06_2025!A:A,1,0)</f>
        <v>SPRDAPRPGRU08</v>
      </c>
      <c r="H359" t="str">
        <f>VLOOKUP(A:A,INVENTÁRIO_08_2025!A:A,1,0)</f>
        <v>SPRDAPRPGRU08</v>
      </c>
    </row>
    <row r="360" spans="1:8" hidden="1">
      <c r="A360" s="15" t="s">
        <v>312</v>
      </c>
      <c r="B360" t="s">
        <v>61</v>
      </c>
      <c r="C360" t="s">
        <v>51</v>
      </c>
      <c r="D360" t="s">
        <v>114</v>
      </c>
      <c r="E360" t="s">
        <v>156</v>
      </c>
      <c r="F360" t="s">
        <v>75</v>
      </c>
      <c r="G360" t="str">
        <f>VLOOKUP(A:A,INVENTÁRIO_06_2025!A:A,1,0)</f>
        <v>SPRDAPRPGRU09</v>
      </c>
      <c r="H360" t="str">
        <f>VLOOKUP(A:A,INVENTÁRIO_08_2025!A:A,1,0)</f>
        <v>SPRDAPRPGRU09</v>
      </c>
    </row>
    <row r="361" spans="1:8" hidden="1">
      <c r="A361" s="15" t="s">
        <v>313</v>
      </c>
      <c r="B361" t="s">
        <v>61</v>
      </c>
      <c r="C361" t="s">
        <v>51</v>
      </c>
      <c r="D361" t="s">
        <v>114</v>
      </c>
      <c r="E361" t="s">
        <v>156</v>
      </c>
      <c r="F361" t="s">
        <v>75</v>
      </c>
      <c r="G361" t="str">
        <f>VLOOKUP(A:A,INVENTÁRIO_06_2025!A:A,1,0)</f>
        <v>SPRDAPRPGRU10</v>
      </c>
      <c r="H361" t="str">
        <f>VLOOKUP(A:A,INVENTÁRIO_08_2025!A:A,1,0)</f>
        <v>SPRDAPRPGRU10</v>
      </c>
    </row>
    <row r="362" spans="1:8" hidden="1">
      <c r="A362" s="15" t="s">
        <v>314</v>
      </c>
      <c r="B362" t="s">
        <v>61</v>
      </c>
      <c r="C362" t="s">
        <v>51</v>
      </c>
      <c r="D362" t="s">
        <v>114</v>
      </c>
      <c r="E362" t="s">
        <v>156</v>
      </c>
      <c r="F362" t="s">
        <v>75</v>
      </c>
      <c r="G362" t="str">
        <f>VLOOKUP(A:A,INVENTÁRIO_06_2025!A:A,1,0)</f>
        <v>SPRDAPRPGRU12</v>
      </c>
      <c r="H362" t="str">
        <f>VLOOKUP(A:A,INVENTÁRIO_08_2025!A:A,1,0)</f>
        <v>SPRDAPRPGRU12</v>
      </c>
    </row>
    <row r="363" spans="1:8" hidden="1">
      <c r="A363" s="15" t="s">
        <v>546</v>
      </c>
      <c r="B363" t="s">
        <v>61</v>
      </c>
      <c r="C363" t="s">
        <v>51</v>
      </c>
      <c r="D363" t="s">
        <v>114</v>
      </c>
      <c r="E363" t="s">
        <v>156</v>
      </c>
      <c r="F363" t="s">
        <v>75</v>
      </c>
      <c r="G363" t="str">
        <f>VLOOKUP(A:A,INVENTÁRIO_06_2025!A:A,1,0)</f>
        <v>SPRDAPRPGRU13</v>
      </c>
      <c r="H363" t="str">
        <f>VLOOKUP(A:A,INVENTÁRIO_08_2025!A:A,1,0)</f>
        <v>SPRDAPRPGRU13</v>
      </c>
    </row>
    <row r="364" spans="1:8" hidden="1">
      <c r="A364" s="15" t="s">
        <v>301</v>
      </c>
      <c r="B364" t="s">
        <v>61</v>
      </c>
      <c r="C364" t="s">
        <v>51</v>
      </c>
      <c r="D364" t="s">
        <v>111</v>
      </c>
      <c r="E364" t="s">
        <v>156</v>
      </c>
      <c r="F364" t="s">
        <v>75</v>
      </c>
      <c r="G364" t="str">
        <f>VLOOKUP(A:A,INVENTÁRIO_06_2025!A:A,1,0)</f>
        <v>SPRDAPRPGRU14</v>
      </c>
      <c r="H364" t="str">
        <f>VLOOKUP(A:A,INVENTÁRIO_08_2025!A:A,1,0)</f>
        <v>SPRDAPRPGRU14</v>
      </c>
    </row>
    <row r="365" spans="1:8" hidden="1">
      <c r="A365" s="15" t="s">
        <v>302</v>
      </c>
      <c r="B365" t="s">
        <v>61</v>
      </c>
      <c r="C365" t="s">
        <v>51</v>
      </c>
      <c r="D365" t="s">
        <v>111</v>
      </c>
      <c r="E365" t="s">
        <v>156</v>
      </c>
      <c r="F365" t="s">
        <v>75</v>
      </c>
      <c r="G365" t="str">
        <f>VLOOKUP(A:A,INVENTÁRIO_06_2025!A:A,1,0)</f>
        <v>SPRDAPRPGRU15</v>
      </c>
      <c r="H365" t="str">
        <f>VLOOKUP(A:A,INVENTÁRIO_08_2025!A:A,1,0)</f>
        <v>SPRDAPRPGRU15</v>
      </c>
    </row>
    <row r="366" spans="1:8" hidden="1">
      <c r="A366" s="15" t="s">
        <v>231</v>
      </c>
      <c r="B366" t="s">
        <v>61</v>
      </c>
      <c r="C366" t="s">
        <v>116</v>
      </c>
      <c r="D366" t="s">
        <v>419</v>
      </c>
      <c r="E366" t="s">
        <v>156</v>
      </c>
      <c r="F366" t="s">
        <v>75</v>
      </c>
      <c r="G366" t="str">
        <f>VLOOKUP(A:A,INVENTÁRIO_06_2025!A:A,1,0)</f>
        <v>SPRDAPSAFGRU02</v>
      </c>
      <c r="H366" t="str">
        <f>VLOOKUP(A:A,INVENTÁRIO_08_2025!A:A,1,0)</f>
        <v>SPRDAPSAFGRU02</v>
      </c>
    </row>
    <row r="367" spans="1:8" hidden="1">
      <c r="A367" s="15" t="s">
        <v>438</v>
      </c>
      <c r="B367" t="s">
        <v>61</v>
      </c>
      <c r="C367" t="s">
        <v>116</v>
      </c>
      <c r="D367" t="s">
        <v>126</v>
      </c>
      <c r="E367" t="s">
        <v>156</v>
      </c>
      <c r="F367" t="s">
        <v>75</v>
      </c>
      <c r="G367" t="str">
        <f>VLOOKUP(A:A,INVENTÁRIO_06_2025!A:A,1,0)</f>
        <v>SPRDAPSAGRU01</v>
      </c>
      <c r="H367" t="str">
        <f>VLOOKUP(A:A,INVENTÁRIO_08_2025!A:A,1,0)</f>
        <v>SPRDAPSAGRU01</v>
      </c>
    </row>
    <row r="368" spans="1:8" hidden="1">
      <c r="A368" s="15" t="s">
        <v>186</v>
      </c>
      <c r="B368" t="s">
        <v>61</v>
      </c>
      <c r="C368" t="s">
        <v>116</v>
      </c>
      <c r="D368" t="s">
        <v>174</v>
      </c>
      <c r="E368" t="s">
        <v>156</v>
      </c>
      <c r="F368" t="s">
        <v>75</v>
      </c>
      <c r="G368" t="str">
        <f>VLOOKUP(A:A,INVENTÁRIO_06_2025!A:A,1,0)</f>
        <v>SPRDAPSAPGRU01</v>
      </c>
      <c r="H368" t="str">
        <f>VLOOKUP(A:A,INVENTÁRIO_08_2025!A:A,1,0)</f>
        <v>SPRDAPSAPGRU01</v>
      </c>
    </row>
    <row r="369" spans="1:8" hidden="1">
      <c r="A369" s="15" t="s">
        <v>659</v>
      </c>
      <c r="B369" t="s">
        <v>61</v>
      </c>
      <c r="C369" t="s">
        <v>116</v>
      </c>
      <c r="D369" t="s">
        <v>572</v>
      </c>
      <c r="E369" t="s">
        <v>156</v>
      </c>
      <c r="F369" t="s">
        <v>75</v>
      </c>
      <c r="G369" t="str">
        <f>VLOOKUP(A:A,INVENTÁRIO_06_2025!A:A,1,0)</f>
        <v>SPRDAPSGPAGRU01</v>
      </c>
      <c r="H369" t="str">
        <f>VLOOKUP(A:A,INVENTÁRIO_08_2025!A:A,1,0)</f>
        <v>SPRDAPSGPAGRU01</v>
      </c>
    </row>
    <row r="370" spans="1:8" hidden="1">
      <c r="A370" s="15" t="s">
        <v>281</v>
      </c>
      <c r="B370" t="s">
        <v>61</v>
      </c>
      <c r="C370" t="s">
        <v>51</v>
      </c>
      <c r="D370" t="s">
        <v>280</v>
      </c>
      <c r="E370" t="s">
        <v>156</v>
      </c>
      <c r="F370" t="s">
        <v>75</v>
      </c>
      <c r="G370" t="str">
        <f>VLOOKUP(A:A,INVENTÁRIO_06_2025!A:A,1,0)</f>
        <v>SPRDAPSMSGRU02</v>
      </c>
      <c r="H370" t="str">
        <f>VLOOKUP(A:A,INVENTÁRIO_08_2025!A:A,1,0)</f>
        <v>SPRDAPSMSGRU02</v>
      </c>
    </row>
    <row r="371" spans="1:8" hidden="1">
      <c r="A371" s="15" t="s">
        <v>691</v>
      </c>
      <c r="B371" t="s">
        <v>61</v>
      </c>
      <c r="C371" t="s">
        <v>51</v>
      </c>
      <c r="D371" t="s">
        <v>295</v>
      </c>
      <c r="E371" t="s">
        <v>156</v>
      </c>
      <c r="F371" s="42" t="s">
        <v>75</v>
      </c>
      <c r="G371" t="e">
        <f>VLOOKUP(A:A,INVENTÁRIO_06_2025!A:A,1,0)</f>
        <v>#N/A</v>
      </c>
      <c r="H371" t="str">
        <f>VLOOKUP(A:A,INVENTÁRIO_08_2025!A:A,1,0)</f>
        <v>SPRDAPSPGGRU01</v>
      </c>
    </row>
    <row r="372" spans="1:8" hidden="1">
      <c r="A372" s="15" t="s">
        <v>692</v>
      </c>
      <c r="B372" t="s">
        <v>61</v>
      </c>
      <c r="C372" t="s">
        <v>51</v>
      </c>
      <c r="D372" t="s">
        <v>295</v>
      </c>
      <c r="E372" t="s">
        <v>156</v>
      </c>
      <c r="F372" s="42" t="s">
        <v>75</v>
      </c>
      <c r="G372" t="e">
        <f>VLOOKUP(A:A,INVENTÁRIO_06_2025!A:A,1,0)</f>
        <v>#N/A</v>
      </c>
      <c r="H372" t="str">
        <f>VLOOKUP(A:A,INVENTÁRIO_08_2025!A:A,1,0)</f>
        <v>SPRDAPSQBGRU01</v>
      </c>
    </row>
    <row r="373" spans="1:8" hidden="1">
      <c r="A373" s="15" t="s">
        <v>154</v>
      </c>
      <c r="B373" t="s">
        <v>61</v>
      </c>
      <c r="C373" t="s">
        <v>51</v>
      </c>
      <c r="D373" t="s">
        <v>155</v>
      </c>
      <c r="E373" t="s">
        <v>156</v>
      </c>
      <c r="F373" t="s">
        <v>75</v>
      </c>
      <c r="G373" t="str">
        <f>VLOOKUP(A:A,INVENTÁRIO_06_2025!A:A,1,0)</f>
        <v>SPRDAPSSAGRU01</v>
      </c>
      <c r="H373" t="str">
        <f>VLOOKUP(A:A,INVENTÁRIO_08_2025!A:A,1,0)</f>
        <v>SPRDAPSSAGRU01</v>
      </c>
    </row>
    <row r="374" spans="1:8" hidden="1">
      <c r="A374" s="15" t="s">
        <v>284</v>
      </c>
      <c r="B374" t="s">
        <v>61</v>
      </c>
      <c r="C374" t="s">
        <v>51</v>
      </c>
      <c r="D374" t="s">
        <v>285</v>
      </c>
      <c r="E374" t="s">
        <v>156</v>
      </c>
      <c r="F374" t="s">
        <v>75</v>
      </c>
      <c r="G374" t="str">
        <f>VLOOKUP(A:A,INVENTÁRIO_06_2025!A:A,1,0)</f>
        <v>SPRDAPSSGRU01</v>
      </c>
      <c r="H374" t="str">
        <f>VLOOKUP(A:A,INVENTÁRIO_08_2025!A:A,1,0)</f>
        <v>SPRDAPSSGRU01</v>
      </c>
    </row>
    <row r="375" spans="1:8" hidden="1">
      <c r="A375" s="15" t="s">
        <v>286</v>
      </c>
      <c r="B375" t="s">
        <v>61</v>
      </c>
      <c r="C375" t="s">
        <v>51</v>
      </c>
      <c r="D375" t="s">
        <v>285</v>
      </c>
      <c r="E375" t="s">
        <v>156</v>
      </c>
      <c r="F375" t="s">
        <v>75</v>
      </c>
      <c r="G375" t="str">
        <f>VLOOKUP(A:A,INVENTÁRIO_06_2025!A:A,1,0)</f>
        <v>SPRDAPSSGRU02</v>
      </c>
      <c r="H375" t="str">
        <f>VLOOKUP(A:A,INVENTÁRIO_08_2025!A:A,1,0)</f>
        <v>SPRDAPSSGRU02</v>
      </c>
    </row>
    <row r="376" spans="1:8" hidden="1">
      <c r="A376" s="15" t="s">
        <v>681</v>
      </c>
      <c r="B376" t="s">
        <v>61</v>
      </c>
      <c r="C376" t="s">
        <v>51</v>
      </c>
      <c r="D376" t="s">
        <v>109</v>
      </c>
      <c r="E376" t="s">
        <v>156</v>
      </c>
      <c r="F376" t="s">
        <v>75</v>
      </c>
      <c r="G376" t="str">
        <f>VLOOKUP(A:A,INVENTÁRIO_06_2025!A:A,1,0)</f>
        <v>SPRDAPSSP0200</v>
      </c>
      <c r="H376" t="str">
        <f>VLOOKUP(A:A,INVENTÁRIO_08_2025!A:A,1,0)</f>
        <v>SPRDAPSSP0200</v>
      </c>
    </row>
    <row r="377" spans="1:8" hidden="1">
      <c r="A377" s="15" t="s">
        <v>493</v>
      </c>
      <c r="B377" t="s">
        <v>61</v>
      </c>
      <c r="C377" t="s">
        <v>116</v>
      </c>
      <c r="D377" t="s">
        <v>136</v>
      </c>
      <c r="E377" t="s">
        <v>156</v>
      </c>
      <c r="F377" t="s">
        <v>75</v>
      </c>
      <c r="G377" t="str">
        <f>VLOOKUP(A:A,INVENTÁRIO_06_2025!A:A,1,0)</f>
        <v>SPRDAPSTGGRU01</v>
      </c>
      <c r="H377" t="str">
        <f>VLOOKUP(A:A,INVENTÁRIO_08_2025!A:A,1,0)</f>
        <v>SPRDAPSTGGRU01</v>
      </c>
    </row>
    <row r="378" spans="1:8" hidden="1">
      <c r="A378" s="15" t="s">
        <v>495</v>
      </c>
      <c r="B378" t="s">
        <v>61</v>
      </c>
      <c r="C378" t="s">
        <v>116</v>
      </c>
      <c r="D378" t="s">
        <v>419</v>
      </c>
      <c r="E378" t="s">
        <v>156</v>
      </c>
      <c r="F378" t="s">
        <v>75</v>
      </c>
      <c r="G378" t="str">
        <f>VLOOKUP(A:A,INVENTÁRIO_06_2025!A:A,1,0)</f>
        <v>SPRDAPTSGRU01</v>
      </c>
      <c r="H378" t="str">
        <f>VLOOKUP(A:A,INVENTÁRIO_08_2025!A:A,1,0)</f>
        <v>SPRDAPTSGRU01</v>
      </c>
    </row>
    <row r="379" spans="1:8" hidden="1">
      <c r="A379" s="15" t="s">
        <v>232</v>
      </c>
      <c r="B379" t="s">
        <v>61</v>
      </c>
      <c r="C379" t="s">
        <v>116</v>
      </c>
      <c r="D379" t="s">
        <v>419</v>
      </c>
      <c r="E379" t="s">
        <v>156</v>
      </c>
      <c r="F379" t="s">
        <v>75</v>
      </c>
      <c r="G379" t="str">
        <f>VLOOKUP(A:A,INVENTÁRIO_06_2025!A:A,1,0)</f>
        <v>SPRDAPTSGRU03</v>
      </c>
      <c r="H379" t="str">
        <f>VLOOKUP(A:A,INVENTÁRIO_08_2025!A:A,1,0)</f>
        <v>SPRDAPTSGRU03</v>
      </c>
    </row>
    <row r="380" spans="1:8" hidden="1">
      <c r="A380" s="15" t="s">
        <v>233</v>
      </c>
      <c r="B380" t="s">
        <v>61</v>
      </c>
      <c r="C380" t="s">
        <v>116</v>
      </c>
      <c r="D380" t="s">
        <v>419</v>
      </c>
      <c r="E380" t="s">
        <v>156</v>
      </c>
      <c r="F380" t="s">
        <v>75</v>
      </c>
      <c r="G380" t="str">
        <f>VLOOKUP(A:A,INVENTÁRIO_06_2025!A:A,1,0)</f>
        <v>SPRDAPTSGRU04</v>
      </c>
      <c r="H380" t="str">
        <f>VLOOKUP(A:A,INVENTÁRIO_08_2025!A:A,1,0)</f>
        <v>SPRDAPTSGRU04</v>
      </c>
    </row>
    <row r="381" spans="1:8" hidden="1">
      <c r="A381" s="15" t="s">
        <v>547</v>
      </c>
      <c r="B381" t="s">
        <v>61</v>
      </c>
      <c r="C381" t="s">
        <v>51</v>
      </c>
      <c r="D381" t="s">
        <v>114</v>
      </c>
      <c r="E381" t="s">
        <v>156</v>
      </c>
      <c r="F381" t="s">
        <v>75</v>
      </c>
      <c r="G381" t="str">
        <f>VLOOKUP(A:A,INVENTÁRIO_06_2025!A:A,1,0)</f>
        <v>SPRDAPTSGRU05</v>
      </c>
      <c r="H381" t="str">
        <f>VLOOKUP(A:A,INVENTÁRIO_08_2025!A:A,1,0)</f>
        <v>SPRDAPTSGRU05</v>
      </c>
    </row>
    <row r="382" spans="1:8" hidden="1">
      <c r="A382" s="15" t="s">
        <v>306</v>
      </c>
      <c r="B382" t="s">
        <v>61</v>
      </c>
      <c r="C382" t="s">
        <v>51</v>
      </c>
      <c r="D382" t="s">
        <v>276</v>
      </c>
      <c r="E382" t="s">
        <v>156</v>
      </c>
      <c r="F382" t="s">
        <v>75</v>
      </c>
      <c r="G382" t="str">
        <f>VLOOKUP(A:A,INVENTÁRIO_06_2025!A:A,1,0)</f>
        <v>SPRDAPVPRGRU01</v>
      </c>
      <c r="H382" t="str">
        <f>VLOOKUP(A:A,INVENTÁRIO_08_2025!A:A,1,0)</f>
        <v>SPRDAPVPRGRU01</v>
      </c>
    </row>
    <row r="383" spans="1:8" hidden="1">
      <c r="A383" s="15" t="s">
        <v>307</v>
      </c>
      <c r="B383" t="s">
        <v>61</v>
      </c>
      <c r="C383" t="s">
        <v>51</v>
      </c>
      <c r="D383" t="s">
        <v>276</v>
      </c>
      <c r="E383" t="s">
        <v>156</v>
      </c>
      <c r="F383" t="s">
        <v>75</v>
      </c>
      <c r="G383" t="str">
        <f>VLOOKUP(A:A,INVENTÁRIO_06_2025!A:A,1,0)</f>
        <v>SPRDAPVPRGRU02</v>
      </c>
      <c r="H383" t="str">
        <f>VLOOKUP(A:A,INVENTÁRIO_08_2025!A:A,1,0)</f>
        <v>SPRDAPVPRGRU02</v>
      </c>
    </row>
    <row r="384" spans="1:8" hidden="1">
      <c r="A384" s="15" t="s">
        <v>234</v>
      </c>
      <c r="B384" t="s">
        <v>61</v>
      </c>
      <c r="C384" t="s">
        <v>116</v>
      </c>
      <c r="D384" t="s">
        <v>425</v>
      </c>
      <c r="E384" t="s">
        <v>156</v>
      </c>
      <c r="F384" t="s">
        <v>75</v>
      </c>
      <c r="G384" t="str">
        <f>VLOOKUP(A:A,INVENTÁRIO_06_2025!A:A,1,0)</f>
        <v>SPRDAZADGRU01</v>
      </c>
      <c r="H384" t="str">
        <f>VLOOKUP(A:A,INVENTÁRIO_08_2025!A:A,1,0)</f>
        <v>SPRDAZADGRU01</v>
      </c>
    </row>
    <row r="385" spans="1:8" hidden="1">
      <c r="A385" s="15" t="s">
        <v>235</v>
      </c>
      <c r="B385" t="s">
        <v>61</v>
      </c>
      <c r="C385" t="s">
        <v>116</v>
      </c>
      <c r="D385" t="s">
        <v>136</v>
      </c>
      <c r="E385" t="s">
        <v>156</v>
      </c>
      <c r="F385" t="s">
        <v>75</v>
      </c>
      <c r="G385" t="str">
        <f>VLOOKUP(A:A,INVENTÁRIO_06_2025!A:A,1,0)</f>
        <v>SPRDBDHSQLGRU06</v>
      </c>
      <c r="H385" t="str">
        <f>VLOOKUP(A:A,INVENTÁRIO_08_2025!A:A,1,0)</f>
        <v>SPRDBDHSQLGRU06</v>
      </c>
    </row>
    <row r="386" spans="1:8" hidden="1">
      <c r="A386" s="15" t="s">
        <v>582</v>
      </c>
      <c r="B386" t="s">
        <v>61</v>
      </c>
      <c r="C386" t="s">
        <v>116</v>
      </c>
      <c r="D386" t="s">
        <v>572</v>
      </c>
      <c r="E386" t="s">
        <v>156</v>
      </c>
      <c r="F386" t="s">
        <v>75</v>
      </c>
      <c r="G386" t="str">
        <f>VLOOKUP(A:A,INVENTÁRIO_06_2025!A:A,1,0)</f>
        <v>SPRDBDHSQLGRU07</v>
      </c>
      <c r="H386" t="str">
        <f>VLOOKUP(A:A,INVENTÁRIO_08_2025!A:A,1,0)</f>
        <v>SPRDBDHSQLGRU07</v>
      </c>
    </row>
    <row r="387" spans="1:8" hidden="1">
      <c r="A387" s="15" t="s">
        <v>583</v>
      </c>
      <c r="B387" t="s">
        <v>61</v>
      </c>
      <c r="C387" t="s">
        <v>116</v>
      </c>
      <c r="D387" t="s">
        <v>572</v>
      </c>
      <c r="E387" t="s">
        <v>156</v>
      </c>
      <c r="F387" t="s">
        <v>75</v>
      </c>
      <c r="G387" t="str">
        <f>VLOOKUP(A:A,INVENTÁRIO_06_2025!A:A,1,0)</f>
        <v>SPRDBDHSQLGRU09</v>
      </c>
      <c r="H387" t="str">
        <f>VLOOKUP(A:A,INVENTÁRIO_08_2025!A:A,1,0)</f>
        <v>SPRDBDHSQLGRU09</v>
      </c>
    </row>
    <row r="388" spans="1:8" hidden="1">
      <c r="A388" s="15" t="s">
        <v>584</v>
      </c>
      <c r="B388" t="s">
        <v>61</v>
      </c>
      <c r="C388" t="s">
        <v>116</v>
      </c>
      <c r="D388" t="s">
        <v>572</v>
      </c>
      <c r="E388" t="s">
        <v>156</v>
      </c>
      <c r="F388" t="s">
        <v>75</v>
      </c>
      <c r="G388" t="str">
        <f>VLOOKUP(A:A,INVENTÁRIO_06_2025!A:A,1,0)</f>
        <v>SPRDBDHSQLGRU10</v>
      </c>
      <c r="H388" t="str">
        <f>VLOOKUP(A:A,INVENTÁRIO_08_2025!A:A,1,0)</f>
        <v>SPRDBDHSQLGRU10</v>
      </c>
    </row>
    <row r="389" spans="1:8" hidden="1">
      <c r="A389" s="15" t="s">
        <v>633</v>
      </c>
      <c r="B389" t="s">
        <v>61</v>
      </c>
      <c r="C389" t="s">
        <v>116</v>
      </c>
      <c r="D389" t="s">
        <v>572</v>
      </c>
      <c r="E389" t="s">
        <v>156</v>
      </c>
      <c r="F389" t="s">
        <v>75</v>
      </c>
      <c r="G389" t="str">
        <f>VLOOKUP(A:A,INVENTÁRIO_06_2025!A:A,1,0)</f>
        <v>SPRDBDHSQLGRU12</v>
      </c>
      <c r="H389" t="str">
        <f>VLOOKUP(A:A,INVENTÁRIO_08_2025!A:A,1,0)</f>
        <v>SPRDBDHSQLGRU12</v>
      </c>
    </row>
    <row r="390" spans="1:8" hidden="1">
      <c r="A390" s="15" t="s">
        <v>634</v>
      </c>
      <c r="B390" t="s">
        <v>61</v>
      </c>
      <c r="C390" t="s">
        <v>116</v>
      </c>
      <c r="D390" t="s">
        <v>572</v>
      </c>
      <c r="E390" t="s">
        <v>156</v>
      </c>
      <c r="F390" t="s">
        <v>75</v>
      </c>
      <c r="G390" t="str">
        <f>VLOOKUP(A:A,INVENTÁRIO_06_2025!A:A,1,0)</f>
        <v>SPRDBDHSQLGRU13</v>
      </c>
      <c r="H390" t="str">
        <f>VLOOKUP(A:A,INVENTÁRIO_08_2025!A:A,1,0)</f>
        <v>SPRDBDHSQLGRU13</v>
      </c>
    </row>
    <row r="391" spans="1:8" hidden="1">
      <c r="A391" s="15" t="s">
        <v>635</v>
      </c>
      <c r="B391" t="s">
        <v>61</v>
      </c>
      <c r="C391" t="s">
        <v>116</v>
      </c>
      <c r="D391" t="s">
        <v>572</v>
      </c>
      <c r="E391" t="s">
        <v>156</v>
      </c>
      <c r="F391" t="s">
        <v>75</v>
      </c>
      <c r="G391" t="str">
        <f>VLOOKUP(A:A,INVENTÁRIO_06_2025!A:A,1,0)</f>
        <v>SPRDBDHSQLGRU14</v>
      </c>
      <c r="H391" t="str">
        <f>VLOOKUP(A:A,INVENTÁRIO_08_2025!A:A,1,0)</f>
        <v>SPRDBDHSQLGRU14</v>
      </c>
    </row>
    <row r="392" spans="1:8" hidden="1">
      <c r="A392" s="15" t="s">
        <v>661</v>
      </c>
      <c r="B392" t="s">
        <v>61</v>
      </c>
      <c r="C392" t="s">
        <v>116</v>
      </c>
      <c r="D392" t="s">
        <v>572</v>
      </c>
      <c r="E392" t="s">
        <v>156</v>
      </c>
      <c r="F392" t="s">
        <v>75</v>
      </c>
      <c r="G392" t="str">
        <f>VLOOKUP(A:A,INVENTÁRIO_06_2025!A:A,1,0)</f>
        <v>SPRDBDHSQLGRU15</v>
      </c>
      <c r="H392" t="str">
        <f>VLOOKUP(A:A,INVENTÁRIO_08_2025!A:A,1,0)</f>
        <v>SPRDBDHSQLGRU15</v>
      </c>
    </row>
    <row r="393" spans="1:8" hidden="1">
      <c r="A393" s="15" t="s">
        <v>315</v>
      </c>
      <c r="B393" t="s">
        <v>61</v>
      </c>
      <c r="C393" t="s">
        <v>51</v>
      </c>
      <c r="D393" t="s">
        <v>114</v>
      </c>
      <c r="E393" t="s">
        <v>156</v>
      </c>
      <c r="F393" t="s">
        <v>75</v>
      </c>
      <c r="G393" t="str">
        <f>VLOOKUP(A:A,INVENTÁRIO_06_2025!A:A,1,0)</f>
        <v>SPRDBDOTRSGRU01</v>
      </c>
      <c r="H393" t="str">
        <f>VLOOKUP(A:A,INVENTÁRIO_08_2025!A:A,1,0)</f>
        <v>SPRDBDOTRSGRU01</v>
      </c>
    </row>
    <row r="394" spans="1:8" hidden="1">
      <c r="A394" s="15" t="s">
        <v>551</v>
      </c>
      <c r="B394" t="s">
        <v>61</v>
      </c>
      <c r="C394" t="s">
        <v>51</v>
      </c>
      <c r="D394" t="s">
        <v>114</v>
      </c>
      <c r="E394" t="s">
        <v>156</v>
      </c>
      <c r="F394" t="s">
        <v>75</v>
      </c>
      <c r="G394" t="str">
        <f>VLOOKUP(A:A,INVENTÁRIO_06_2025!A:A,1,0)</f>
        <v>SPRDBDOTRSGRU02</v>
      </c>
      <c r="H394" t="e">
        <f>VLOOKUP(A:A,INVENTÁRIO_08_2025!A:A,1,0)</f>
        <v>#N/A</v>
      </c>
    </row>
    <row r="395" spans="1:8" hidden="1">
      <c r="A395" s="15" t="s">
        <v>693</v>
      </c>
      <c r="B395" t="s">
        <v>61</v>
      </c>
      <c r="C395" t="s">
        <v>51</v>
      </c>
      <c r="D395" t="s">
        <v>295</v>
      </c>
      <c r="E395" t="s">
        <v>156</v>
      </c>
      <c r="F395" s="42" t="s">
        <v>75</v>
      </c>
      <c r="G395" t="e">
        <f>VLOOKUP(A:A,INVENTÁRIO_06_2025!A:A,1,0)</f>
        <v>#N/A</v>
      </c>
      <c r="H395" t="str">
        <f>VLOOKUP(A:A,INVENTÁRIO_08_2025!A:A,1,0)</f>
        <v>SPRDBDSPGGRU01</v>
      </c>
    </row>
    <row r="396" spans="1:8" hidden="1">
      <c r="A396" s="15" t="s">
        <v>552</v>
      </c>
      <c r="B396" t="s">
        <v>61</v>
      </c>
      <c r="C396" t="s">
        <v>51</v>
      </c>
      <c r="D396" t="s">
        <v>114</v>
      </c>
      <c r="E396" t="s">
        <v>156</v>
      </c>
      <c r="F396" t="s">
        <v>75</v>
      </c>
      <c r="G396" t="str">
        <f>VLOOKUP(A:A,INVENTÁRIO_06_2025!A:A,1,0)</f>
        <v>SPRDMONGRU01</v>
      </c>
      <c r="H396" t="str">
        <f>VLOOKUP(A:A,INVENTÁRIO_08_2025!A:A,1,0)</f>
        <v>SPRDMONGRU01</v>
      </c>
    </row>
    <row r="397" spans="1:8" hidden="1">
      <c r="A397" s="15" t="s">
        <v>334</v>
      </c>
      <c r="B397" t="s">
        <v>61</v>
      </c>
      <c r="C397" t="s">
        <v>51</v>
      </c>
      <c r="D397" t="s">
        <v>329</v>
      </c>
      <c r="E397" t="s">
        <v>156</v>
      </c>
      <c r="F397" t="s">
        <v>75</v>
      </c>
      <c r="G397" t="str">
        <f>VLOOKUP(A:A,INVENTÁRIO_06_2025!A:A,1,0)</f>
        <v>SPRDMYSQLGRU02</v>
      </c>
      <c r="H397" t="str">
        <f>VLOOKUP(A:A,INVENTÁRIO_08_2025!A:A,1,0)</f>
        <v>SPRDMYSQLGRU02</v>
      </c>
    </row>
    <row r="398" spans="1:8" hidden="1">
      <c r="A398" s="15" t="s">
        <v>316</v>
      </c>
      <c r="B398" t="s">
        <v>61</v>
      </c>
      <c r="C398" t="s">
        <v>51</v>
      </c>
      <c r="D398" t="s">
        <v>114</v>
      </c>
      <c r="E398" t="s">
        <v>156</v>
      </c>
      <c r="F398" t="s">
        <v>75</v>
      </c>
      <c r="G398" t="str">
        <f>VLOOKUP(A:A,INVENTÁRIO_06_2025!A:A,1,0)</f>
        <v>SPRDMYSQLGRU03</v>
      </c>
      <c r="H398" t="str">
        <f>VLOOKUP(A:A,INVENTÁRIO_08_2025!A:A,1,0)</f>
        <v>SPRDMYSQLGRU03</v>
      </c>
    </row>
    <row r="399" spans="1:8" hidden="1">
      <c r="A399" s="15" t="s">
        <v>317</v>
      </c>
      <c r="B399" t="s">
        <v>61</v>
      </c>
      <c r="C399" t="s">
        <v>51</v>
      </c>
      <c r="D399" t="s">
        <v>114</v>
      </c>
      <c r="E399" t="s">
        <v>156</v>
      </c>
      <c r="F399" t="s">
        <v>75</v>
      </c>
      <c r="G399" t="str">
        <f>VLOOKUP(A:A,INVENTÁRIO_06_2025!A:A,1,0)</f>
        <v>SPRDNTDGRU03</v>
      </c>
      <c r="H399" t="str">
        <f>VLOOKUP(A:A,INVENTÁRIO_08_2025!A:A,1,0)</f>
        <v>SPRDNTDGRU03</v>
      </c>
    </row>
    <row r="400" spans="1:8" hidden="1">
      <c r="A400" s="15" t="s">
        <v>318</v>
      </c>
      <c r="B400" t="s">
        <v>61</v>
      </c>
      <c r="C400" t="s">
        <v>51</v>
      </c>
      <c r="D400" t="s">
        <v>114</v>
      </c>
      <c r="E400" t="s">
        <v>156</v>
      </c>
      <c r="F400" t="s">
        <v>75</v>
      </c>
      <c r="G400" t="str">
        <f>VLOOKUP(A:A,INVENTÁRIO_06_2025!A:A,1,0)</f>
        <v>SPRDOTRSGRU01</v>
      </c>
      <c r="H400" t="str">
        <f>VLOOKUP(A:A,INVENTÁRIO_08_2025!A:A,1,0)</f>
        <v>SPRDOTRSGRU01</v>
      </c>
    </row>
    <row r="401" spans="1:8" hidden="1">
      <c r="A401" s="15" t="s">
        <v>290</v>
      </c>
      <c r="B401" t="s">
        <v>61</v>
      </c>
      <c r="C401" t="s">
        <v>51</v>
      </c>
      <c r="D401" t="s">
        <v>85</v>
      </c>
      <c r="E401" t="s">
        <v>156</v>
      </c>
      <c r="F401" t="s">
        <v>75</v>
      </c>
      <c r="G401" t="str">
        <f>VLOOKUP(A:A,INVENTÁRIO_06_2025!A:A,1,0)</f>
        <v>SPRDSAPNASGRU01</v>
      </c>
      <c r="H401" t="str">
        <f>VLOOKUP(A:A,INVENTÁRIO_08_2025!A:A,1,0)</f>
        <v>SPRDSAPNASGRU01</v>
      </c>
    </row>
    <row r="402" spans="1:8" hidden="1">
      <c r="A402" s="15" t="s">
        <v>453</v>
      </c>
      <c r="B402" t="s">
        <v>61</v>
      </c>
      <c r="C402" t="s">
        <v>116</v>
      </c>
      <c r="D402" t="s">
        <v>126</v>
      </c>
      <c r="E402" t="s">
        <v>156</v>
      </c>
      <c r="F402" t="s">
        <v>75</v>
      </c>
      <c r="G402" t="str">
        <f>VLOOKUP(A:A,INVENTÁRIO_06_2025!A:A,1,0)</f>
        <v>SPRDSHPINTGRU05</v>
      </c>
      <c r="H402" t="str">
        <f>VLOOKUP(A:A,INVENTÁRIO_08_2025!A:A,1,0)</f>
        <v>SPRDSHPINTGRU05</v>
      </c>
    </row>
    <row r="403" spans="1:8" hidden="1">
      <c r="A403" s="15" t="s">
        <v>157</v>
      </c>
      <c r="B403" t="s">
        <v>61</v>
      </c>
      <c r="C403" t="s">
        <v>51</v>
      </c>
      <c r="D403" t="s">
        <v>158</v>
      </c>
      <c r="E403" t="s">
        <v>156</v>
      </c>
      <c r="F403" t="s">
        <v>75</v>
      </c>
      <c r="G403" t="str">
        <f>VLOOKUP(A:A,INVENTÁRIO_06_2025!A:A,1,0)</f>
        <v>SPRDSIEM01</v>
      </c>
      <c r="H403" t="str">
        <f>VLOOKUP(A:A,INVENTÁRIO_08_2025!A:A,1,0)</f>
        <v>SPRDSIEM01</v>
      </c>
    </row>
    <row r="404" spans="1:8" hidden="1">
      <c r="A404" s="15" t="s">
        <v>159</v>
      </c>
      <c r="B404" t="s">
        <v>61</v>
      </c>
      <c r="C404" t="s">
        <v>51</v>
      </c>
      <c r="D404" t="s">
        <v>158</v>
      </c>
      <c r="E404" t="s">
        <v>156</v>
      </c>
      <c r="F404" t="s">
        <v>75</v>
      </c>
      <c r="G404" t="str">
        <f>VLOOKUP(A:A,INVENTÁRIO_06_2025!A:A,1,0)</f>
        <v>SPRDSIEM02</v>
      </c>
      <c r="H404" t="str">
        <f>VLOOKUP(A:A,INVENTÁRIO_08_2025!A:A,1,0)</f>
        <v>SPRDSIEM02</v>
      </c>
    </row>
    <row r="405" spans="1:8" hidden="1">
      <c r="A405" s="15" t="s">
        <v>236</v>
      </c>
      <c r="B405" t="s">
        <v>61</v>
      </c>
      <c r="C405" t="s">
        <v>116</v>
      </c>
      <c r="D405" t="s">
        <v>188</v>
      </c>
      <c r="E405" t="s">
        <v>156</v>
      </c>
      <c r="F405" t="s">
        <v>75</v>
      </c>
      <c r="G405" t="str">
        <f>VLOOKUP(A:A,INVENTÁRIO_06_2025!A:A,1,0)</f>
        <v>SPRDSKDAUGRU02</v>
      </c>
      <c r="H405" t="str">
        <f>VLOOKUP(A:A,INVENTÁRIO_08_2025!A:A,1,0)</f>
        <v>SPRDSKDAUGRU02</v>
      </c>
    </row>
    <row r="406" spans="1:8" hidden="1">
      <c r="A406" s="15" t="s">
        <v>187</v>
      </c>
      <c r="B406" t="s">
        <v>61</v>
      </c>
      <c r="C406" t="s">
        <v>116</v>
      </c>
      <c r="D406" t="s">
        <v>188</v>
      </c>
      <c r="E406" t="s">
        <v>156</v>
      </c>
      <c r="F406" t="s">
        <v>75</v>
      </c>
      <c r="G406" t="str">
        <f>VLOOKUP(A:A,INVENTÁRIO_06_2025!A:A,1,0)</f>
        <v>SPRDSKDCGRU01</v>
      </c>
      <c r="H406" t="str">
        <f>VLOOKUP(A:A,INVENTÁRIO_08_2025!A:A,1,0)</f>
        <v>SPRDSKDCGRU01</v>
      </c>
    </row>
    <row r="407" spans="1:8" hidden="1">
      <c r="A407" s="15" t="s">
        <v>189</v>
      </c>
      <c r="B407" t="s">
        <v>61</v>
      </c>
      <c r="C407" t="s">
        <v>116</v>
      </c>
      <c r="D407" t="s">
        <v>188</v>
      </c>
      <c r="E407" t="s">
        <v>156</v>
      </c>
      <c r="F407" t="s">
        <v>75</v>
      </c>
      <c r="G407" t="str">
        <f>VLOOKUP(A:A,INVENTÁRIO_06_2025!A:A,1,0)</f>
        <v>SPRDSKDCGRU02</v>
      </c>
      <c r="H407" t="str">
        <f>VLOOKUP(A:A,INVENTÁRIO_08_2025!A:A,1,0)</f>
        <v>SPRDSKDCGRU02</v>
      </c>
    </row>
    <row r="408" spans="1:8" hidden="1">
      <c r="A408" s="15" t="s">
        <v>190</v>
      </c>
      <c r="B408" t="s">
        <v>61</v>
      </c>
      <c r="C408" t="s">
        <v>116</v>
      </c>
      <c r="D408" t="s">
        <v>191</v>
      </c>
      <c r="E408" t="s">
        <v>156</v>
      </c>
      <c r="F408" t="s">
        <v>75</v>
      </c>
      <c r="G408" t="str">
        <f>VLOOKUP(A:A,INVENTÁRIO_06_2025!A:A,1,0)</f>
        <v>SPRDSKESBGRU01</v>
      </c>
      <c r="H408" t="str">
        <f>VLOOKUP(A:A,INVENTÁRIO_08_2025!A:A,1,0)</f>
        <v>SPRDSKESBGRU01</v>
      </c>
    </row>
    <row r="409" spans="1:8" hidden="1">
      <c r="A409" s="15" t="s">
        <v>192</v>
      </c>
      <c r="B409" t="s">
        <v>61</v>
      </c>
      <c r="C409" t="s">
        <v>116</v>
      </c>
      <c r="D409" t="s">
        <v>188</v>
      </c>
      <c r="E409" t="s">
        <v>156</v>
      </c>
      <c r="F409" t="s">
        <v>75</v>
      </c>
      <c r="G409" t="str">
        <f>VLOOKUP(A:A,INVENTÁRIO_06_2025!A:A,1,0)</f>
        <v>SPRDSKPPCGRU01</v>
      </c>
      <c r="H409" t="str">
        <f>VLOOKUP(A:A,INVENTÁRIO_08_2025!A:A,1,0)</f>
        <v>SPRDSKPPCGRU01</v>
      </c>
    </row>
    <row r="410" spans="1:8" hidden="1">
      <c r="A410" s="15" t="s">
        <v>193</v>
      </c>
      <c r="B410" t="s">
        <v>61</v>
      </c>
      <c r="C410" t="s">
        <v>116</v>
      </c>
      <c r="D410" t="s">
        <v>188</v>
      </c>
      <c r="E410" t="s">
        <v>156</v>
      </c>
      <c r="F410" t="s">
        <v>75</v>
      </c>
      <c r="G410" t="str">
        <f>VLOOKUP(A:A,INVENTÁRIO_06_2025!A:A,1,0)</f>
        <v>SPRDSKPPCGRU02</v>
      </c>
      <c r="H410" t="str">
        <f>VLOOKUP(A:A,INVENTÁRIO_08_2025!A:A,1,0)</f>
        <v>SPRDSKPPCGRU02</v>
      </c>
    </row>
    <row r="411" spans="1:8" hidden="1">
      <c r="A411" s="15" t="s">
        <v>194</v>
      </c>
      <c r="B411" t="s">
        <v>61</v>
      </c>
      <c r="C411" t="s">
        <v>116</v>
      </c>
      <c r="D411" t="s">
        <v>188</v>
      </c>
      <c r="E411" t="s">
        <v>156</v>
      </c>
      <c r="F411" t="s">
        <v>75</v>
      </c>
      <c r="G411" t="str">
        <f>VLOOKUP(A:A,INVENTÁRIO_06_2025!A:A,1,0)</f>
        <v>SPRDSKPPCGRU03</v>
      </c>
      <c r="H411" t="str">
        <f>VLOOKUP(A:A,INVENTÁRIO_08_2025!A:A,1,0)</f>
        <v>SPRDSKPPCGRU03</v>
      </c>
    </row>
    <row r="412" spans="1:8" hidden="1">
      <c r="A412" s="15" t="s">
        <v>195</v>
      </c>
      <c r="B412" t="s">
        <v>61</v>
      </c>
      <c r="C412" t="s">
        <v>116</v>
      </c>
      <c r="D412" t="s">
        <v>188</v>
      </c>
      <c r="E412" t="s">
        <v>156</v>
      </c>
      <c r="F412" t="s">
        <v>75</v>
      </c>
      <c r="G412" t="str">
        <f>VLOOKUP(A:A,INVENTÁRIO_06_2025!A:A,1,0)</f>
        <v>SPRDSKPPCGRU04</v>
      </c>
      <c r="H412" t="str">
        <f>VLOOKUP(A:A,INVENTÁRIO_08_2025!A:A,1,0)</f>
        <v>SPRDSKPPCGRU04</v>
      </c>
    </row>
    <row r="413" spans="1:8" hidden="1">
      <c r="A413" s="15" t="s">
        <v>196</v>
      </c>
      <c r="B413" t="s">
        <v>61</v>
      </c>
      <c r="C413" t="s">
        <v>116</v>
      </c>
      <c r="D413" t="s">
        <v>188</v>
      </c>
      <c r="E413" t="s">
        <v>156</v>
      </c>
      <c r="F413" t="s">
        <v>75</v>
      </c>
      <c r="G413" t="str">
        <f>VLOOKUP(A:A,INVENTÁRIO_06_2025!A:A,1,0)</f>
        <v>SPRDSKPPCGRU05</v>
      </c>
      <c r="H413" t="str">
        <f>VLOOKUP(A:A,INVENTÁRIO_08_2025!A:A,1,0)</f>
        <v>SPRDSKPPCGRU05</v>
      </c>
    </row>
    <row r="414" spans="1:8" hidden="1">
      <c r="A414" s="15" t="s">
        <v>197</v>
      </c>
      <c r="B414" t="s">
        <v>61</v>
      </c>
      <c r="C414" t="s">
        <v>116</v>
      </c>
      <c r="D414" t="s">
        <v>188</v>
      </c>
      <c r="E414" t="s">
        <v>156</v>
      </c>
      <c r="F414" t="s">
        <v>75</v>
      </c>
      <c r="G414" t="str">
        <f>VLOOKUP(A:A,INVENTÁRIO_06_2025!A:A,1,0)</f>
        <v>SPRDSKPPCGRU06</v>
      </c>
      <c r="H414" t="str">
        <f>VLOOKUP(A:A,INVENTÁRIO_08_2025!A:A,1,0)</f>
        <v>SPRDSKPPCGRU06</v>
      </c>
    </row>
    <row r="415" spans="1:8" hidden="1">
      <c r="A415" s="15" t="s">
        <v>198</v>
      </c>
      <c r="B415" t="s">
        <v>61</v>
      </c>
      <c r="C415" t="s">
        <v>116</v>
      </c>
      <c r="D415" t="s">
        <v>188</v>
      </c>
      <c r="E415" t="s">
        <v>156</v>
      </c>
      <c r="F415" t="s">
        <v>75</v>
      </c>
      <c r="G415" t="str">
        <f>VLOOKUP(A:A,INVENTÁRIO_06_2025!A:A,1,0)</f>
        <v>SPRDSKPPCGRU07</v>
      </c>
      <c r="H415" t="str">
        <f>VLOOKUP(A:A,INVENTÁRIO_08_2025!A:A,1,0)</f>
        <v>SPRDSKPPCGRU07</v>
      </c>
    </row>
    <row r="416" spans="1:8" hidden="1">
      <c r="A416" s="15" t="s">
        <v>237</v>
      </c>
      <c r="B416" t="s">
        <v>61</v>
      </c>
      <c r="C416" t="s">
        <v>116</v>
      </c>
      <c r="D416" t="s">
        <v>188</v>
      </c>
      <c r="E416" t="s">
        <v>156</v>
      </c>
      <c r="F416" t="s">
        <v>75</v>
      </c>
      <c r="G416" t="str">
        <f>VLOOKUP(A:A,INVENTÁRIO_06_2025!A:A,1,0)</f>
        <v>SPRDSKPPCGRU08</v>
      </c>
      <c r="H416" t="str">
        <f>VLOOKUP(A:A,INVENTÁRIO_08_2025!A:A,1,0)</f>
        <v>SPRDSKPPCGRU08</v>
      </c>
    </row>
    <row r="417" spans="1:8" hidden="1">
      <c r="A417" s="15" t="s">
        <v>199</v>
      </c>
      <c r="B417" t="s">
        <v>61</v>
      </c>
      <c r="C417" t="s">
        <v>116</v>
      </c>
      <c r="D417" t="s">
        <v>188</v>
      </c>
      <c r="E417" t="s">
        <v>156</v>
      </c>
      <c r="F417" t="s">
        <v>75</v>
      </c>
      <c r="G417" t="str">
        <f>VLOOKUP(A:A,INVENTÁRIO_06_2025!A:A,1,0)</f>
        <v>SPRDSKPPCGRU09</v>
      </c>
      <c r="H417" t="str">
        <f>VLOOKUP(A:A,INVENTÁRIO_08_2025!A:A,1,0)</f>
        <v>SPRDSKPPCGRU09</v>
      </c>
    </row>
    <row r="418" spans="1:8" hidden="1">
      <c r="A418" s="15" t="s">
        <v>200</v>
      </c>
      <c r="B418" t="s">
        <v>61</v>
      </c>
      <c r="C418" t="s">
        <v>116</v>
      </c>
      <c r="D418" t="s">
        <v>188</v>
      </c>
      <c r="E418" t="s">
        <v>156</v>
      </c>
      <c r="F418" t="s">
        <v>75</v>
      </c>
      <c r="G418" t="str">
        <f>VLOOKUP(A:A,INVENTÁRIO_06_2025!A:A,1,0)</f>
        <v>SPRDSKPPCGRU10</v>
      </c>
      <c r="H418" t="str">
        <f>VLOOKUP(A:A,INVENTÁRIO_08_2025!A:A,1,0)</f>
        <v>SPRDSKPPCGRU10</v>
      </c>
    </row>
    <row r="419" spans="1:8" hidden="1">
      <c r="A419" s="15" t="s">
        <v>201</v>
      </c>
      <c r="B419" t="s">
        <v>61</v>
      </c>
      <c r="C419" t="s">
        <v>116</v>
      </c>
      <c r="D419" t="s">
        <v>188</v>
      </c>
      <c r="E419" t="s">
        <v>156</v>
      </c>
      <c r="F419" t="s">
        <v>75</v>
      </c>
      <c r="G419" t="str">
        <f>VLOOKUP(A:A,INVENTÁRIO_06_2025!A:A,1,0)</f>
        <v>SPRDSKPPCGRU11</v>
      </c>
      <c r="H419" t="str">
        <f>VLOOKUP(A:A,INVENTÁRIO_08_2025!A:A,1,0)</f>
        <v>SPRDSKPPCGRU11</v>
      </c>
    </row>
    <row r="420" spans="1:8" hidden="1">
      <c r="A420" s="15" t="s">
        <v>202</v>
      </c>
      <c r="B420" t="s">
        <v>61</v>
      </c>
      <c r="C420" t="s">
        <v>116</v>
      </c>
      <c r="D420" t="s">
        <v>188</v>
      </c>
      <c r="E420" t="s">
        <v>156</v>
      </c>
      <c r="F420" t="s">
        <v>75</v>
      </c>
      <c r="G420" t="str">
        <f>VLOOKUP(A:A,INVENTÁRIO_06_2025!A:A,1,0)</f>
        <v>SPRDSKPPCGRU12</v>
      </c>
      <c r="H420" t="str">
        <f>VLOOKUP(A:A,INVENTÁRIO_08_2025!A:A,1,0)</f>
        <v>SPRDSKPPCGRU12</v>
      </c>
    </row>
    <row r="421" spans="1:8" hidden="1">
      <c r="A421" s="15" t="s">
        <v>203</v>
      </c>
      <c r="B421" t="s">
        <v>61</v>
      </c>
      <c r="C421" t="s">
        <v>116</v>
      </c>
      <c r="D421" t="s">
        <v>188</v>
      </c>
      <c r="E421" t="s">
        <v>156</v>
      </c>
      <c r="F421" t="s">
        <v>75</v>
      </c>
      <c r="G421" t="str">
        <f>VLOOKUP(A:A,INVENTÁRIO_06_2025!A:A,1,0)</f>
        <v>SPRDSKPPCGRU13</v>
      </c>
      <c r="H421" t="str">
        <f>VLOOKUP(A:A,INVENTÁRIO_08_2025!A:A,1,0)</f>
        <v>SPRDSKPPCGRU13</v>
      </c>
    </row>
    <row r="422" spans="1:8" hidden="1">
      <c r="A422" s="15" t="s">
        <v>204</v>
      </c>
      <c r="B422" t="s">
        <v>61</v>
      </c>
      <c r="C422" t="s">
        <v>116</v>
      </c>
      <c r="D422" t="s">
        <v>188</v>
      </c>
      <c r="E422" t="s">
        <v>156</v>
      </c>
      <c r="F422" t="s">
        <v>75</v>
      </c>
      <c r="G422" t="str">
        <f>VLOOKUP(A:A,INVENTÁRIO_06_2025!A:A,1,0)</f>
        <v>SPRDSKPPCGRU14</v>
      </c>
      <c r="H422" t="str">
        <f>VLOOKUP(A:A,INVENTÁRIO_08_2025!A:A,1,0)</f>
        <v>SPRDSKPPCGRU14</v>
      </c>
    </row>
    <row r="423" spans="1:8" hidden="1">
      <c r="A423" s="15" t="s">
        <v>205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VLOOKUP(A:A,INVENTÁRIO_06_2025!A:A,1,0)</f>
        <v>SPRDSKPPCGRU15</v>
      </c>
      <c r="H423" t="str">
        <f>VLOOKUP(A:A,INVENTÁRIO_08_2025!A:A,1,0)</f>
        <v>SPRDSKPPCGRU15</v>
      </c>
    </row>
    <row r="424" spans="1:8" hidden="1">
      <c r="A424" s="15" t="s">
        <v>206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VLOOKUP(A:A,INVENTÁRIO_06_2025!A:A,1,0)</f>
        <v>SPRDSKPPCGRU16</v>
      </c>
      <c r="H424" t="str">
        <f>VLOOKUP(A:A,INVENTÁRIO_08_2025!A:A,1,0)</f>
        <v>SPRDSKPPCGRU16</v>
      </c>
    </row>
    <row r="425" spans="1:8" hidden="1">
      <c r="A425" s="15" t="s">
        <v>257</v>
      </c>
      <c r="B425" t="s">
        <v>61</v>
      </c>
      <c r="C425" t="s">
        <v>116</v>
      </c>
      <c r="D425" t="s">
        <v>136</v>
      </c>
      <c r="E425" t="s">
        <v>156</v>
      </c>
      <c r="F425" t="s">
        <v>75</v>
      </c>
      <c r="G425" t="str">
        <f>VLOOKUP(A:A,INVENTÁRIO_06_2025!A:A,1,0)</f>
        <v>SPRDSKSQLGRU01</v>
      </c>
      <c r="H425" t="str">
        <f>VLOOKUP(A:A,INVENTÁRIO_08_2025!A:A,1,0)</f>
        <v>SPRDSKSQLGRU01</v>
      </c>
    </row>
    <row r="426" spans="1:8" hidden="1">
      <c r="A426" s="15" t="s">
        <v>258</v>
      </c>
      <c r="B426" t="s">
        <v>61</v>
      </c>
      <c r="C426" t="s">
        <v>116</v>
      </c>
      <c r="D426" t="s">
        <v>136</v>
      </c>
      <c r="E426" t="s">
        <v>156</v>
      </c>
      <c r="F426" t="s">
        <v>75</v>
      </c>
      <c r="G426" t="str">
        <f>VLOOKUP(A:A,INVENTÁRIO_06_2025!A:A,1,0)</f>
        <v>SPRDSQL021</v>
      </c>
      <c r="H426" t="str">
        <f>VLOOKUP(A:A,INVENTÁRIO_08_2025!A:A,1,0)</f>
        <v>SPRDSQL021</v>
      </c>
    </row>
    <row r="427" spans="1:8" hidden="1">
      <c r="A427" s="15" t="s">
        <v>261</v>
      </c>
      <c r="B427" t="s">
        <v>61</v>
      </c>
      <c r="C427" t="s">
        <v>116</v>
      </c>
      <c r="D427" t="s">
        <v>136</v>
      </c>
      <c r="E427" t="s">
        <v>156</v>
      </c>
      <c r="F427" t="s">
        <v>75</v>
      </c>
      <c r="G427" t="str">
        <f>VLOOKUP(A:A,INVENTÁRIO_06_2025!A:A,1,0)</f>
        <v>SPRDVCAMSGRU01</v>
      </c>
      <c r="H427" t="str">
        <f>VLOOKUP(A:A,INVENTÁRIO_08_2025!A:A,1,0)</f>
        <v>SPRDVCAMSGRU01</v>
      </c>
    </row>
    <row r="428" spans="1:8" hidden="1">
      <c r="A428" s="15" t="s">
        <v>262</v>
      </c>
      <c r="B428" t="s">
        <v>61</v>
      </c>
      <c r="C428" t="s">
        <v>116</v>
      </c>
      <c r="D428" t="s">
        <v>136</v>
      </c>
      <c r="E428" t="s">
        <v>156</v>
      </c>
      <c r="F428" t="s">
        <v>75</v>
      </c>
      <c r="G428" t="str">
        <f>VLOOKUP(A:A,INVENTÁRIO_06_2025!A:A,1,0)</f>
        <v>SPRDVCAMSGRU02</v>
      </c>
      <c r="H428" t="str">
        <f>VLOOKUP(A:A,INVENTÁRIO_08_2025!A:A,1,0)</f>
        <v>SPRDVCAMSGRU02</v>
      </c>
    </row>
    <row r="429" spans="1:8" hidden="1">
      <c r="A429" s="15" t="s">
        <v>263</v>
      </c>
      <c r="B429" t="s">
        <v>61</v>
      </c>
      <c r="C429" t="s">
        <v>116</v>
      </c>
      <c r="D429" t="s">
        <v>136</v>
      </c>
      <c r="E429" t="s">
        <v>156</v>
      </c>
      <c r="F429" t="s">
        <v>75</v>
      </c>
      <c r="G429" t="str">
        <f>VLOOKUP(A:A,INVENTÁRIO_06_2025!A:A,1,0)</f>
        <v>SPRDVCAPVGRU01</v>
      </c>
      <c r="H429" t="str">
        <f>VLOOKUP(A:A,INVENTÁRIO_08_2025!A:A,1,0)</f>
        <v>SPRDVCAPVGRU01</v>
      </c>
    </row>
    <row r="430" spans="1:8" hidden="1">
      <c r="A430" s="15" t="s">
        <v>238</v>
      </c>
      <c r="B430" t="s">
        <v>61</v>
      </c>
      <c r="C430" t="s">
        <v>116</v>
      </c>
      <c r="D430" t="s">
        <v>136</v>
      </c>
      <c r="E430" t="s">
        <v>156</v>
      </c>
      <c r="F430" t="s">
        <v>75</v>
      </c>
      <c r="G430" t="str">
        <f>VLOOKUP(A:A,INVENTÁRIO_06_2025!A:A,1,0)</f>
        <v>SPRDVCBKPGRU01</v>
      </c>
      <c r="H430" t="str">
        <f>VLOOKUP(A:A,INVENTÁRIO_08_2025!A:A,1,0)</f>
        <v>SPRDVCBKPGRU01</v>
      </c>
    </row>
    <row r="431" spans="1:8" hidden="1">
      <c r="A431" s="15" t="s">
        <v>275</v>
      </c>
      <c r="B431" t="s">
        <v>61</v>
      </c>
      <c r="C431" t="s">
        <v>51</v>
      </c>
      <c r="D431" t="s">
        <v>276</v>
      </c>
      <c r="E431" t="s">
        <v>156</v>
      </c>
      <c r="F431" t="s">
        <v>75</v>
      </c>
      <c r="G431" t="str">
        <f>VLOOKUP(A:A,INVENTÁRIO_06_2025!A:A,1,0)</f>
        <v>SPRDVCCHOGRU01</v>
      </c>
      <c r="H431" t="str">
        <f>VLOOKUP(A:A,INVENTÁRIO_08_2025!A:A,1,0)</f>
        <v>SPRDVCCHOGRU01</v>
      </c>
    </row>
    <row r="432" spans="1:8" hidden="1">
      <c r="A432" s="15" t="s">
        <v>239</v>
      </c>
      <c r="B432" t="s">
        <v>61</v>
      </c>
      <c r="C432" t="s">
        <v>116</v>
      </c>
      <c r="D432" t="s">
        <v>136</v>
      </c>
      <c r="E432" t="s">
        <v>156</v>
      </c>
      <c r="F432" t="s">
        <v>75</v>
      </c>
      <c r="G432" t="str">
        <f>VLOOKUP(A:A,INVENTÁRIO_06_2025!A:A,1,0)</f>
        <v>SPRDVCHSEGRU03</v>
      </c>
      <c r="H432" t="str">
        <f>VLOOKUP(A:A,INVENTÁRIO_08_2025!A:A,1,0)</f>
        <v>SPRDVCHSEGRU03</v>
      </c>
    </row>
    <row r="433" spans="1:8" hidden="1">
      <c r="A433" s="15" t="s">
        <v>264</v>
      </c>
      <c r="B433" t="s">
        <v>61</v>
      </c>
      <c r="C433" t="s">
        <v>116</v>
      </c>
      <c r="D433" t="s">
        <v>136</v>
      </c>
      <c r="E433" t="s">
        <v>156</v>
      </c>
      <c r="F433" t="s">
        <v>75</v>
      </c>
      <c r="G433" t="str">
        <f>VLOOKUP(A:A,INVENTÁRIO_06_2025!A:A,1,0)</f>
        <v>SPRDVCRMQGRU01</v>
      </c>
      <c r="H433" t="str">
        <f>VLOOKUP(A:A,INVENTÁRIO_08_2025!A:A,1,0)</f>
        <v>SPRDVCRMQGRU01</v>
      </c>
    </row>
    <row r="434" spans="1:8" hidden="1">
      <c r="A434" s="15" t="s">
        <v>265</v>
      </c>
      <c r="B434" t="s">
        <v>61</v>
      </c>
      <c r="C434" t="s">
        <v>116</v>
      </c>
      <c r="D434" t="s">
        <v>136</v>
      </c>
      <c r="E434" t="s">
        <v>156</v>
      </c>
      <c r="F434" t="s">
        <v>75</v>
      </c>
      <c r="G434" t="str">
        <f>VLOOKUP(A:A,INVENTÁRIO_06_2025!A:A,1,0)</f>
        <v>SPRDVCRPTGRU01</v>
      </c>
      <c r="H434" t="str">
        <f>VLOOKUP(A:A,INVENTÁRIO_08_2025!A:A,1,0)</f>
        <v>SPRDVCRPTGRU01</v>
      </c>
    </row>
    <row r="435" spans="1:8" hidden="1">
      <c r="A435" s="15" t="s">
        <v>282</v>
      </c>
      <c r="B435" t="s">
        <v>61</v>
      </c>
      <c r="C435" t="s">
        <v>51</v>
      </c>
      <c r="D435" t="s">
        <v>283</v>
      </c>
      <c r="E435" t="s">
        <v>156</v>
      </c>
      <c r="F435" t="s">
        <v>75</v>
      </c>
      <c r="G435" t="str">
        <f>VLOOKUP(A:A,INVENTÁRIO_06_2025!A:A,1,0)</f>
        <v>sprdvcsagru01</v>
      </c>
      <c r="H435" t="str">
        <f>VLOOKUP(A:A,INVENTÁRIO_08_2025!A:A,1,0)</f>
        <v>sprdvcsagru01</v>
      </c>
    </row>
    <row r="436" spans="1:8" hidden="1">
      <c r="A436" s="15" t="s">
        <v>266</v>
      </c>
      <c r="B436" t="s">
        <v>50</v>
      </c>
      <c r="C436" t="s">
        <v>116</v>
      </c>
      <c r="D436" t="s">
        <v>247</v>
      </c>
      <c r="E436" t="s">
        <v>156</v>
      </c>
      <c r="F436" t="s">
        <v>75</v>
      </c>
      <c r="G436" t="str">
        <f>VLOOKUP(A:A,INVENTÁRIO_06_2025!A:A,1,0)</f>
        <v>SPRDVCSQLGRU06</v>
      </c>
      <c r="H436" t="str">
        <f>VLOOKUP(A:A,INVENTÁRIO_08_2025!A:A,1,0)</f>
        <v>SPRDVCSQLGRU06</v>
      </c>
    </row>
    <row r="437" spans="1:8" hidden="1">
      <c r="A437" s="15" t="s">
        <v>267</v>
      </c>
      <c r="B437" t="s">
        <v>61</v>
      </c>
      <c r="C437" t="s">
        <v>116</v>
      </c>
      <c r="D437" t="s">
        <v>136</v>
      </c>
      <c r="E437" t="s">
        <v>156</v>
      </c>
      <c r="F437" t="s">
        <v>75</v>
      </c>
      <c r="G437" t="str">
        <f>VLOOKUP(A:A,INVENTÁRIO_06_2025!A:A,1,0)</f>
        <v>SPRDVCSQLGRU07</v>
      </c>
      <c r="H437" t="str">
        <f>VLOOKUP(A:A,INVENTÁRIO_08_2025!A:A,1,0)</f>
        <v>SPRDVCSQLGRU07</v>
      </c>
    </row>
    <row r="438" spans="1:8" hidden="1">
      <c r="A438" s="15" t="s">
        <v>268</v>
      </c>
      <c r="B438" t="s">
        <v>61</v>
      </c>
      <c r="C438" t="s">
        <v>116</v>
      </c>
      <c r="D438" t="s">
        <v>136</v>
      </c>
      <c r="E438" t="s">
        <v>156</v>
      </c>
      <c r="F438" t="s">
        <v>75</v>
      </c>
      <c r="G438" t="str">
        <f>VLOOKUP(A:A,INVENTÁRIO_06_2025!A:A,1,0)</f>
        <v>SPRDVCWEBGRU01</v>
      </c>
      <c r="H438" t="str">
        <f>VLOOKUP(A:A,INVENTÁRIO_08_2025!A:A,1,0)</f>
        <v>SPRDVCWEBGRU01</v>
      </c>
    </row>
    <row r="439" spans="1:8" hidden="1">
      <c r="A439" s="15" t="s">
        <v>269</v>
      </c>
      <c r="B439" t="s">
        <v>50</v>
      </c>
      <c r="C439" t="s">
        <v>116</v>
      </c>
      <c r="D439" t="s">
        <v>136</v>
      </c>
      <c r="E439" t="s">
        <v>156</v>
      </c>
      <c r="F439" t="s">
        <v>75</v>
      </c>
      <c r="G439" t="str">
        <f>VLOOKUP(A:A,INVENTÁRIO_06_2025!A:A,1,0)</f>
        <v>SPRDVCWEBGRU02</v>
      </c>
      <c r="H439" t="str">
        <f>VLOOKUP(A:A,INVENTÁRIO_08_2025!A:A,1,0)</f>
        <v>SPRDVCWEBGRU02</v>
      </c>
    </row>
    <row r="440" spans="1:8" hidden="1">
      <c r="A440" s="15" t="s">
        <v>287</v>
      </c>
      <c r="B440" t="s">
        <v>61</v>
      </c>
      <c r="C440" t="s">
        <v>51</v>
      </c>
      <c r="D440" t="s">
        <v>288</v>
      </c>
      <c r="E440" t="s">
        <v>156</v>
      </c>
      <c r="F440" t="s">
        <v>75</v>
      </c>
      <c r="G440" t="str">
        <f>VLOOKUP(A:A,INVENTÁRIO_06_2025!A:A,1,0)</f>
        <v>sprdvxrmgru01</v>
      </c>
      <c r="H440" t="str">
        <f>VLOOKUP(A:A,INVENTÁRIO_08_2025!A:A,1,0)</f>
        <v>sprdvxrmgru01</v>
      </c>
    </row>
    <row r="441" spans="1:8" hidden="1">
      <c r="A441" s="15" t="s">
        <v>240</v>
      </c>
      <c r="B441" t="s">
        <v>61</v>
      </c>
      <c r="C441" t="s">
        <v>116</v>
      </c>
      <c r="D441" t="s">
        <v>136</v>
      </c>
      <c r="E441" t="s">
        <v>156</v>
      </c>
      <c r="F441" t="s">
        <v>75</v>
      </c>
      <c r="G441" t="str">
        <f>VLOOKUP(A:A,INVENTÁRIO_06_2025!A:A,1,0)</f>
        <v>SPRDWBBENGRU01</v>
      </c>
      <c r="H441" t="str">
        <f>VLOOKUP(A:A,INVENTÁRIO_08_2025!A:A,1,0)</f>
        <v>SPRDWBBENGRU01</v>
      </c>
    </row>
    <row r="442" spans="1:8" hidden="1">
      <c r="A442" s="15" t="s">
        <v>684</v>
      </c>
      <c r="B442" t="s">
        <v>61</v>
      </c>
      <c r="C442" t="s">
        <v>116</v>
      </c>
      <c r="D442" t="s">
        <v>572</v>
      </c>
      <c r="E442" t="s">
        <v>156</v>
      </c>
      <c r="F442" t="s">
        <v>75</v>
      </c>
      <c r="G442" t="str">
        <f>VLOOKUP(A:A,INVENTÁRIO_06_2025!A:A,1,0)</f>
        <v>SPRDWSUSGRU01</v>
      </c>
      <c r="H442" t="str">
        <f>VLOOKUP(A:A,INVENTÁRIO_08_2025!A:A,1,0)</f>
        <v>SPRDWSUSGRU01</v>
      </c>
    </row>
    <row r="443" spans="1:8" hidden="1">
      <c r="A443" s="15" t="s">
        <v>320</v>
      </c>
      <c r="B443" t="s">
        <v>61</v>
      </c>
      <c r="C443" t="s">
        <v>51</v>
      </c>
      <c r="D443" t="s">
        <v>114</v>
      </c>
      <c r="E443" t="s">
        <v>156</v>
      </c>
      <c r="F443" t="s">
        <v>75</v>
      </c>
      <c r="G443" t="str">
        <f>VLOOKUP(A:A,INVENTÁRIO_06_2025!A:A,1,0)</f>
        <v>SPRDZBGRU01</v>
      </c>
      <c r="H443" t="str">
        <f>VLOOKUP(A:A,INVENTÁRIO_08_2025!A:A,1,0)</f>
        <v>SPRDZBGRU01</v>
      </c>
    </row>
    <row r="444" spans="1:8" hidden="1">
      <c r="A444" s="15" t="s">
        <v>321</v>
      </c>
      <c r="B444" t="s">
        <v>61</v>
      </c>
      <c r="C444" t="s">
        <v>51</v>
      </c>
      <c r="D444" t="s">
        <v>114</v>
      </c>
      <c r="E444" t="s">
        <v>156</v>
      </c>
      <c r="F444" t="s">
        <v>75</v>
      </c>
      <c r="G444" t="str">
        <f>VLOOKUP(A:A,INVENTÁRIO_06_2025!A:A,1,0)</f>
        <v>SPRDZBGRU02</v>
      </c>
      <c r="H444" t="str">
        <f>VLOOKUP(A:A,INVENTÁRIO_08_2025!A:A,1,0)</f>
        <v>SPRDZBGRU02</v>
      </c>
    </row>
    <row r="445" spans="1:8" hidden="1">
      <c r="A445" s="15" t="s">
        <v>322</v>
      </c>
      <c r="B445" t="s">
        <v>61</v>
      </c>
      <c r="C445" t="s">
        <v>51</v>
      </c>
      <c r="D445" t="s">
        <v>114</v>
      </c>
      <c r="E445" t="s">
        <v>156</v>
      </c>
      <c r="F445" t="s">
        <v>75</v>
      </c>
      <c r="G445" t="str">
        <f>VLOOKUP(A:A,INVENTÁRIO_06_2025!A:A,1,0)</f>
        <v>SPRDZBGRU03</v>
      </c>
      <c r="H445" t="str">
        <f>VLOOKUP(A:A,INVENTÁRIO_08_2025!A:A,1,0)</f>
        <v>SPRDZBGRU03</v>
      </c>
    </row>
    <row r="446" spans="1:8" hidden="1">
      <c r="A446" s="15" t="s">
        <v>323</v>
      </c>
      <c r="B446" t="s">
        <v>61</v>
      </c>
      <c r="C446" t="s">
        <v>51</v>
      </c>
      <c r="D446" t="s">
        <v>114</v>
      </c>
      <c r="E446" t="s">
        <v>156</v>
      </c>
      <c r="F446" t="s">
        <v>75</v>
      </c>
      <c r="G446" t="str">
        <f>VLOOKUP(A:A,INVENTÁRIO_06_2025!A:A,1,0)</f>
        <v>SPRDZBGRU04</v>
      </c>
      <c r="H446" t="str">
        <f>VLOOKUP(A:A,INVENTÁRIO_08_2025!A:A,1,0)</f>
        <v>SPRDZBGRU04</v>
      </c>
    </row>
    <row r="447" spans="1:8" hidden="1">
      <c r="A447" s="15" t="s">
        <v>324</v>
      </c>
      <c r="B447" t="s">
        <v>61</v>
      </c>
      <c r="C447" t="s">
        <v>51</v>
      </c>
      <c r="D447" t="s">
        <v>114</v>
      </c>
      <c r="E447" t="s">
        <v>156</v>
      </c>
      <c r="F447" t="s">
        <v>75</v>
      </c>
      <c r="G447" t="str">
        <f>VLOOKUP(A:A,INVENTÁRIO_06_2025!A:A,1,0)</f>
        <v>SPRDZBGRU05</v>
      </c>
      <c r="H447" t="str">
        <f>VLOOKUP(A:A,INVENTÁRIO_08_2025!A:A,1,0)</f>
        <v>SPRDZBGRU05</v>
      </c>
    </row>
    <row r="448" spans="1:8" hidden="1">
      <c r="A448" s="15" t="s">
        <v>171</v>
      </c>
      <c r="B448" t="s">
        <v>61</v>
      </c>
      <c r="C448" t="s">
        <v>116</v>
      </c>
      <c r="D448" t="s">
        <v>122</v>
      </c>
      <c r="E448" t="s">
        <v>156</v>
      </c>
      <c r="F448" t="s">
        <v>75</v>
      </c>
      <c r="G448" t="str">
        <f>VLOOKUP(A:A,INVENTÁRIO_06_2025!A:A,1,0)</f>
        <v>SSERV1-GRU</v>
      </c>
      <c r="H448" t="str">
        <f>VLOOKUP(A:A,INVENTÁRIO_08_2025!A:A,1,0)</f>
        <v>SSERV1-GRU</v>
      </c>
    </row>
  </sheetData>
  <autoFilter ref="A1:H448">
    <filterColumn colId="0">
      <colorFilter dxfId="3"/>
    </filterColumn>
  </autoFilter>
  <conditionalFormatting sqref="A1:A1048576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N63"/>
  <sheetViews>
    <sheetView showGridLines="0" showRowColHeaders="0" topLeftCell="A8" zoomScale="85" zoomScaleNormal="85" workbookViewId="0">
      <selection activeCell="B28" sqref="B28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49" t="s">
        <v>698</v>
      </c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2" t="s">
        <v>1</v>
      </c>
      <c r="C4" s="53"/>
      <c r="D4" s="4"/>
      <c r="E4" s="52" t="s">
        <v>2</v>
      </c>
      <c r="F4" s="53"/>
      <c r="G4" s="4"/>
      <c r="H4" s="52" t="s">
        <v>3</v>
      </c>
      <c r="I4" s="53"/>
      <c r="K4" s="52" t="s">
        <v>4</v>
      </c>
      <c r="L4" s="53"/>
    </row>
    <row r="5" spans="2:12">
      <c r="B5" s="5" t="s">
        <v>5</v>
      </c>
      <c r="C5" s="6">
        <f>COUNTIFS(INVENTÁRIO_08_2025!C:C,"Linux",INVENTÁRIO_08_2025!E:E,"Virtual")</f>
        <v>107</v>
      </c>
      <c r="D5" s="7"/>
      <c r="E5" s="5" t="s">
        <v>6</v>
      </c>
      <c r="F5" s="6">
        <f>COUNTIFS(INVENTÁRIO_08_2025!C:C,"Linux",INVENTÁRIO_08_2025!E:E,"Fisico")</f>
        <v>50</v>
      </c>
      <c r="G5" s="7"/>
      <c r="H5" s="5" t="s">
        <v>5</v>
      </c>
      <c r="I5" s="6">
        <f>COUNTIFS(INVENTÁRIO_08_2025!C:C,"Windows",INVENTÁRIO_08_2025!E:E,"Virtual")</f>
        <v>277</v>
      </c>
      <c r="K5" s="5" t="s">
        <v>6</v>
      </c>
      <c r="L5" s="6">
        <f>COUNTIFS(INVENTÁRIO_08_2025!C:C,"Windows",INVENTÁRIO_08_2025!E:E,"Fisico")</f>
        <v>49</v>
      </c>
    </row>
    <row r="6" spans="2:12">
      <c r="B6" s="5" t="s">
        <v>7</v>
      </c>
      <c r="C6" s="6">
        <f>COUNTIFS(INVENTÁRIO_08_2025!B:B,"poweredOff",INVENTÁRIO_08_2025!C:C,"Linux",INVENTÁRIO_08_2025!E:E,"Virtual")</f>
        <v>3</v>
      </c>
      <c r="D6" s="7"/>
      <c r="E6" s="5" t="s">
        <v>7</v>
      </c>
      <c r="F6" s="6">
        <f>COUNTIFS(INVENTÁRIO_08_2025!B:B,"poweredOff",INVENTÁRIO_08_2025!C:C,"Linux",INVENTÁRIO_08_2025!E:E,"Fisico")</f>
        <v>5</v>
      </c>
      <c r="G6" s="7"/>
      <c r="H6" s="5" t="s">
        <v>7</v>
      </c>
      <c r="I6" s="6">
        <f>COUNTIFS(INVENTÁRIO_08_2025!B:B,"poweredOff",INVENTÁRIO_08_2025!C:C,"Windows",INVENTÁRIO_08_2025!E:E,"Virtual")</f>
        <v>20</v>
      </c>
      <c r="K6" s="5" t="s">
        <v>7</v>
      </c>
      <c r="L6" s="6">
        <f>COUNTIFS(INVENTÁRIO_08_2025!B:B,"poweredOff",INVENTÁRIO_08_2025!C:C,"Windows",INVENTÁRIO_08_2025!E:E,"Fisico")</f>
        <v>28</v>
      </c>
    </row>
    <row r="7" spans="2:12">
      <c r="B7" s="5" t="s">
        <v>8</v>
      </c>
      <c r="C7" s="6">
        <f>COUNTIFS(INVENTÁRIO_08_2025!B:B,"poweredOn",INVENTÁRIO_08_2025!C:C,"Linux",INVENTÁRIO_08_2025!E:E,"Virtual")</f>
        <v>104</v>
      </c>
      <c r="D7" s="7"/>
      <c r="E7" s="5" t="s">
        <v>8</v>
      </c>
      <c r="F7" s="6">
        <f>COUNTIFS(INVENTÁRIO_08_2025!B:B,"poweredOn",INVENTÁRIO_08_2025!C:C,"Linux",INVENTÁRIO_08_2025!E:E,"Fisico")</f>
        <v>45</v>
      </c>
      <c r="G7" s="7"/>
      <c r="H7" s="5" t="s">
        <v>8</v>
      </c>
      <c r="I7" s="6">
        <f>COUNTIFS(INVENTÁRIO_08_2025!B:B,"poweredOn",INVENTÁRIO_08_2025!C:C,"Windows",INVENTÁRIO_08_2025!E:E,"Virtual")</f>
        <v>257</v>
      </c>
      <c r="K7" s="5" t="s">
        <v>8</v>
      </c>
      <c r="L7" s="6">
        <f>COUNTIFS(INVENTÁRIO_08_2025!B:B,"poweredOn",INVENTÁRIO_08_2025!C:C,"Windows",INVENTÁRIO_08_2025!E:E,"Fisico")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COUNTIFS(INVENTÁRIO_08_2025!C:C,"Linux",INVENTÁRIO_08_2025!D:D,"*RedHat 9*",INVENTÁRIO_08_2025!E:E,"Virtual")</f>
        <v>22</v>
      </c>
      <c r="D9" s="7"/>
      <c r="E9" s="5" t="s">
        <v>9</v>
      </c>
      <c r="F9" s="6">
        <f>COUNTIFS(INVENTÁRIO_08_2025!C:C,"Linux",INVENTÁRIO_08_2025!D:D,"*RedHat 9*",INVENTÁRIO_08_2025!E:E,"Fisico")</f>
        <v>0</v>
      </c>
      <c r="G9" s="7"/>
      <c r="H9" s="5" t="s">
        <v>10</v>
      </c>
      <c r="I9" s="6">
        <f>COUNTIFS(INVENTÁRIO_08_2025!C:C,"Windows",INVENTÁRIO_08_2025!D:D,"*2022*",INVENTÁRIO_08_2025!E:E,"Virtual")</f>
        <v>42</v>
      </c>
      <c r="K9" s="5" t="s">
        <v>10</v>
      </c>
      <c r="L9" s="6">
        <f>COUNTIFS(INVENTÁRIO_08_2025!C:C,"Windows",INVENTÁRIO_08_2025!D:D,"*2022*",INVENTÁRIO_08_2025!E:E,"Fisico")</f>
        <v>22</v>
      </c>
    </row>
    <row r="10" spans="2:12">
      <c r="B10" s="5" t="s">
        <v>11</v>
      </c>
      <c r="C10" s="6">
        <f>COUNTIFS(INVENTÁRIO_08_2025!C:C,"Linux",INVENTÁRIO_08_2025!D:D,"*RedHat 8*",INVENTÁRIO_08_2025!E:E,"Virtual")</f>
        <v>9</v>
      </c>
      <c r="D10" s="7"/>
      <c r="E10" s="5" t="s">
        <v>11</v>
      </c>
      <c r="F10" s="6">
        <f>COUNTIFS(INVENTÁRIO_08_2025!C:C,"Linux",INVENTÁRIO_08_2025!D:D,"*RedHat 8*",INVENTÁRIO_08_2025!E:E,"Fisico")</f>
        <v>2</v>
      </c>
      <c r="G10" s="7"/>
      <c r="H10" s="5" t="s">
        <v>12</v>
      </c>
      <c r="I10" s="6">
        <f>COUNTIFS(INVENTÁRIO_08_2025!C:C,"Windows",INVENTÁRIO_08_2025!D:D,"*2019*",INVENTÁRIO_08_2025!E:E,"Virtual")</f>
        <v>51</v>
      </c>
      <c r="K10" s="5" t="s">
        <v>12</v>
      </c>
      <c r="L10" s="6">
        <f>COUNTIFS(INVENTÁRIO_08_2025!C:C,"Windows",INVENTÁRIO_08_2025!D:D,"*2019*",INVENTÁRIO_08_2025!E:E,"Fisico")</f>
        <v>14</v>
      </c>
    </row>
    <row r="11" spans="2:12">
      <c r="B11" s="5" t="s">
        <v>13</v>
      </c>
      <c r="C11" s="6">
        <f>COUNTIFS(INVENTÁRIO_08_2025!C:C,"Linux",INVENTÁRIO_08_2025!D:D,"*RedHat 7*",INVENTÁRIO_08_2025!E:E,"Virtual")</f>
        <v>6</v>
      </c>
      <c r="D11" s="7"/>
      <c r="E11" s="5" t="s">
        <v>13</v>
      </c>
      <c r="F11" s="6">
        <f>COUNTIFS(INVENTÁRIO_08_2025!C:C,"Linux",INVENTÁRIO_08_2025!D:D,"*RedHat 7*",INVENTÁRIO_08_2025!E:E,"Fisico")</f>
        <v>1</v>
      </c>
      <c r="G11" s="7"/>
      <c r="H11" s="5" t="s">
        <v>14</v>
      </c>
      <c r="I11" s="6">
        <f>COUNTIFS(INVENTÁRIO_08_2025!C:C,"Windows",INVENTÁRIO_08_2025!D:D,"*2016*",INVENTÁRIO_08_2025!E:E,"Virtual")</f>
        <v>77</v>
      </c>
      <c r="K11" s="5" t="s">
        <v>14</v>
      </c>
      <c r="L11" s="6">
        <f>COUNTIFS(INVENTÁRIO_08_2025!C:C,"Windows",INVENTÁRIO_08_2025!D:D,"*2016*",INVENTÁRIO_08_2025!E:E,"Fisico")</f>
        <v>0</v>
      </c>
    </row>
    <row r="12" spans="2:12">
      <c r="B12" s="5" t="s">
        <v>15</v>
      </c>
      <c r="C12" s="6">
        <f>COUNTIFS(INVENTÁRIO_08_2025!C:C,"Linux",INVENTÁRIO_08_2025!D:D,"*RedHat 6*",INVENTÁRIO_08_2025!E:E,"Virtual")</f>
        <v>9</v>
      </c>
      <c r="D12" s="7"/>
      <c r="E12" s="5" t="s">
        <v>15</v>
      </c>
      <c r="F12" s="6">
        <f>COUNTIFS(INVENTÁRIO_08_2025!C:C,"Linux",INVENTÁRIO_08_2025!D:D,"*RedHat 6*",INVENTÁRIO_08_2025!E:E,"Fisico")</f>
        <v>23</v>
      </c>
      <c r="G12" s="7"/>
      <c r="H12" s="5" t="s">
        <v>16</v>
      </c>
      <c r="I12" s="6">
        <f>COUNTIFS(INVENTÁRIO_08_2025!C:C,"Windows",INVENTÁRIO_08_2025!D:D,"*2012*",INVENTÁRIO_08_2025!E:E,"Virtual")</f>
        <v>49</v>
      </c>
      <c r="K12" s="5" t="s">
        <v>16</v>
      </c>
      <c r="L12" s="6">
        <f>COUNTIFS(INVENTÁRIO_08_2025!C:C,"Windows",INVENTÁRIO_08_2025!D:D,"*2012*",INVENTÁRIO_08_2025!E:E,"Fisico")</f>
        <v>7</v>
      </c>
    </row>
    <row r="13" spans="2:12">
      <c r="B13" s="5" t="s">
        <v>17</v>
      </c>
      <c r="C13" s="6">
        <f>COUNTIFS(INVENTÁRIO_08_2025!C:C,"Linux",INVENTÁRIO_08_2025!D:D,"*RedHat 5*",INVENTÁRIO_08_2025!E:E,"Virtual")</f>
        <v>0</v>
      </c>
      <c r="D13" s="7"/>
      <c r="E13" s="5" t="s">
        <v>17</v>
      </c>
      <c r="F13" s="6">
        <f>COUNTIFS(INVENTÁRIO_08_2025!C:C,"Linux",INVENTÁRIO_08_2025!D:D,"*RedHat 5*",INVENTÁRIO_08_2025!E:E,"Fisico")</f>
        <v>1</v>
      </c>
      <c r="G13" s="7"/>
      <c r="H13" s="5" t="s">
        <v>18</v>
      </c>
      <c r="I13" s="6">
        <f>COUNTIFS(INVENTÁRIO_08_2025!C:C,"Windows",INVENTÁRIO_08_2025!D:D,"*2008*",INVENTÁRIO_08_2025!E:E,"Virtual")</f>
        <v>54</v>
      </c>
      <c r="K13" s="5" t="s">
        <v>18</v>
      </c>
      <c r="L13" s="6">
        <f>COUNTIFS(INVENTÁRIO_08_2025!C:C,"Windows",INVENTÁRIO_08_2025!D:D,"*2008*",INVENTÁRIO_08_2025!E:E,"Fisico")</f>
        <v>6</v>
      </c>
    </row>
    <row r="14" spans="2:12">
      <c r="B14" s="5" t="s">
        <v>19</v>
      </c>
      <c r="C14" s="6">
        <f>COUNTIFS(INVENTÁRIO_08_2025!C:C,"Linux",INVENTÁRIO_08_2025!D:D,"*Ubuntu*",INVENTÁRIO_08_2025!E:E,"Virtual")</f>
        <v>30</v>
      </c>
      <c r="D14" s="7"/>
      <c r="E14" s="5" t="s">
        <v>19</v>
      </c>
      <c r="F14" s="6">
        <f>COUNTIFS(INVENTÁRIO_08_2025!C:C,"Linux",INVENTÁRIO_08_2025!D:D,"*Ubuntu*",INVENTÁRIO_08_2025!E:E,"Fisico")</f>
        <v>1</v>
      </c>
      <c r="G14" s="7"/>
      <c r="H14" s="5" t="s">
        <v>20</v>
      </c>
      <c r="I14" s="6">
        <f>COUNTIFS(INVENTÁRIO_08_2025!C:C,"Windows",INVENTÁRIO_08_2025!D:D,"*10*",INVENTÁRIO_08_2025!E:E,"Virtual")</f>
        <v>2</v>
      </c>
      <c r="K14" s="5" t="s">
        <v>20</v>
      </c>
      <c r="L14" s="6">
        <f>COUNTIFS(INVENTÁRIO_08_2025!C:C,"Windows",INVENTÁRIO_08_2025!D:D,"*10*",INVENTÁRIO_08_2025!E:E,"Fisico")</f>
        <v>0</v>
      </c>
    </row>
    <row r="15" spans="2:12">
      <c r="B15" s="5" t="s">
        <v>21</v>
      </c>
      <c r="C15" s="6">
        <f>COUNTIFS(INVENTÁRIO_08_2025!C:C,"Linux",INVENTÁRIO_08_2025!D:D,"*Centos*",INVENTÁRIO_08_2025!E:E,"Virtual")</f>
        <v>4</v>
      </c>
      <c r="D15" s="7"/>
      <c r="E15" s="5" t="s">
        <v>21</v>
      </c>
      <c r="F15" s="6">
        <f>COUNTIFS(INVENTÁRIO_08_2025!C:C,"Linux",INVENTÁRIO_08_2025!D:D,"*Centos*",INVENTÁRIO_08_2025!E:E,"Fisico")</f>
        <v>0</v>
      </c>
      <c r="G15" s="7"/>
      <c r="H15" s="5" t="s">
        <v>22</v>
      </c>
      <c r="I15" s="6">
        <f>COUNTIFS(INVENTÁRIO_08_2025!C:C,"Windows",INVENTÁRIO_08_2025!D:D,"*Windows 8*",INVENTÁRIO_08_2025!E:E,"Virtual")</f>
        <v>0</v>
      </c>
      <c r="K15" s="5" t="s">
        <v>22</v>
      </c>
      <c r="L15" s="6">
        <f>COUNTIFS(INVENTÁRIO_08_2025!C:C,"Windows",INVENTÁRIO_08_2025!D:D,"*Windows 8*",INVENTÁRIO_08_2025!E:E,"Fisico")</f>
        <v>0</v>
      </c>
    </row>
    <row r="16" spans="2:12">
      <c r="B16" s="5" t="s">
        <v>23</v>
      </c>
      <c r="C16" s="6">
        <f>COUNTIFS(INVENTÁRIO_08_2025!C:C,"Linux",INVENTÁRIO_08_2025!D:D,"*Debian*",INVENTÁRIO_08_2025!E:E,"Virtual")</f>
        <v>7</v>
      </c>
      <c r="D16" s="7"/>
      <c r="E16" s="5" t="s">
        <v>23</v>
      </c>
      <c r="F16" s="6">
        <f>COUNTIFS(INVENTÁRIO_08_2025!C:C,"Linux",INVENTÁRIO_08_2025!D:D,"*Debian*",INVENTÁRIO_08_2025!E:E,"Fisico")</f>
        <v>0</v>
      </c>
      <c r="G16" s="7"/>
      <c r="H16" s="12" t="s">
        <v>24</v>
      </c>
      <c r="I16" s="13">
        <f>COUNTIFS(INVENTÁRIO_08_2025!C:C,"Windows",INVENTÁRIO_08_2025!D:D,"*7*",INVENTÁRIO_08_2025!E:E,"Virtual")</f>
        <v>2</v>
      </c>
      <c r="K16" s="12" t="s">
        <v>24</v>
      </c>
      <c r="L16" s="13">
        <f>COUNTIFS(INVENTÁRIO_08_2025!C:C,"Windows",INVENTÁRIO_08_2025!D:D,"*7*",INVENTÁRIO_08_2025!E:E,"Fisico")</f>
        <v>0</v>
      </c>
    </row>
    <row r="17" spans="2:12">
      <c r="B17" s="5" t="s">
        <v>25</v>
      </c>
      <c r="C17" s="6">
        <f>COUNTIFS(INVENTÁRIO_08_2025!C:C,"Linux",INVENTÁRIO_08_2025!D:D,"*Suse*",INVENTÁRIO_08_2025!E:E,"Virtual")</f>
        <v>10</v>
      </c>
      <c r="D17" s="7"/>
      <c r="E17" s="5" t="s">
        <v>25</v>
      </c>
      <c r="F17" s="6">
        <f>COUNTIFS(INVENTÁRIO_08_2025!C:C,"Linux",INVENTÁRIO_08_2025!D:D,"*Suse*",INVENTÁRIO_08_2025!E:E,"Fisico")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97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1" thickBot="1">
      <c r="B22" s="52" t="s">
        <v>28</v>
      </c>
      <c r="C22" s="53"/>
      <c r="E22" s="52" t="s">
        <v>611</v>
      </c>
      <c r="F22" s="53"/>
      <c r="H22" s="52" t="s">
        <v>30</v>
      </c>
      <c r="I22" s="53"/>
      <c r="K22" s="52" t="s">
        <v>612</v>
      </c>
      <c r="L22" s="53"/>
    </row>
    <row r="23" spans="2:12">
      <c r="B23" s="8" t="s">
        <v>10</v>
      </c>
      <c r="C23" s="9">
        <f>I9+L9</f>
        <v>64</v>
      </c>
      <c r="E23" s="36" t="s">
        <v>699</v>
      </c>
      <c r="F23" s="37"/>
      <c r="H23" s="36" t="s">
        <v>688</v>
      </c>
      <c r="I23" s="37"/>
      <c r="K23" s="8" t="s">
        <v>32</v>
      </c>
      <c r="L23" s="9">
        <f>L25+L24</f>
        <v>483</v>
      </c>
    </row>
    <row r="24" spans="2:12">
      <c r="B24" s="8" t="s">
        <v>12</v>
      </c>
      <c r="C24" s="9">
        <f>I10+L10</f>
        <v>65</v>
      </c>
      <c r="E24" s="24" t="s">
        <v>700</v>
      </c>
      <c r="F24" s="41" t="s">
        <v>676</v>
      </c>
      <c r="H24" s="24" t="s">
        <v>619</v>
      </c>
      <c r="I24" s="41" t="s">
        <v>676</v>
      </c>
      <c r="K24" s="8" t="s">
        <v>33</v>
      </c>
      <c r="L24" s="9">
        <f>C5+F5</f>
        <v>157</v>
      </c>
    </row>
    <row r="25" spans="2:12">
      <c r="B25" s="8" t="s">
        <v>14</v>
      </c>
      <c r="C25" s="9">
        <f>I11</f>
        <v>77</v>
      </c>
      <c r="E25" s="24" t="s">
        <v>701</v>
      </c>
      <c r="F25" s="41" t="s">
        <v>676</v>
      </c>
      <c r="H25" s="24" t="s">
        <v>442</v>
      </c>
      <c r="I25" s="41" t="s">
        <v>676</v>
      </c>
      <c r="K25" s="8" t="s">
        <v>34</v>
      </c>
      <c r="L25" s="9">
        <f>L5+I5</f>
        <v>326</v>
      </c>
    </row>
    <row r="26" spans="2:12">
      <c r="B26" s="8" t="s">
        <v>18</v>
      </c>
      <c r="C26" s="9">
        <f>I13+L13</f>
        <v>60</v>
      </c>
      <c r="E26" s="24" t="s">
        <v>702</v>
      </c>
      <c r="F26" s="41" t="s">
        <v>676</v>
      </c>
      <c r="H26" s="24" t="s">
        <v>580</v>
      </c>
      <c r="I26" s="41" t="s">
        <v>676</v>
      </c>
      <c r="K26" s="8" t="s">
        <v>6</v>
      </c>
      <c r="L26" s="9">
        <f>F5+L5</f>
        <v>99</v>
      </c>
    </row>
    <row r="27" spans="2:12" ht="18" thickBot="1">
      <c r="B27" s="8" t="s">
        <v>16</v>
      </c>
      <c r="C27" s="9">
        <f>I12+L12</f>
        <v>56</v>
      </c>
      <c r="E27" s="24" t="s">
        <v>703</v>
      </c>
      <c r="F27" s="41" t="s">
        <v>676</v>
      </c>
      <c r="H27" s="39" t="s">
        <v>551</v>
      </c>
      <c r="I27" s="48" t="s">
        <v>676</v>
      </c>
      <c r="K27" s="8" t="s">
        <v>5</v>
      </c>
      <c r="L27" s="9">
        <f>C5+I5</f>
        <v>384</v>
      </c>
    </row>
    <row r="28" spans="2:12">
      <c r="B28" s="8" t="s">
        <v>35</v>
      </c>
      <c r="C28" s="9">
        <f>C9+C10+C11+C12+C13+F9+F10+F11+F12+F13</f>
        <v>73</v>
      </c>
      <c r="E28" s="24" t="s">
        <v>704</v>
      </c>
      <c r="F28" s="41" t="s">
        <v>676</v>
      </c>
      <c r="H28"/>
      <c r="K28" s="8" t="s">
        <v>37</v>
      </c>
      <c r="L28" s="9">
        <f>C7+F7+I7+L7</f>
        <v>427</v>
      </c>
    </row>
    <row r="29" spans="2:12">
      <c r="B29" s="8" t="s">
        <v>36</v>
      </c>
      <c r="C29" s="9">
        <f>C14+F14</f>
        <v>31</v>
      </c>
      <c r="E29" s="24" t="s">
        <v>705</v>
      </c>
      <c r="F29" s="41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4</v>
      </c>
      <c r="E30" s="24" t="s">
        <v>706</v>
      </c>
      <c r="F30" s="41"/>
      <c r="K30" s="8" t="s">
        <v>621</v>
      </c>
      <c r="L30" s="9">
        <v>41</v>
      </c>
    </row>
    <row r="31" spans="2:12">
      <c r="B31" s="8" t="s">
        <v>40</v>
      </c>
      <c r="C31" s="9">
        <f>C17+F17</f>
        <v>10</v>
      </c>
      <c r="E31" s="24" t="s">
        <v>707</v>
      </c>
      <c r="F31" s="41"/>
      <c r="K31" s="8" t="s">
        <v>623</v>
      </c>
      <c r="L31" s="9">
        <v>5</v>
      </c>
    </row>
    <row r="32" spans="2:12" ht="18" thickBot="1">
      <c r="B32" s="14" t="s">
        <v>654</v>
      </c>
      <c r="C32" s="11">
        <f>C19+F19+I14+I15+I16+C16+F16</f>
        <v>43</v>
      </c>
      <c r="E32" s="24" t="s">
        <v>708</v>
      </c>
      <c r="F32" s="41" t="s">
        <v>685</v>
      </c>
    </row>
    <row r="33" spans="5:14">
      <c r="E33" s="24" t="s">
        <v>709</v>
      </c>
      <c r="F33" s="41"/>
    </row>
    <row r="34" spans="5:14">
      <c r="E34" s="24" t="s">
        <v>710</v>
      </c>
      <c r="F34" s="41"/>
    </row>
    <row r="35" spans="5:14">
      <c r="E35" s="24" t="s">
        <v>711</v>
      </c>
      <c r="F35" s="41"/>
    </row>
    <row r="36" spans="5:14">
      <c r="E36" s="24" t="s">
        <v>712</v>
      </c>
      <c r="F36" s="41"/>
    </row>
    <row r="37" spans="5:14">
      <c r="E37" s="24" t="s">
        <v>713</v>
      </c>
      <c r="F37" s="41"/>
      <c r="M37" s="7"/>
      <c r="N37" s="7"/>
    </row>
    <row r="38" spans="5:14">
      <c r="E38" s="24" t="s">
        <v>714</v>
      </c>
      <c r="F38" s="41"/>
      <c r="M38" s="7"/>
      <c r="N38" s="7"/>
    </row>
    <row r="39" spans="5:14">
      <c r="E39" s="24" t="s">
        <v>715</v>
      </c>
      <c r="F39" s="41"/>
    </row>
    <row r="40" spans="5:14">
      <c r="E40" s="24" t="s">
        <v>716</v>
      </c>
      <c r="F40" s="41"/>
    </row>
    <row r="41" spans="5:14">
      <c r="E41" s="24" t="s">
        <v>717</v>
      </c>
      <c r="F41" s="41"/>
    </row>
    <row r="42" spans="5:14">
      <c r="E42" s="24" t="s">
        <v>718</v>
      </c>
      <c r="F42" s="41"/>
    </row>
    <row r="43" spans="5:14">
      <c r="E43" s="24" t="s">
        <v>719</v>
      </c>
      <c r="F43" s="41"/>
    </row>
    <row r="44" spans="5:14">
      <c r="E44" s="24" t="s">
        <v>581</v>
      </c>
      <c r="F44" s="41"/>
    </row>
    <row r="45" spans="5:14">
      <c r="E45" s="24" t="s">
        <v>720</v>
      </c>
      <c r="F45" s="41"/>
    </row>
    <row r="46" spans="5:14">
      <c r="E46" s="24" t="s">
        <v>721</v>
      </c>
      <c r="F46" s="41"/>
    </row>
    <row r="47" spans="5:14">
      <c r="E47" s="24" t="s">
        <v>722</v>
      </c>
      <c r="F47" s="41"/>
    </row>
    <row r="48" spans="5:14">
      <c r="E48" s="24" t="s">
        <v>723</v>
      </c>
      <c r="F48" s="41"/>
    </row>
    <row r="49" spans="5:6">
      <c r="E49" s="24" t="s">
        <v>724</v>
      </c>
      <c r="F49" s="41"/>
    </row>
    <row r="50" spans="5:6">
      <c r="E50" s="24" t="s">
        <v>725</v>
      </c>
      <c r="F50" s="41"/>
    </row>
    <row r="51" spans="5:6">
      <c r="E51" s="24" t="s">
        <v>726</v>
      </c>
      <c r="F51" s="41"/>
    </row>
    <row r="52" spans="5:6">
      <c r="E52" s="24" t="s">
        <v>452</v>
      </c>
      <c r="F52" s="41"/>
    </row>
    <row r="53" spans="5:6">
      <c r="E53" s="24" t="s">
        <v>641</v>
      </c>
      <c r="F53" s="41"/>
    </row>
    <row r="54" spans="5:6">
      <c r="E54" s="24" t="s">
        <v>643</v>
      </c>
      <c r="F54" s="41"/>
    </row>
    <row r="55" spans="5:6">
      <c r="E55" s="24" t="s">
        <v>727</v>
      </c>
      <c r="F55" s="41"/>
    </row>
    <row r="56" spans="5:6">
      <c r="E56" s="24" t="s">
        <v>728</v>
      </c>
      <c r="F56" s="41"/>
    </row>
    <row r="57" spans="5:6">
      <c r="E57" s="24" t="s">
        <v>729</v>
      </c>
      <c r="F57" s="41"/>
    </row>
    <row r="58" spans="5:6">
      <c r="E58" s="24" t="s">
        <v>730</v>
      </c>
      <c r="F58" s="41"/>
    </row>
    <row r="59" spans="5:6">
      <c r="E59" s="24" t="s">
        <v>731</v>
      </c>
      <c r="F59" s="41"/>
    </row>
    <row r="60" spans="5:6">
      <c r="E60" s="24" t="s">
        <v>732</v>
      </c>
      <c r="F60" s="41"/>
    </row>
    <row r="61" spans="5:6">
      <c r="E61" s="24" t="s">
        <v>461</v>
      </c>
      <c r="F61" s="41"/>
    </row>
    <row r="62" spans="5:6">
      <c r="E62" s="24" t="s">
        <v>482</v>
      </c>
      <c r="F62" s="41"/>
    </row>
    <row r="63" spans="5:6" ht="18" thickBot="1">
      <c r="E63" s="39" t="s">
        <v>431</v>
      </c>
      <c r="F63" s="48"/>
    </row>
  </sheetData>
  <sheetProtection algorithmName="SHA-512" hashValue="KtJ6XcP7uDqOcatJT7ij0384Bmrh9Yy/ZCZ5r98O85uFeW28L2KrFZC7N8yf+LwpYkyuNyNO9a+Hs32SOOsKgQ==" saltValue="4Icy0gidvUTdr1PTR2or2g==" spinCount="100000" sheet="1" objects="1" scenarios="1"/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484"/>
  <sheetViews>
    <sheetView zoomScaleNormal="100" workbookViewId="0">
      <pane ySplit="1" topLeftCell="A24" activePane="bottomLeft" state="frozen"/>
      <selection pane="bottomLeft" activeCell="A29" sqref="A29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37" customWidth="1"/>
    <col min="8" max="8" width="44.8984375" bestFit="1" customWidth="1"/>
  </cols>
  <sheetData>
    <row r="1" spans="1:7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</row>
    <row r="2" spans="1:7">
      <c r="A2" s="47" t="s">
        <v>162</v>
      </c>
      <c r="B2" s="47" t="s">
        <v>61</v>
      </c>
      <c r="C2" s="47" t="s">
        <v>116</v>
      </c>
      <c r="D2" t="s">
        <v>117</v>
      </c>
      <c r="E2" s="47" t="s">
        <v>156</v>
      </c>
      <c r="F2" s="47" t="s">
        <v>733</v>
      </c>
      <c r="G2" t="str">
        <f>VLOOKUP(A:A,INVENTÁRIO_07_2025!A:A,1,0)</f>
        <v>CCTVGRU20</v>
      </c>
    </row>
    <row r="3" spans="1:7">
      <c r="A3" t="s">
        <v>589</v>
      </c>
      <c r="B3" t="s">
        <v>50</v>
      </c>
      <c r="C3" t="s">
        <v>116</v>
      </c>
      <c r="D3" t="s">
        <v>153</v>
      </c>
      <c r="E3" t="s">
        <v>53</v>
      </c>
      <c r="F3" t="s">
        <v>133</v>
      </c>
      <c r="G3" t="str">
        <f>VLOOKUP(A:A,INVENTÁRIO_07_2025!A:A,1,0)</f>
        <v>GRUSPRDCFTV200</v>
      </c>
    </row>
    <row r="4" spans="1:7">
      <c r="A4" t="s">
        <v>590</v>
      </c>
      <c r="B4" t="s">
        <v>50</v>
      </c>
      <c r="C4" t="s">
        <v>116</v>
      </c>
      <c r="D4" t="s">
        <v>153</v>
      </c>
      <c r="E4" t="s">
        <v>53</v>
      </c>
      <c r="F4" t="s">
        <v>133</v>
      </c>
      <c r="G4" t="str">
        <f>VLOOKUP(A:A,INVENTÁRIO_07_2025!A:A,1,0)</f>
        <v>GRUSPRDCFTV201</v>
      </c>
    </row>
    <row r="5" spans="1:7">
      <c r="A5" t="s">
        <v>591</v>
      </c>
      <c r="B5" t="s">
        <v>50</v>
      </c>
      <c r="C5" t="s">
        <v>116</v>
      </c>
      <c r="D5" t="s">
        <v>153</v>
      </c>
      <c r="E5" t="s">
        <v>53</v>
      </c>
      <c r="F5" t="s">
        <v>133</v>
      </c>
      <c r="G5" t="str">
        <f>VLOOKUP(A:A,INVENTÁRIO_07_2025!A:A,1,0)</f>
        <v>GRUSPRDCFTV202</v>
      </c>
    </row>
    <row r="6" spans="1:7">
      <c r="A6" t="s">
        <v>592</v>
      </c>
      <c r="B6" t="s">
        <v>50</v>
      </c>
      <c r="C6" t="s">
        <v>116</v>
      </c>
      <c r="D6" t="s">
        <v>153</v>
      </c>
      <c r="E6" t="s">
        <v>53</v>
      </c>
      <c r="F6" t="s">
        <v>133</v>
      </c>
      <c r="G6" t="str">
        <f>VLOOKUP(A:A,INVENTÁRIO_07_2025!A:A,1,0)</f>
        <v>GRUSPRDCFTV203</v>
      </c>
    </row>
    <row r="7" spans="1:7">
      <c r="A7" t="s">
        <v>593</v>
      </c>
      <c r="B7" t="s">
        <v>50</v>
      </c>
      <c r="C7" t="s">
        <v>116</v>
      </c>
      <c r="D7" t="s">
        <v>153</v>
      </c>
      <c r="E7" t="s">
        <v>53</v>
      </c>
      <c r="F7" t="s">
        <v>133</v>
      </c>
      <c r="G7" t="str">
        <f>VLOOKUP(A:A,INVENTÁRIO_07_2025!A:A,1,0)</f>
        <v>GRUSPRDCFTV204</v>
      </c>
    </row>
    <row r="8" spans="1:7">
      <c r="A8" t="s">
        <v>594</v>
      </c>
      <c r="B8" t="s">
        <v>50</v>
      </c>
      <c r="C8" t="s">
        <v>116</v>
      </c>
      <c r="D8" t="s">
        <v>153</v>
      </c>
      <c r="E8" t="s">
        <v>53</v>
      </c>
      <c r="F8" t="s">
        <v>133</v>
      </c>
      <c r="G8" t="str">
        <f>VLOOKUP(A:A,INVENTÁRIO_07_2025!A:A,1,0)</f>
        <v>GRUSPRDCFTV205</v>
      </c>
    </row>
    <row r="9" spans="1:7">
      <c r="A9" t="s">
        <v>595</v>
      </c>
      <c r="B9" t="s">
        <v>50</v>
      </c>
      <c r="C9" t="s">
        <v>116</v>
      </c>
      <c r="D9" t="s">
        <v>153</v>
      </c>
      <c r="E9" t="s">
        <v>53</v>
      </c>
      <c r="F9" t="s">
        <v>133</v>
      </c>
      <c r="G9" t="str">
        <f>VLOOKUP(A:A,INVENTÁRIO_07_2025!A:A,1,0)</f>
        <v>GRUSPRDCFTV206</v>
      </c>
    </row>
    <row r="10" spans="1:7">
      <c r="A10" t="s">
        <v>596</v>
      </c>
      <c r="B10" t="s">
        <v>50</v>
      </c>
      <c r="C10" t="s">
        <v>116</v>
      </c>
      <c r="D10" t="s">
        <v>153</v>
      </c>
      <c r="E10" t="s">
        <v>53</v>
      </c>
      <c r="F10" t="s">
        <v>133</v>
      </c>
      <c r="G10" t="str">
        <f>VLOOKUP(A:A,INVENTÁRIO_07_2025!A:A,1,0)</f>
        <v>GRUSPRDCFTV207</v>
      </c>
    </row>
    <row r="11" spans="1:7">
      <c r="A11" t="s">
        <v>597</v>
      </c>
      <c r="B11" t="s">
        <v>50</v>
      </c>
      <c r="C11" t="s">
        <v>116</v>
      </c>
      <c r="D11" t="s">
        <v>153</v>
      </c>
      <c r="E11" t="s">
        <v>53</v>
      </c>
      <c r="F11" t="s">
        <v>133</v>
      </c>
      <c r="G11" t="str">
        <f>VLOOKUP(A:A,INVENTÁRIO_07_2025!A:A,1,0)</f>
        <v>GRUSPRDCFTV208</v>
      </c>
    </row>
    <row r="12" spans="1:7">
      <c r="A12" t="s">
        <v>598</v>
      </c>
      <c r="B12" t="s">
        <v>50</v>
      </c>
      <c r="C12" t="s">
        <v>116</v>
      </c>
      <c r="D12" t="s">
        <v>153</v>
      </c>
      <c r="E12" t="s">
        <v>53</v>
      </c>
      <c r="F12" t="s">
        <v>133</v>
      </c>
      <c r="G12" t="str">
        <f>VLOOKUP(A:A,INVENTÁRIO_07_2025!A:A,1,0)</f>
        <v>GRUSPRDCFTV209</v>
      </c>
    </row>
    <row r="13" spans="1:7">
      <c r="A13" t="s">
        <v>599</v>
      </c>
      <c r="B13" t="s">
        <v>50</v>
      </c>
      <c r="C13" t="s">
        <v>116</v>
      </c>
      <c r="D13" t="s">
        <v>153</v>
      </c>
      <c r="E13" t="s">
        <v>53</v>
      </c>
      <c r="F13" t="s">
        <v>133</v>
      </c>
      <c r="G13" t="str">
        <f>VLOOKUP(A:A,INVENTÁRIO_07_2025!A:A,1,0)</f>
        <v>GRUSPRDCFTV210</v>
      </c>
    </row>
    <row r="14" spans="1:7">
      <c r="A14" t="s">
        <v>600</v>
      </c>
      <c r="B14" t="s">
        <v>50</v>
      </c>
      <c r="C14" t="s">
        <v>116</v>
      </c>
      <c r="D14" t="s">
        <v>153</v>
      </c>
      <c r="E14" t="s">
        <v>53</v>
      </c>
      <c r="F14" t="s">
        <v>133</v>
      </c>
      <c r="G14" t="str">
        <f>VLOOKUP(A:A,INVENTÁRIO_07_2025!A:A,1,0)</f>
        <v>GRUSPRDCFTV211</v>
      </c>
    </row>
    <row r="15" spans="1:7">
      <c r="A15" t="s">
        <v>601</v>
      </c>
      <c r="B15" t="s">
        <v>50</v>
      </c>
      <c r="C15" t="s">
        <v>116</v>
      </c>
      <c r="D15" t="s">
        <v>153</v>
      </c>
      <c r="E15" t="s">
        <v>53</v>
      </c>
      <c r="F15" t="s">
        <v>133</v>
      </c>
      <c r="G15" t="str">
        <f>VLOOKUP(A:A,INVENTÁRIO_07_2025!A:A,1,0)</f>
        <v>GRUSPRDCFTV212</v>
      </c>
    </row>
    <row r="16" spans="1:7">
      <c r="A16" t="s">
        <v>602</v>
      </c>
      <c r="B16" t="s">
        <v>50</v>
      </c>
      <c r="C16" t="s">
        <v>116</v>
      </c>
      <c r="D16" t="s">
        <v>153</v>
      </c>
      <c r="E16" t="s">
        <v>53</v>
      </c>
      <c r="F16" t="s">
        <v>133</v>
      </c>
      <c r="G16" t="str">
        <f>VLOOKUP(A:A,INVENTÁRIO_07_2025!A:A,1,0)</f>
        <v>GRUSPRDCFTV213</v>
      </c>
    </row>
    <row r="17" spans="1:7">
      <c r="A17" t="s">
        <v>603</v>
      </c>
      <c r="B17" t="s">
        <v>50</v>
      </c>
      <c r="C17" t="s">
        <v>116</v>
      </c>
      <c r="D17" t="s">
        <v>153</v>
      </c>
      <c r="E17" t="s">
        <v>53</v>
      </c>
      <c r="F17" t="s">
        <v>133</v>
      </c>
      <c r="G17" t="str">
        <f>VLOOKUP(A:A,INVENTÁRIO_07_2025!A:A,1,0)</f>
        <v>GRUSPRDCFTV214</v>
      </c>
    </row>
    <row r="18" spans="1:7">
      <c r="A18" t="s">
        <v>604</v>
      </c>
      <c r="B18" t="s">
        <v>50</v>
      </c>
      <c r="C18" t="s">
        <v>116</v>
      </c>
      <c r="D18" t="s">
        <v>153</v>
      </c>
      <c r="E18" t="s">
        <v>53</v>
      </c>
      <c r="F18" t="s">
        <v>133</v>
      </c>
      <c r="G18" t="str">
        <f>VLOOKUP(A:A,INVENTÁRIO_07_2025!A:A,1,0)</f>
        <v>GRUSPRDCFTV215</v>
      </c>
    </row>
    <row r="19" spans="1:7">
      <c r="A19" t="s">
        <v>605</v>
      </c>
      <c r="B19" t="s">
        <v>50</v>
      </c>
      <c r="C19" t="s">
        <v>116</v>
      </c>
      <c r="D19" t="s">
        <v>153</v>
      </c>
      <c r="E19" t="s">
        <v>53</v>
      </c>
      <c r="F19" t="s">
        <v>133</v>
      </c>
      <c r="G19" t="str">
        <f>VLOOKUP(A:A,INVENTÁRIO_07_2025!A:A,1,0)</f>
        <v>GRUSPRDCFTV216</v>
      </c>
    </row>
    <row r="20" spans="1:7">
      <c r="A20" t="s">
        <v>606</v>
      </c>
      <c r="B20" t="s">
        <v>50</v>
      </c>
      <c r="C20" t="s">
        <v>116</v>
      </c>
      <c r="D20" t="s">
        <v>153</v>
      </c>
      <c r="E20" t="s">
        <v>53</v>
      </c>
      <c r="F20" t="s">
        <v>133</v>
      </c>
      <c r="G20" t="str">
        <f>VLOOKUP(A:A,INVENTÁRIO_07_2025!A:A,1,0)</f>
        <v>GRUSPRDCFTV217</v>
      </c>
    </row>
    <row r="21" spans="1:7">
      <c r="A21" t="s">
        <v>607</v>
      </c>
      <c r="B21" t="s">
        <v>50</v>
      </c>
      <c r="C21" t="s">
        <v>116</v>
      </c>
      <c r="D21" t="s">
        <v>153</v>
      </c>
      <c r="E21" t="s">
        <v>53</v>
      </c>
      <c r="F21" t="s">
        <v>133</v>
      </c>
      <c r="G21" t="str">
        <f>VLOOKUP(A:A,INVENTÁRIO_07_2025!A:A,1,0)</f>
        <v>GRUSPRDCFTV218</v>
      </c>
    </row>
    <row r="22" spans="1:7">
      <c r="A22" t="s">
        <v>608</v>
      </c>
      <c r="B22" t="s">
        <v>50</v>
      </c>
      <c r="C22" t="s">
        <v>116</v>
      </c>
      <c r="D22" t="s">
        <v>153</v>
      </c>
      <c r="E22" t="s">
        <v>53</v>
      </c>
      <c r="F22" t="s">
        <v>133</v>
      </c>
      <c r="G22" t="str">
        <f>VLOOKUP(A:A,INVENTÁRIO_07_2025!A:A,1,0)</f>
        <v>GRUSPRDCFTV219</v>
      </c>
    </row>
    <row r="23" spans="1:7">
      <c r="A23" t="s">
        <v>609</v>
      </c>
      <c r="B23" t="s">
        <v>50</v>
      </c>
      <c r="C23" t="s">
        <v>116</v>
      </c>
      <c r="D23" t="s">
        <v>153</v>
      </c>
      <c r="E23" t="s">
        <v>53</v>
      </c>
      <c r="F23" t="s">
        <v>133</v>
      </c>
      <c r="G23" t="str">
        <f>VLOOKUP(A:A,INVENTÁRIO_07_2025!A:A,1,0)</f>
        <v>GRUSPRDCFTV220</v>
      </c>
    </row>
    <row r="24" spans="1:7">
      <c r="A24" s="47" t="s">
        <v>528</v>
      </c>
      <c r="B24" s="47" t="s">
        <v>61</v>
      </c>
      <c r="C24" s="47" t="s">
        <v>51</v>
      </c>
      <c r="D24" t="s">
        <v>109</v>
      </c>
      <c r="E24" s="47" t="s">
        <v>156</v>
      </c>
      <c r="F24" s="47" t="s">
        <v>327</v>
      </c>
      <c r="G24" t="str">
        <f>VLOOKUP(A:A,INVENTÁRIO_07_2025!A:A,1,0)</f>
        <v>SHOMAPCMSGRU03</v>
      </c>
    </row>
    <row r="25" spans="1:7">
      <c r="A25" s="47" t="s">
        <v>207</v>
      </c>
      <c r="B25" s="47" t="s">
        <v>61</v>
      </c>
      <c r="C25" s="47" t="s">
        <v>116</v>
      </c>
      <c r="D25" t="s">
        <v>136</v>
      </c>
      <c r="E25" s="47" t="s">
        <v>156</v>
      </c>
      <c r="F25" s="47" t="s">
        <v>733</v>
      </c>
      <c r="G25" t="str">
        <f>VLOOKUP(A:A,INVENTÁRIO_07_2025!A:A,1,0)</f>
        <v>PRDSQLSC020</v>
      </c>
    </row>
    <row r="26" spans="1:7">
      <c r="A26" s="47" t="s">
        <v>164</v>
      </c>
      <c r="B26" s="47" t="s">
        <v>61</v>
      </c>
      <c r="C26" s="47" t="s">
        <v>116</v>
      </c>
      <c r="D26" t="s">
        <v>122</v>
      </c>
      <c r="E26" s="47" t="s">
        <v>156</v>
      </c>
      <c r="F26" s="47" t="s">
        <v>733</v>
      </c>
      <c r="G26" t="str">
        <f>VLOOKUP(A:A,INVENTÁRIO_07_2025!A:A,1,0)</f>
        <v>SAD2-GRU</v>
      </c>
    </row>
    <row r="27" spans="1:7">
      <c r="A27" s="47" t="s">
        <v>348</v>
      </c>
      <c r="B27" s="47" t="s">
        <v>61</v>
      </c>
      <c r="C27" s="47" t="s">
        <v>116</v>
      </c>
      <c r="D27" t="s">
        <v>163</v>
      </c>
      <c r="E27" s="47" t="s">
        <v>156</v>
      </c>
      <c r="F27" s="47" t="s">
        <v>733</v>
      </c>
      <c r="G27" t="str">
        <f>VLOOKUP(A:A,INVENTÁRIO_07_2025!A:A,1,0)</f>
        <v>SADGUESTGRU01</v>
      </c>
    </row>
    <row r="28" spans="1:7">
      <c r="A28" s="47" t="s">
        <v>350</v>
      </c>
      <c r="B28" s="47" t="s">
        <v>61</v>
      </c>
      <c r="C28" s="47" t="s">
        <v>116</v>
      </c>
      <c r="D28" t="s">
        <v>117</v>
      </c>
      <c r="E28" s="47" t="s">
        <v>156</v>
      </c>
      <c r="F28" s="47" t="s">
        <v>327</v>
      </c>
      <c r="G28" t="str">
        <f>VLOOKUP(A:A,INVENTÁRIO_07_2025!A:A,1,0)</f>
        <v>SDESAPMNTGRU01</v>
      </c>
    </row>
    <row r="29" spans="1:7">
      <c r="A29" s="47" t="s">
        <v>522</v>
      </c>
      <c r="B29" s="47" t="s">
        <v>61</v>
      </c>
      <c r="C29" s="47" t="s">
        <v>51</v>
      </c>
      <c r="D29" t="s">
        <v>85</v>
      </c>
      <c r="E29" s="47" t="s">
        <v>156</v>
      </c>
      <c r="F29" s="47" t="s">
        <v>327</v>
      </c>
      <c r="G29" t="str">
        <f>VLOOKUP(A:A,INVENTÁRIO_07_2025!A:A,1,0)</f>
        <v>SDEVAPECGRU01</v>
      </c>
    </row>
    <row r="30" spans="1:7">
      <c r="A30" s="47" t="s">
        <v>523</v>
      </c>
      <c r="B30" s="47" t="s">
        <v>61</v>
      </c>
      <c r="C30" s="47" t="s">
        <v>51</v>
      </c>
      <c r="D30" t="s">
        <v>85</v>
      </c>
      <c r="E30" s="47" t="s">
        <v>156</v>
      </c>
      <c r="F30" s="47" t="s">
        <v>327</v>
      </c>
      <c r="G30" t="str">
        <f>VLOOKUP(A:A,INVENTÁRIO_07_2025!A:A,1,0)</f>
        <v>SDQBDORAGRU01</v>
      </c>
    </row>
    <row r="31" spans="1:7">
      <c r="A31" s="47" t="s">
        <v>524</v>
      </c>
      <c r="B31" s="47" t="s">
        <v>61</v>
      </c>
      <c r="C31" s="47" t="s">
        <v>51</v>
      </c>
      <c r="D31" t="s">
        <v>85</v>
      </c>
      <c r="E31" s="47" t="s">
        <v>156</v>
      </c>
      <c r="F31" s="47" t="s">
        <v>327</v>
      </c>
      <c r="G31" t="str">
        <f>VLOOKUP(A:A,INVENTÁRIO_07_2025!A:A,1,0)</f>
        <v>SDQBDORAGRU02</v>
      </c>
    </row>
    <row r="32" spans="1:7">
      <c r="A32" s="47" t="s">
        <v>409</v>
      </c>
      <c r="B32" s="47" t="s">
        <v>61</v>
      </c>
      <c r="C32" s="47" t="s">
        <v>116</v>
      </c>
      <c r="D32" t="s">
        <v>174</v>
      </c>
      <c r="E32" s="47" t="s">
        <v>156</v>
      </c>
      <c r="F32" s="47" t="s">
        <v>327</v>
      </c>
      <c r="G32" t="str">
        <f>VLOOKUP(A:A,INVENTÁRIO_07_2025!A:A,1,0)</f>
        <v>SDQOEMCWGRU01</v>
      </c>
    </row>
    <row r="33" spans="1:7">
      <c r="A33" s="47" t="s">
        <v>165</v>
      </c>
      <c r="B33" s="47" t="s">
        <v>61</v>
      </c>
      <c r="C33" s="47" t="s">
        <v>116</v>
      </c>
      <c r="D33" t="s">
        <v>122</v>
      </c>
      <c r="E33" s="47" t="s">
        <v>156</v>
      </c>
      <c r="F33" s="47" t="s">
        <v>733</v>
      </c>
      <c r="G33" t="str">
        <f>VLOOKUP(A:A,INVENTÁRIO_07_2025!A:A,1,0)</f>
        <v>SFTP1-GRU</v>
      </c>
    </row>
    <row r="34" spans="1:7">
      <c r="A34" s="47" t="s">
        <v>699</v>
      </c>
      <c r="B34" s="47" t="s">
        <v>61</v>
      </c>
      <c r="C34" s="47" t="s">
        <v>116</v>
      </c>
      <c r="D34" t="s">
        <v>153</v>
      </c>
      <c r="E34" s="47" t="s">
        <v>156</v>
      </c>
      <c r="F34" s="47" t="s">
        <v>327</v>
      </c>
      <c r="G34" t="e">
        <f>VLOOKUP(A:A,INVENTÁRIO_07_2025!A:A,1,0)</f>
        <v>#N/A</v>
      </c>
    </row>
    <row r="35" spans="1:7">
      <c r="A35" s="47" t="s">
        <v>655</v>
      </c>
      <c r="B35" s="47" t="s">
        <v>61</v>
      </c>
      <c r="C35" s="47" t="s">
        <v>116</v>
      </c>
      <c r="D35" t="s">
        <v>572</v>
      </c>
      <c r="E35" s="47" t="s">
        <v>156</v>
      </c>
      <c r="F35" s="47" t="s">
        <v>327</v>
      </c>
      <c r="G35" t="str">
        <f>VLOOKUP(A:A,INVENTÁRIO_07_2025!A:A,1,0)</f>
        <v>SHOMADGRU001</v>
      </c>
    </row>
    <row r="36" spans="1:7">
      <c r="A36" s="47" t="s">
        <v>656</v>
      </c>
      <c r="B36" s="47" t="s">
        <v>50</v>
      </c>
      <c r="C36" s="47" t="s">
        <v>116</v>
      </c>
      <c r="D36" t="s">
        <v>572</v>
      </c>
      <c r="E36" s="47" t="s">
        <v>156</v>
      </c>
      <c r="F36" s="47" t="s">
        <v>327</v>
      </c>
      <c r="G36" t="str">
        <f>VLOOKUP(A:A,INVENTÁRIO_07_2025!A:A,1,0)</f>
        <v>SHOMADGRU002</v>
      </c>
    </row>
    <row r="37" spans="1:7">
      <c r="A37" s="47" t="s">
        <v>658</v>
      </c>
      <c r="B37" s="47" t="s">
        <v>61</v>
      </c>
      <c r="C37" s="47" t="s">
        <v>116</v>
      </c>
      <c r="D37" t="s">
        <v>572</v>
      </c>
      <c r="E37" s="47" t="s">
        <v>156</v>
      </c>
      <c r="F37" s="47" t="s">
        <v>327</v>
      </c>
      <c r="G37" t="str">
        <f>VLOOKUP(A:A,INVENTÁRIO_07_2025!A:A,1,0)</f>
        <v>SHOMADGRU003</v>
      </c>
    </row>
    <row r="38" spans="1:7">
      <c r="A38" s="47" t="s">
        <v>410</v>
      </c>
      <c r="B38" s="47" t="s">
        <v>61</v>
      </c>
      <c r="C38" s="47" t="s">
        <v>116</v>
      </c>
      <c r="D38" t="s">
        <v>174</v>
      </c>
      <c r="E38" s="47" t="s">
        <v>156</v>
      </c>
      <c r="F38" s="47" t="s">
        <v>327</v>
      </c>
      <c r="G38" t="str">
        <f>VLOOKUP(A:A,INVENTÁRIO_07_2025!A:A,1,0)</f>
        <v>SHOMADGRU01</v>
      </c>
    </row>
    <row r="39" spans="1:7">
      <c r="A39" s="47" t="s">
        <v>561</v>
      </c>
      <c r="B39" s="47" t="s">
        <v>50</v>
      </c>
      <c r="C39" s="47" t="s">
        <v>116</v>
      </c>
      <c r="D39" t="s">
        <v>562</v>
      </c>
      <c r="E39" s="47" t="s">
        <v>156</v>
      </c>
      <c r="F39" s="47" t="s">
        <v>327</v>
      </c>
      <c r="G39" t="str">
        <f>VLOOKUP(A:A,INVENTÁRIO_07_2025!A:A,1,0)</f>
        <v>SHOMADGRU02</v>
      </c>
    </row>
    <row r="40" spans="1:7">
      <c r="A40" s="47" t="s">
        <v>351</v>
      </c>
      <c r="B40" s="47" t="s">
        <v>61</v>
      </c>
      <c r="C40" s="47" t="s">
        <v>116</v>
      </c>
      <c r="D40" t="s">
        <v>163</v>
      </c>
      <c r="E40" s="47" t="s">
        <v>156</v>
      </c>
      <c r="F40" s="47" t="s">
        <v>327</v>
      </c>
      <c r="G40" t="str">
        <f>VLOOKUP(A:A,INVENTÁRIO_07_2025!A:A,1,0)</f>
        <v>SHOMAPAMSGRU01</v>
      </c>
    </row>
    <row r="41" spans="1:7">
      <c r="A41" s="47" t="s">
        <v>352</v>
      </c>
      <c r="B41" s="47" t="s">
        <v>61</v>
      </c>
      <c r="C41" s="47" t="s">
        <v>116</v>
      </c>
      <c r="D41" t="s">
        <v>163</v>
      </c>
      <c r="E41" s="47" t="s">
        <v>156</v>
      </c>
      <c r="F41" s="47" t="s">
        <v>327</v>
      </c>
      <c r="G41" t="str">
        <f>VLOOKUP(A:A,INVENTÁRIO_07_2025!A:A,1,0)</f>
        <v>SHOMAPAMSGRU02</v>
      </c>
    </row>
    <row r="42" spans="1:7">
      <c r="A42" s="47" t="s">
        <v>411</v>
      </c>
      <c r="B42" s="47" t="s">
        <v>61</v>
      </c>
      <c r="C42" s="47" t="s">
        <v>116</v>
      </c>
      <c r="D42" t="s">
        <v>174</v>
      </c>
      <c r="E42" s="47" t="s">
        <v>156</v>
      </c>
      <c r="F42" s="47" t="s">
        <v>327</v>
      </c>
      <c r="G42" t="str">
        <f>VLOOKUP(A:A,INVENTÁRIO_07_2025!A:A,1,0)</f>
        <v>SHOMAPAMSWGRU01</v>
      </c>
    </row>
    <row r="43" spans="1:7">
      <c r="A43" s="47" t="s">
        <v>563</v>
      </c>
      <c r="B43" s="47" t="s">
        <v>61</v>
      </c>
      <c r="C43" s="47" t="s">
        <v>116</v>
      </c>
      <c r="D43" t="s">
        <v>562</v>
      </c>
      <c r="E43" s="47" t="s">
        <v>156</v>
      </c>
      <c r="F43" s="47" t="s">
        <v>327</v>
      </c>
      <c r="G43" t="str">
        <f>VLOOKUP(A:A,INVENTÁRIO_07_2025!A:A,1,0)</f>
        <v>SHOMAPBCBPGRU01</v>
      </c>
    </row>
    <row r="44" spans="1:7">
      <c r="A44" s="47" t="s">
        <v>614</v>
      </c>
      <c r="B44" s="47" t="s">
        <v>61</v>
      </c>
      <c r="C44" s="47" t="s">
        <v>116</v>
      </c>
      <c r="D44" t="s">
        <v>562</v>
      </c>
      <c r="E44" s="47" t="s">
        <v>156</v>
      </c>
      <c r="F44" s="47" t="s">
        <v>327</v>
      </c>
      <c r="G44" t="str">
        <f>VLOOKUP(A:A,INVENTÁRIO_07_2025!A:A,1,0)</f>
        <v>SHOMAPBCBPGRU02</v>
      </c>
    </row>
    <row r="45" spans="1:7">
      <c r="A45" t="s">
        <v>89</v>
      </c>
      <c r="B45" t="s">
        <v>61</v>
      </c>
      <c r="C45" t="s">
        <v>51</v>
      </c>
      <c r="D45" t="s">
        <v>85</v>
      </c>
      <c r="E45" t="s">
        <v>53</v>
      </c>
      <c r="F45" t="s">
        <v>67</v>
      </c>
      <c r="G45" t="str">
        <f>VLOOKUP(A:A,INVENTÁRIO_07_2025!A:A,1,0)</f>
        <v>SHOMAPCMSGRU02</v>
      </c>
    </row>
    <row r="46" spans="1:7">
      <c r="A46" s="47" t="s">
        <v>530</v>
      </c>
      <c r="B46" s="47" t="s">
        <v>61</v>
      </c>
      <c r="C46" s="47" t="s">
        <v>51</v>
      </c>
      <c r="D46" t="s">
        <v>109</v>
      </c>
      <c r="E46" s="47" t="s">
        <v>156</v>
      </c>
      <c r="F46" s="47" t="s">
        <v>327</v>
      </c>
      <c r="G46" t="str">
        <f>VLOOKUP(A:A,INVENTÁRIO_07_2025!A:A,1,0)</f>
        <v>SHOMWBCMSGRU01</v>
      </c>
    </row>
    <row r="47" spans="1:7">
      <c r="A47" s="47" t="s">
        <v>564</v>
      </c>
      <c r="B47" s="47" t="s">
        <v>61</v>
      </c>
      <c r="C47" s="47" t="s">
        <v>116</v>
      </c>
      <c r="D47" t="s">
        <v>562</v>
      </c>
      <c r="E47" s="47" t="s">
        <v>156</v>
      </c>
      <c r="F47" s="47" t="s">
        <v>327</v>
      </c>
      <c r="G47" t="str">
        <f>VLOOKUP(A:A,INVENTÁRIO_07_2025!A:A,1,0)</f>
        <v>SHOMAPCMSGRU05</v>
      </c>
    </row>
    <row r="48" spans="1:7">
      <c r="A48" s="47" t="s">
        <v>617</v>
      </c>
      <c r="B48" s="47" t="s">
        <v>61</v>
      </c>
      <c r="C48" s="47" t="s">
        <v>51</v>
      </c>
      <c r="D48" t="s">
        <v>295</v>
      </c>
      <c r="E48" s="47" t="s">
        <v>156</v>
      </c>
      <c r="F48" s="47" t="s">
        <v>327</v>
      </c>
      <c r="G48" t="str">
        <f>VLOOKUP(A:A,INVENTÁRIO_07_2025!A:A,1,0)</f>
        <v>SHOMAPCUPSGRU01</v>
      </c>
    </row>
    <row r="49" spans="1:7">
      <c r="A49" s="47" t="s">
        <v>514</v>
      </c>
      <c r="B49" s="47" t="s">
        <v>61</v>
      </c>
      <c r="C49" s="47" t="s">
        <v>116</v>
      </c>
      <c r="D49" t="s">
        <v>572</v>
      </c>
      <c r="E49" s="47" t="s">
        <v>156</v>
      </c>
      <c r="F49" s="47" t="s">
        <v>327</v>
      </c>
      <c r="G49" t="str">
        <f>VLOOKUP(A:A,INVENTÁRIO_07_2025!A:A,1,0)</f>
        <v>SHOMAPESBGRU07</v>
      </c>
    </row>
    <row r="50" spans="1:7">
      <c r="A50" s="47" t="s">
        <v>618</v>
      </c>
      <c r="B50" s="47" t="s">
        <v>61</v>
      </c>
      <c r="C50" s="47" t="s">
        <v>51</v>
      </c>
      <c r="D50" t="s">
        <v>295</v>
      </c>
      <c r="E50" s="47" t="s">
        <v>156</v>
      </c>
      <c r="F50" s="47" t="s">
        <v>327</v>
      </c>
      <c r="G50" t="str">
        <f>VLOOKUP(A:A,INVENTÁRIO_07_2025!A:A,1,0)</f>
        <v>SHOMAPGPROGRU01</v>
      </c>
    </row>
    <row r="51" spans="1:7">
      <c r="A51" s="47" t="s">
        <v>529</v>
      </c>
      <c r="B51" s="47" t="s">
        <v>61</v>
      </c>
      <c r="C51" s="47" t="s">
        <v>51</v>
      </c>
      <c r="D51" t="s">
        <v>295</v>
      </c>
      <c r="E51" s="47" t="s">
        <v>156</v>
      </c>
      <c r="F51" s="47" t="s">
        <v>327</v>
      </c>
      <c r="G51" t="str">
        <f>VLOOKUP(A:A,INVENTÁRIO_07_2025!A:A,1,0)</f>
        <v>SHOMAPIHSGRU02</v>
      </c>
    </row>
    <row r="52" spans="1:7">
      <c r="A52" s="47" t="s">
        <v>353</v>
      </c>
      <c r="B52" s="47" t="s">
        <v>61</v>
      </c>
      <c r="C52" s="47" t="s">
        <v>116</v>
      </c>
      <c r="D52" t="s">
        <v>122</v>
      </c>
      <c r="E52" s="47" t="s">
        <v>156</v>
      </c>
      <c r="F52" s="47" t="s">
        <v>327</v>
      </c>
      <c r="G52" t="str">
        <f>VLOOKUP(A:A,INVENTÁRIO_07_2025!A:A,1,0)</f>
        <v>SHOMAPITLGRU01</v>
      </c>
    </row>
    <row r="53" spans="1:7">
      <c r="A53" s="47" t="s">
        <v>297</v>
      </c>
      <c r="B53" s="47" t="s">
        <v>61</v>
      </c>
      <c r="C53" s="47" t="s">
        <v>51</v>
      </c>
      <c r="D53" t="s">
        <v>109</v>
      </c>
      <c r="E53" s="47" t="s">
        <v>156</v>
      </c>
      <c r="F53" s="47" t="s">
        <v>733</v>
      </c>
      <c r="G53" t="str">
        <f>VLOOKUP(A:A,INVENTÁRIO_07_2025!A:A,1,0)</f>
        <v>SPRDAPIHSGRU01</v>
      </c>
    </row>
    <row r="54" spans="1:7">
      <c r="A54" s="47" t="s">
        <v>354</v>
      </c>
      <c r="B54" s="47" t="s">
        <v>61</v>
      </c>
      <c r="C54" s="47" t="s">
        <v>116</v>
      </c>
      <c r="D54" t="s">
        <v>163</v>
      </c>
      <c r="E54" s="47" t="s">
        <v>156</v>
      </c>
      <c r="F54" s="47" t="s">
        <v>327</v>
      </c>
      <c r="G54" t="str">
        <f>VLOOKUP(A:A,INVENTÁRIO_07_2025!A:A,1,0)</f>
        <v>SHOMAPPTCAGRU01</v>
      </c>
    </row>
    <row r="55" spans="1:7">
      <c r="A55" s="47" t="s">
        <v>565</v>
      </c>
      <c r="B55" s="47" t="s">
        <v>61</v>
      </c>
      <c r="C55" s="47" t="s">
        <v>116</v>
      </c>
      <c r="D55" t="s">
        <v>562</v>
      </c>
      <c r="E55" s="47" t="s">
        <v>156</v>
      </c>
      <c r="F55" s="47" t="s">
        <v>327</v>
      </c>
      <c r="G55" t="str">
        <f>VLOOKUP(A:A,INVENTÁRIO_07_2025!A:A,1,0)</f>
        <v>SHOMAPRIMAGRU01</v>
      </c>
    </row>
    <row r="56" spans="1:7">
      <c r="A56" s="47" t="s">
        <v>455</v>
      </c>
      <c r="B56" s="47" t="s">
        <v>61</v>
      </c>
      <c r="C56" s="47" t="s">
        <v>116</v>
      </c>
      <c r="D56" t="s">
        <v>242</v>
      </c>
      <c r="E56" s="47" t="s">
        <v>156</v>
      </c>
      <c r="F56" s="47" t="s">
        <v>327</v>
      </c>
      <c r="G56" t="str">
        <f>VLOOKUP(A:A,INVENTÁRIO_07_2025!A:A,1,0)</f>
        <v>SHOMBDCMSGRU01</v>
      </c>
    </row>
    <row r="57" spans="1:7">
      <c r="A57" s="47" t="s">
        <v>689</v>
      </c>
      <c r="B57" s="47" t="s">
        <v>61</v>
      </c>
      <c r="C57" s="47" t="s">
        <v>116</v>
      </c>
      <c r="D57" t="s">
        <v>562</v>
      </c>
      <c r="E57" s="47" t="s">
        <v>156</v>
      </c>
      <c r="F57" s="47" t="s">
        <v>327</v>
      </c>
      <c r="G57" t="str">
        <f>VLOOKUP(A:A,INVENTÁRIO_07_2025!A:A,1,0)</f>
        <v>SHOMBDGRU11</v>
      </c>
    </row>
    <row r="58" spans="1:7">
      <c r="A58" t="s">
        <v>84</v>
      </c>
      <c r="B58" t="s">
        <v>61</v>
      </c>
      <c r="C58" t="s">
        <v>51</v>
      </c>
      <c r="D58" t="s">
        <v>85</v>
      </c>
      <c r="E58" t="s">
        <v>53</v>
      </c>
      <c r="F58" t="s">
        <v>63</v>
      </c>
      <c r="G58" t="str">
        <f>VLOOKUP(A:A,INVENTÁRIO_07_2025!A:A,1,0)</f>
        <v>SHOMBDORAGRU01</v>
      </c>
    </row>
    <row r="59" spans="1:7">
      <c r="A59" t="s">
        <v>90</v>
      </c>
      <c r="B59" t="s">
        <v>61</v>
      </c>
      <c r="C59" t="s">
        <v>51</v>
      </c>
      <c r="D59" t="s">
        <v>85</v>
      </c>
      <c r="E59" t="s">
        <v>53</v>
      </c>
      <c r="F59" t="s">
        <v>67</v>
      </c>
      <c r="G59" t="str">
        <f>VLOOKUP(A:A,INVENTÁRIO_07_2025!A:A,1,0)</f>
        <v>SHOMBDORAGRU02</v>
      </c>
    </row>
    <row r="60" spans="1:7">
      <c r="A60" s="47" t="s">
        <v>700</v>
      </c>
      <c r="B60" s="47" t="s">
        <v>61</v>
      </c>
      <c r="C60" s="47" t="s">
        <v>116</v>
      </c>
      <c r="D60" t="s">
        <v>153</v>
      </c>
      <c r="E60" s="47" t="s">
        <v>156</v>
      </c>
      <c r="F60" s="47" t="s">
        <v>327</v>
      </c>
      <c r="G60" t="e">
        <f>VLOOKUP(A:A,INVENTÁRIO_07_2025!A:A,1,0)</f>
        <v>#N/A</v>
      </c>
    </row>
    <row r="61" spans="1:7">
      <c r="A61" s="47" t="s">
        <v>674</v>
      </c>
      <c r="B61" s="47" t="s">
        <v>61</v>
      </c>
      <c r="C61" s="47" t="s">
        <v>51</v>
      </c>
      <c r="D61" t="s">
        <v>85</v>
      </c>
      <c r="E61" s="47" t="s">
        <v>156</v>
      </c>
      <c r="F61" s="47" t="s">
        <v>327</v>
      </c>
      <c r="G61" t="str">
        <f>VLOOKUP(A:A,INVENTÁRIO_07_2025!A:A,1,0)</f>
        <v>SHOMSAPNWGRU01</v>
      </c>
    </row>
    <row r="62" spans="1:7">
      <c r="A62" s="47" t="s">
        <v>705</v>
      </c>
      <c r="B62" s="47" t="s">
        <v>61</v>
      </c>
      <c r="C62" s="47" t="s">
        <v>51</v>
      </c>
      <c r="D62" t="s">
        <v>85</v>
      </c>
      <c r="E62" s="47" t="s">
        <v>156</v>
      </c>
      <c r="F62" s="47" t="s">
        <v>327</v>
      </c>
      <c r="G62" t="e">
        <f>VLOOKUP(A:A,INVENTÁRIO_07_2025!A:A,1,0)</f>
        <v>#N/A</v>
      </c>
    </row>
    <row r="63" spans="1:7">
      <c r="A63" s="47" t="s">
        <v>456</v>
      </c>
      <c r="B63" s="47" t="s">
        <v>61</v>
      </c>
      <c r="C63" s="47" t="s">
        <v>116</v>
      </c>
      <c r="D63" t="s">
        <v>242</v>
      </c>
      <c r="E63" s="47" t="s">
        <v>156</v>
      </c>
      <c r="F63" s="47" t="s">
        <v>327</v>
      </c>
      <c r="G63" t="str">
        <f>VLOOKUP(A:A,INVENTÁRIO_07_2025!A:A,1,0)</f>
        <v>SHOMTEMPGRU01</v>
      </c>
    </row>
    <row r="64" spans="1:7">
      <c r="A64" s="47" t="s">
        <v>298</v>
      </c>
      <c r="B64" s="47" t="s">
        <v>61</v>
      </c>
      <c r="C64" s="47" t="s">
        <v>51</v>
      </c>
      <c r="D64" t="s">
        <v>109</v>
      </c>
      <c r="E64" s="47" t="s">
        <v>156</v>
      </c>
      <c r="F64" s="47" t="s">
        <v>733</v>
      </c>
      <c r="G64" t="str">
        <f>VLOOKUP(A:A,INVENTÁRIO_07_2025!A:A,1,0)</f>
        <v>SPRDAPIHSGRU02</v>
      </c>
    </row>
    <row r="65" spans="1:7">
      <c r="A65" s="47" t="s">
        <v>696</v>
      </c>
      <c r="B65" s="47" t="s">
        <v>61</v>
      </c>
      <c r="C65" s="47" t="s">
        <v>116</v>
      </c>
      <c r="D65" t="s">
        <v>163</v>
      </c>
      <c r="E65" s="47" t="s">
        <v>156</v>
      </c>
      <c r="F65" s="47" t="s">
        <v>327</v>
      </c>
      <c r="G65" t="str">
        <f>VLOOKUP(A:A,INVENTÁRIO_07_2025!A:A,1,0)</f>
        <v>SIAS1-GRU</v>
      </c>
    </row>
    <row r="66" spans="1:7">
      <c r="A66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 t="str">
        <f>VLOOKUP(A:A,INVENTÁRIO_07_2025!A:A,1,0)</f>
        <v>SLOT-01</v>
      </c>
    </row>
    <row r="67" spans="1:7">
      <c r="A67" s="47" t="s">
        <v>412</v>
      </c>
      <c r="B67" s="47" t="s">
        <v>61</v>
      </c>
      <c r="C67" s="47" t="s">
        <v>116</v>
      </c>
      <c r="D67" t="s">
        <v>174</v>
      </c>
      <c r="E67" s="47" t="s">
        <v>156</v>
      </c>
      <c r="F67" s="47" t="s">
        <v>327</v>
      </c>
      <c r="G67" t="str">
        <f>VLOOKUP(A:A,INVENTÁRIO_07_2025!A:A,1,0)</f>
        <v>SPRDACSINV01</v>
      </c>
    </row>
    <row r="68" spans="1:7">
      <c r="A68" s="47" t="s">
        <v>708</v>
      </c>
      <c r="B68" s="47" t="s">
        <v>61</v>
      </c>
      <c r="C68" s="47" t="s">
        <v>116</v>
      </c>
      <c r="D68" t="s">
        <v>734</v>
      </c>
      <c r="E68" s="47" t="s">
        <v>156</v>
      </c>
      <c r="F68" s="47" t="s">
        <v>733</v>
      </c>
      <c r="G68" t="e">
        <f>VLOOKUP(A:A,INVENTÁRIO_07_2025!A:A,1,0)</f>
        <v>#N/A</v>
      </c>
    </row>
    <row r="69" spans="1:7">
      <c r="A69" s="47" t="s">
        <v>709</v>
      </c>
      <c r="B69" s="47" t="s">
        <v>61</v>
      </c>
      <c r="C69" s="47" t="s">
        <v>116</v>
      </c>
      <c r="D69" t="s">
        <v>734</v>
      </c>
      <c r="E69" s="47" t="s">
        <v>156</v>
      </c>
      <c r="F69" s="47" t="s">
        <v>733</v>
      </c>
      <c r="G69" t="e">
        <f>VLOOKUP(A:A,INVENTÁRIO_07_2025!A:A,1,0)</f>
        <v>#N/A</v>
      </c>
    </row>
    <row r="70" spans="1:7">
      <c r="A70" t="s">
        <v>119</v>
      </c>
      <c r="B70" t="s">
        <v>61</v>
      </c>
      <c r="C70" t="s">
        <v>116</v>
      </c>
      <c r="D70" t="s">
        <v>117</v>
      </c>
      <c r="E70" t="s">
        <v>53</v>
      </c>
      <c r="F70" t="s">
        <v>120</v>
      </c>
      <c r="G70" t="str">
        <f>VLOOKUP(A:A,INVENTÁRIO_07_2025!A:A,1,0)</f>
        <v>SPRDADGRU01</v>
      </c>
    </row>
    <row r="71" spans="1:7">
      <c r="A71" s="47" t="s">
        <v>166</v>
      </c>
      <c r="B71" s="47" t="s">
        <v>61</v>
      </c>
      <c r="C71" s="47" t="s">
        <v>116</v>
      </c>
      <c r="D71" t="s">
        <v>122</v>
      </c>
      <c r="E71" s="47" t="s">
        <v>156</v>
      </c>
      <c r="F71" s="47" t="s">
        <v>733</v>
      </c>
      <c r="G71" t="str">
        <f>VLOOKUP(A:A,INVENTÁRIO_07_2025!A:A,1,0)</f>
        <v>SPRDADGRU02</v>
      </c>
    </row>
    <row r="72" spans="1:7">
      <c r="A72" s="47" t="s">
        <v>208</v>
      </c>
      <c r="B72" s="47" t="s">
        <v>61</v>
      </c>
      <c r="C72" s="47" t="s">
        <v>116</v>
      </c>
      <c r="D72" t="s">
        <v>419</v>
      </c>
      <c r="E72" s="47" t="s">
        <v>156</v>
      </c>
      <c r="F72" s="47" t="s">
        <v>733</v>
      </c>
      <c r="G72" t="str">
        <f>VLOOKUP(A:A,INVENTÁRIO_07_2025!A:A,1,0)</f>
        <v>SPRDADGRU03</v>
      </c>
    </row>
    <row r="73" spans="1:7">
      <c r="A73" s="47" t="s">
        <v>241</v>
      </c>
      <c r="B73" s="47" t="s">
        <v>61</v>
      </c>
      <c r="C73" s="47" t="s">
        <v>116</v>
      </c>
      <c r="D73" t="s">
        <v>419</v>
      </c>
      <c r="E73" s="47" t="s">
        <v>156</v>
      </c>
      <c r="F73" s="47" t="s">
        <v>733</v>
      </c>
      <c r="G73" t="str">
        <f>VLOOKUP(A:A,INVENTÁRIO_07_2025!A:A,1,0)</f>
        <v>SPRDADGRU04</v>
      </c>
    </row>
    <row r="74" spans="1:7">
      <c r="A74" s="47" t="s">
        <v>358</v>
      </c>
      <c r="B74" s="47" t="s">
        <v>61</v>
      </c>
      <c r="C74" s="47" t="s">
        <v>116</v>
      </c>
      <c r="D74" t="s">
        <v>117</v>
      </c>
      <c r="E74" s="47" t="s">
        <v>156</v>
      </c>
      <c r="F74" s="47" t="s">
        <v>327</v>
      </c>
      <c r="G74" t="str">
        <f>VLOOKUP(A:A,INVENTÁRIO_07_2025!A:A,1,0)</f>
        <v>SPRDAPACSGRU01</v>
      </c>
    </row>
    <row r="75" spans="1:7">
      <c r="A75" s="47" t="s">
        <v>710</v>
      </c>
      <c r="B75" s="47" t="s">
        <v>61</v>
      </c>
      <c r="C75" s="47" t="s">
        <v>116</v>
      </c>
      <c r="D75" t="s">
        <v>734</v>
      </c>
      <c r="E75" s="47" t="s">
        <v>156</v>
      </c>
      <c r="F75" s="47" t="s">
        <v>733</v>
      </c>
      <c r="G75" t="e">
        <f>VLOOKUP(A:A,INVENTÁRIO_07_2025!A:A,1,0)</f>
        <v>#N/A</v>
      </c>
    </row>
    <row r="76" spans="1:7">
      <c r="A76" s="47" t="s">
        <v>711</v>
      </c>
      <c r="B76" s="47" t="s">
        <v>61</v>
      </c>
      <c r="C76" s="47" t="s">
        <v>116</v>
      </c>
      <c r="D76" t="s">
        <v>734</v>
      </c>
      <c r="E76" s="47" t="s">
        <v>156</v>
      </c>
      <c r="F76" s="47" t="s">
        <v>733</v>
      </c>
      <c r="G76" t="e">
        <f>VLOOKUP(A:A,INVENTÁRIO_07_2025!A:A,1,0)</f>
        <v>#N/A</v>
      </c>
    </row>
    <row r="77" spans="1:7">
      <c r="A77" s="47" t="s">
        <v>413</v>
      </c>
      <c r="B77" s="47" t="s">
        <v>61</v>
      </c>
      <c r="C77" s="47" t="s">
        <v>116</v>
      </c>
      <c r="D77" t="s">
        <v>126</v>
      </c>
      <c r="E77" s="47" t="s">
        <v>156</v>
      </c>
      <c r="F77" s="47" t="s">
        <v>733</v>
      </c>
      <c r="G77" t="str">
        <f>VLOOKUP(A:A,INVENTÁRIO_07_2025!A:A,1,0)</f>
        <v>SPRDAPAGPMGRU01</v>
      </c>
    </row>
    <row r="78" spans="1:7">
      <c r="A78" s="47" t="s">
        <v>457</v>
      </c>
      <c r="B78" s="47" t="s">
        <v>61</v>
      </c>
      <c r="C78" s="47" t="s">
        <v>116</v>
      </c>
      <c r="D78" t="s">
        <v>425</v>
      </c>
      <c r="E78" s="47" t="s">
        <v>156</v>
      </c>
      <c r="F78" s="47" t="s">
        <v>327</v>
      </c>
      <c r="G78" t="str">
        <f>VLOOKUP(A:A,INVENTÁRIO_07_2025!A:A,1,0)</f>
        <v>SPRDAPATEGRU01</v>
      </c>
    </row>
    <row r="79" spans="1:7">
      <c r="A79" s="47" t="s">
        <v>415</v>
      </c>
      <c r="B79" s="47" t="s">
        <v>61</v>
      </c>
      <c r="C79" s="47" t="s">
        <v>116</v>
      </c>
      <c r="D79" t="s">
        <v>126</v>
      </c>
      <c r="E79" s="47" t="s">
        <v>156</v>
      </c>
      <c r="F79" s="47" t="s">
        <v>733</v>
      </c>
      <c r="G79" t="str">
        <f>VLOOKUP(A:A,INVENTÁRIO_07_2025!A:A,1,0)</f>
        <v>SPRDAPATKGRU01</v>
      </c>
    </row>
    <row r="80" spans="1:7">
      <c r="A80" s="47" t="s">
        <v>209</v>
      </c>
      <c r="B80" s="47" t="s">
        <v>61</v>
      </c>
      <c r="C80" s="47" t="s">
        <v>116</v>
      </c>
      <c r="D80" t="s">
        <v>136</v>
      </c>
      <c r="E80" s="47" t="s">
        <v>156</v>
      </c>
      <c r="F80" s="47" t="s">
        <v>733</v>
      </c>
      <c r="G80" t="str">
        <f>VLOOKUP(A:A,INVENTÁRIO_07_2025!A:A,1,0)</f>
        <v>SPRDAPAUDGRU01</v>
      </c>
    </row>
    <row r="81" spans="1:7">
      <c r="A81" s="47" t="s">
        <v>458</v>
      </c>
      <c r="B81" s="47" t="s">
        <v>61</v>
      </c>
      <c r="C81" s="47" t="s">
        <v>116</v>
      </c>
      <c r="D81" t="s">
        <v>425</v>
      </c>
      <c r="E81" s="47" t="s">
        <v>156</v>
      </c>
      <c r="F81" s="47" t="s">
        <v>327</v>
      </c>
      <c r="G81" t="str">
        <f>VLOOKUP(A:A,INVENTÁRIO_07_2025!A:A,1,0)</f>
        <v>SPRDAPBBGRU01</v>
      </c>
    </row>
    <row r="82" spans="1:7">
      <c r="A82" s="47" t="s">
        <v>246</v>
      </c>
      <c r="B82" s="47" t="s">
        <v>61</v>
      </c>
      <c r="C82" s="47" t="s">
        <v>116</v>
      </c>
      <c r="D82" t="s">
        <v>572</v>
      </c>
      <c r="E82" s="47" t="s">
        <v>156</v>
      </c>
      <c r="F82" s="47" t="s">
        <v>733</v>
      </c>
      <c r="G82" t="str">
        <f>VLOOKUP(A:A,INVENTÁRIO_07_2025!A:A,1,0)</f>
        <v>SPRDAPBCBPGRU01</v>
      </c>
    </row>
    <row r="83" spans="1:7">
      <c r="A83" s="47" t="s">
        <v>248</v>
      </c>
      <c r="B83" s="47" t="s">
        <v>61</v>
      </c>
      <c r="C83" s="47" t="s">
        <v>116</v>
      </c>
      <c r="D83" t="s">
        <v>572</v>
      </c>
      <c r="E83" s="47" t="s">
        <v>156</v>
      </c>
      <c r="F83" s="47" t="s">
        <v>733</v>
      </c>
      <c r="G83" t="str">
        <f>VLOOKUP(A:A,INVENTÁRIO_07_2025!A:A,1,0)</f>
        <v>SPRDAPBCBPGRU02</v>
      </c>
    </row>
    <row r="84" spans="1:7">
      <c r="A84" s="47" t="s">
        <v>211</v>
      </c>
      <c r="B84" s="47" t="s">
        <v>61</v>
      </c>
      <c r="C84" s="47" t="s">
        <v>116</v>
      </c>
      <c r="D84" t="s">
        <v>136</v>
      </c>
      <c r="E84" s="47" t="s">
        <v>156</v>
      </c>
      <c r="F84" s="47" t="s">
        <v>733</v>
      </c>
      <c r="G84" t="str">
        <f>VLOOKUP(A:A,INVENTÁRIO_07_2025!A:A,1,0)</f>
        <v>SPRDAPBCCGRU01</v>
      </c>
    </row>
    <row r="85" spans="1:7">
      <c r="A85" s="47" t="s">
        <v>212</v>
      </c>
      <c r="B85" s="47" t="s">
        <v>61</v>
      </c>
      <c r="C85" s="47" t="s">
        <v>116</v>
      </c>
      <c r="D85" t="s">
        <v>136</v>
      </c>
      <c r="E85" s="47" t="s">
        <v>156</v>
      </c>
      <c r="F85" s="47" t="s">
        <v>733</v>
      </c>
      <c r="G85" t="str">
        <f>VLOOKUP(A:A,INVENTÁRIO_07_2025!A:A,1,0)</f>
        <v>SPRDAPBCCGRU02</v>
      </c>
    </row>
    <row r="86" spans="1:7">
      <c r="A86" s="47" t="s">
        <v>213</v>
      </c>
      <c r="B86" s="47" t="s">
        <v>61</v>
      </c>
      <c r="C86" s="47" t="s">
        <v>116</v>
      </c>
      <c r="D86" t="s">
        <v>136</v>
      </c>
      <c r="E86" s="47" t="s">
        <v>156</v>
      </c>
      <c r="F86" s="47" t="s">
        <v>733</v>
      </c>
      <c r="G86" t="str">
        <f>VLOOKUP(A:A,INVENTÁRIO_07_2025!A:A,1,0)</f>
        <v>SPRDAPBENGRU01</v>
      </c>
    </row>
    <row r="87" spans="1:7">
      <c r="A87" s="47" t="s">
        <v>416</v>
      </c>
      <c r="B87" s="47" t="s">
        <v>61</v>
      </c>
      <c r="C87" s="47" t="s">
        <v>116</v>
      </c>
      <c r="D87" t="s">
        <v>671</v>
      </c>
      <c r="E87" s="47" t="s">
        <v>156</v>
      </c>
      <c r="F87" s="47" t="s">
        <v>733</v>
      </c>
      <c r="G87" t="str">
        <f>VLOOKUP(A:A,INVENTÁRIO_07_2025!A:A,1,0)</f>
        <v>SPRDAPBHSGRU01</v>
      </c>
    </row>
    <row r="88" spans="1:7">
      <c r="A88" s="47" t="s">
        <v>701</v>
      </c>
      <c r="B88" s="47" t="s">
        <v>50</v>
      </c>
      <c r="C88" s="47" t="s">
        <v>116</v>
      </c>
      <c r="D88" t="s">
        <v>126</v>
      </c>
      <c r="E88" s="47" t="s">
        <v>156</v>
      </c>
      <c r="F88" s="47" t="s">
        <v>327</v>
      </c>
      <c r="G88" t="e">
        <f>VLOOKUP(A:A,INVENTÁRIO_07_2025!A:A,1,0)</f>
        <v>#N/A</v>
      </c>
    </row>
    <row r="89" spans="1:7">
      <c r="A89" s="47" t="s">
        <v>459</v>
      </c>
      <c r="B89" s="47" t="s">
        <v>61</v>
      </c>
      <c r="C89" s="47" t="s">
        <v>116</v>
      </c>
      <c r="D89" t="s">
        <v>141</v>
      </c>
      <c r="E89" s="47" t="s">
        <v>156</v>
      </c>
      <c r="F89" s="47" t="s">
        <v>733</v>
      </c>
      <c r="G89" t="str">
        <f>VLOOKUP(A:A,INVENTÁRIO_07_2025!A:A,1,0)</f>
        <v>SPRDAPBHSGRU02</v>
      </c>
    </row>
    <row r="90" spans="1:7">
      <c r="A90" s="47" t="s">
        <v>702</v>
      </c>
      <c r="B90" s="47" t="s">
        <v>50</v>
      </c>
      <c r="C90" s="47" t="s">
        <v>116</v>
      </c>
      <c r="D90" t="s">
        <v>141</v>
      </c>
      <c r="E90" s="47" t="s">
        <v>156</v>
      </c>
      <c r="F90" s="47" t="s">
        <v>327</v>
      </c>
      <c r="G90" t="e">
        <f>VLOOKUP(A:A,INVENTÁRIO_07_2025!A:A,1,0)</f>
        <v>#N/A</v>
      </c>
    </row>
    <row r="91" spans="1:7">
      <c r="A91" s="47" t="s">
        <v>460</v>
      </c>
      <c r="B91" s="47" t="s">
        <v>61</v>
      </c>
      <c r="C91" s="47" t="s">
        <v>116</v>
      </c>
      <c r="D91" t="s">
        <v>141</v>
      </c>
      <c r="E91" s="47" t="s">
        <v>156</v>
      </c>
      <c r="F91" s="47" t="s">
        <v>733</v>
      </c>
      <c r="G91" t="str">
        <f>VLOOKUP(A:A,INVENTÁRIO_07_2025!A:A,1,0)</f>
        <v>SPRDAPBHSGRU03</v>
      </c>
    </row>
    <row r="92" spans="1:7">
      <c r="A92" s="47" t="s">
        <v>703</v>
      </c>
      <c r="B92" s="47" t="s">
        <v>50</v>
      </c>
      <c r="C92" s="47" t="s">
        <v>116</v>
      </c>
      <c r="D92" t="s">
        <v>141</v>
      </c>
      <c r="E92" s="47" t="s">
        <v>156</v>
      </c>
      <c r="F92" s="47" t="s">
        <v>327</v>
      </c>
      <c r="G92" t="e">
        <f>VLOOKUP(A:A,INVENTÁRIO_07_2025!A:A,1,0)</f>
        <v>#N/A</v>
      </c>
    </row>
    <row r="93" spans="1:7">
      <c r="A93" t="s">
        <v>94</v>
      </c>
      <c r="B93" t="s">
        <v>61</v>
      </c>
      <c r="C93" t="s">
        <v>51</v>
      </c>
      <c r="D93" t="s">
        <v>85</v>
      </c>
      <c r="E93" t="s">
        <v>53</v>
      </c>
      <c r="F93" t="s">
        <v>56</v>
      </c>
      <c r="G93" t="str">
        <f>VLOOKUP(A:A,INVENTÁRIO_07_2025!A:A,1,0)</f>
        <v>SPRDAPBIGRU01</v>
      </c>
    </row>
    <row r="94" spans="1:7">
      <c r="A94" t="s">
        <v>101</v>
      </c>
      <c r="B94" t="s">
        <v>61</v>
      </c>
      <c r="C94" t="s">
        <v>51</v>
      </c>
      <c r="D94" t="s">
        <v>85</v>
      </c>
      <c r="E94" t="s">
        <v>53</v>
      </c>
      <c r="F94" t="s">
        <v>58</v>
      </c>
      <c r="G94" t="str">
        <f>VLOOKUP(A:A,INVENTÁRIO_07_2025!A:A,1,0)</f>
        <v>SPRDAPBIGRU02</v>
      </c>
    </row>
    <row r="95" spans="1:7">
      <c r="A95" t="s">
        <v>131</v>
      </c>
      <c r="B95" t="s">
        <v>61</v>
      </c>
      <c r="C95" t="s">
        <v>116</v>
      </c>
      <c r="D95" t="s">
        <v>129</v>
      </c>
      <c r="E95" t="s">
        <v>53</v>
      </c>
      <c r="F95" t="s">
        <v>120</v>
      </c>
      <c r="G95" t="str">
        <f>VLOOKUP(A:A,INVENTÁRIO_07_2025!A:A,1,0)</f>
        <v>SPRDAPBKPGRU01</v>
      </c>
    </row>
    <row r="96" spans="1:7">
      <c r="A96" t="s">
        <v>130</v>
      </c>
      <c r="B96" t="s">
        <v>61</v>
      </c>
      <c r="C96" t="s">
        <v>116</v>
      </c>
      <c r="D96" t="s">
        <v>129</v>
      </c>
      <c r="E96" t="s">
        <v>53</v>
      </c>
      <c r="F96" t="s">
        <v>120</v>
      </c>
      <c r="G96" t="str">
        <f>VLOOKUP(A:A,INVENTÁRIO_07_2025!A:A,1,0)</f>
        <v>SPRDAPBKPGRU02</v>
      </c>
    </row>
    <row r="97" spans="1:7">
      <c r="A97" s="47" t="s">
        <v>461</v>
      </c>
      <c r="B97" s="47" t="s">
        <v>50</v>
      </c>
      <c r="C97" s="47" t="s">
        <v>116</v>
      </c>
      <c r="D97" t="s">
        <v>425</v>
      </c>
      <c r="E97" s="47" t="s">
        <v>156</v>
      </c>
      <c r="F97" s="47" t="s">
        <v>327</v>
      </c>
      <c r="G97" t="str">
        <f>VLOOKUP(A:A,INVENTÁRIO_07_2025!A:A,1,0)</f>
        <v>SPRDAPBMSGRU02</v>
      </c>
    </row>
    <row r="98" spans="1:7">
      <c r="A98" s="47" t="s">
        <v>461</v>
      </c>
      <c r="B98" s="47" t="s">
        <v>61</v>
      </c>
      <c r="C98" s="47" t="s">
        <v>116</v>
      </c>
      <c r="D98" t="s">
        <v>425</v>
      </c>
      <c r="E98" s="47" t="s">
        <v>156</v>
      </c>
      <c r="F98" s="47" t="s">
        <v>733</v>
      </c>
      <c r="G98" t="str">
        <f>VLOOKUP(A:A,INVENTÁRIO_07_2025!A:A,1,0)</f>
        <v>SPRDAPBMSGRU02</v>
      </c>
    </row>
    <row r="99" spans="1:7">
      <c r="A99" t="s">
        <v>123</v>
      </c>
      <c r="B99" t="s">
        <v>50</v>
      </c>
      <c r="C99" t="s">
        <v>116</v>
      </c>
      <c r="D99" t="s">
        <v>122</v>
      </c>
      <c r="E99" t="s">
        <v>53</v>
      </c>
      <c r="F99" t="s">
        <v>120</v>
      </c>
      <c r="G99" t="str">
        <f>VLOOKUP(A:A,INVENTÁRIO_07_2025!A:A,1,0)</f>
        <v>SPRDAPBMSGRUA</v>
      </c>
    </row>
    <row r="100" spans="1:7">
      <c r="A100" s="47" t="s">
        <v>123</v>
      </c>
      <c r="B100" s="47" t="s">
        <v>61</v>
      </c>
      <c r="C100" s="47" t="s">
        <v>116</v>
      </c>
      <c r="D100" t="s">
        <v>122</v>
      </c>
      <c r="E100" s="47" t="s">
        <v>156</v>
      </c>
      <c r="F100" s="47" t="s">
        <v>733</v>
      </c>
      <c r="G100" t="str">
        <f>VLOOKUP(A:A,INVENTÁRIO_07_2025!A:A,1,0)</f>
        <v>SPRDAPBMSGRUA</v>
      </c>
    </row>
    <row r="101" spans="1:7">
      <c r="A101" s="47" t="s">
        <v>361</v>
      </c>
      <c r="B101" s="47" t="s">
        <v>61</v>
      </c>
      <c r="C101" s="47" t="s">
        <v>116</v>
      </c>
      <c r="D101" t="s">
        <v>122</v>
      </c>
      <c r="E101" s="47" t="s">
        <v>156</v>
      </c>
      <c r="F101" s="47" t="s">
        <v>733</v>
      </c>
      <c r="G101" t="str">
        <f>VLOOKUP(A:A,INVENTÁRIO_07_2025!A:A,1,0)</f>
        <v>SPRDAPBMSGRUB</v>
      </c>
    </row>
    <row r="102" spans="1:7">
      <c r="A102" t="s">
        <v>121</v>
      </c>
      <c r="B102" t="s">
        <v>50</v>
      </c>
      <c r="C102" t="s">
        <v>116</v>
      </c>
      <c r="D102" t="s">
        <v>122</v>
      </c>
      <c r="E102" t="s">
        <v>53</v>
      </c>
      <c r="F102" t="s">
        <v>120</v>
      </c>
      <c r="G102" t="str">
        <f>VLOOKUP(A:A,INVENTÁRIO_07_2025!A:A,1,0)</f>
        <v>SPRDAPBMSGRUB_O</v>
      </c>
    </row>
    <row r="103" spans="1:7">
      <c r="A103" t="s">
        <v>128</v>
      </c>
      <c r="B103" t="s">
        <v>50</v>
      </c>
      <c r="C103" t="s">
        <v>116</v>
      </c>
      <c r="D103" t="s">
        <v>129</v>
      </c>
      <c r="E103" t="s">
        <v>53</v>
      </c>
      <c r="F103" t="s">
        <v>58</v>
      </c>
      <c r="G103" t="str">
        <f>VLOOKUP(A:A,INVENTÁRIO_07_2025!A:A,1,0)</f>
        <v>SPRDAPBPGRU02</v>
      </c>
    </row>
    <row r="104" spans="1:7">
      <c r="A104" s="47" t="s">
        <v>417</v>
      </c>
      <c r="B104" s="47" t="s">
        <v>61</v>
      </c>
      <c r="C104" s="47" t="s">
        <v>116</v>
      </c>
      <c r="D104" t="s">
        <v>136</v>
      </c>
      <c r="E104" s="47" t="s">
        <v>156</v>
      </c>
      <c r="F104" s="47" t="s">
        <v>733</v>
      </c>
      <c r="G104" t="str">
        <f>VLOOKUP(A:A,INVENTÁRIO_07_2025!A:A,1,0)</f>
        <v>SPRDAPBROGRU01</v>
      </c>
    </row>
    <row r="105" spans="1:7">
      <c r="A105" s="47" t="s">
        <v>704</v>
      </c>
      <c r="B105" s="47" t="s">
        <v>50</v>
      </c>
      <c r="C105" s="47" t="s">
        <v>116</v>
      </c>
      <c r="D105" t="s">
        <v>136</v>
      </c>
      <c r="E105" s="47" t="s">
        <v>156</v>
      </c>
      <c r="F105" s="47" t="s">
        <v>327</v>
      </c>
      <c r="G105" t="e">
        <f>VLOOKUP(A:A,INVENTÁRIO_07_2025!A:A,1,0)</f>
        <v>#N/A</v>
      </c>
    </row>
    <row r="106" spans="1:7">
      <c r="A106" t="s">
        <v>57</v>
      </c>
      <c r="B106" t="s">
        <v>50</v>
      </c>
      <c r="C106" t="s">
        <v>51</v>
      </c>
      <c r="D106" t="s">
        <v>52</v>
      </c>
      <c r="E106" t="s">
        <v>53</v>
      </c>
      <c r="F106" t="s">
        <v>56</v>
      </c>
      <c r="G106" t="str">
        <f>VLOOKUP(A:A,INVENTÁRIO_07_2025!A:A,1,0)</f>
        <v>SPRDAPBWGRU01</v>
      </c>
    </row>
    <row r="107" spans="1:7">
      <c r="A107" t="s">
        <v>59</v>
      </c>
      <c r="B107" t="s">
        <v>50</v>
      </c>
      <c r="C107" t="s">
        <v>51</v>
      </c>
      <c r="D107" t="s">
        <v>52</v>
      </c>
      <c r="E107" t="s">
        <v>53</v>
      </c>
      <c r="F107" t="s">
        <v>58</v>
      </c>
      <c r="G107" t="str">
        <f>VLOOKUP(A:A,INVENTÁRIO_07_2025!A:A,1,0)</f>
        <v>SPRDAPBWGRU02</v>
      </c>
    </row>
    <row r="108" spans="1:7">
      <c r="A108" s="47" t="s">
        <v>167</v>
      </c>
      <c r="B108" s="47" t="s">
        <v>61</v>
      </c>
      <c r="C108" s="47" t="s">
        <v>116</v>
      </c>
      <c r="D108" t="s">
        <v>122</v>
      </c>
      <c r="E108" s="47" t="s">
        <v>156</v>
      </c>
      <c r="F108" s="47" t="s">
        <v>733</v>
      </c>
      <c r="G108" t="str">
        <f>VLOOKUP(A:A,INVENTÁRIO_07_2025!A:A,1,0)</f>
        <v>SPRDAPCADGRU01</v>
      </c>
    </row>
    <row r="109" spans="1:7">
      <c r="A109" s="47" t="s">
        <v>418</v>
      </c>
      <c r="B109" s="47" t="s">
        <v>61</v>
      </c>
      <c r="C109" s="47" t="s">
        <v>116</v>
      </c>
      <c r="D109" t="s">
        <v>419</v>
      </c>
      <c r="E109" s="47" t="s">
        <v>156</v>
      </c>
      <c r="F109" s="47" t="s">
        <v>327</v>
      </c>
      <c r="G109" t="str">
        <f>VLOOKUP(A:A,INVENTÁRIO_07_2025!A:A,1,0)</f>
        <v>SPRDAPCCGRU01</v>
      </c>
    </row>
    <row r="110" spans="1:7">
      <c r="A110" s="47" t="s">
        <v>214</v>
      </c>
      <c r="B110" s="47" t="s">
        <v>61</v>
      </c>
      <c r="C110" s="47" t="s">
        <v>116</v>
      </c>
      <c r="D110" t="s">
        <v>425</v>
      </c>
      <c r="E110" s="47" t="s">
        <v>156</v>
      </c>
      <c r="F110" s="47" t="s">
        <v>733</v>
      </c>
      <c r="G110" t="str">
        <f>VLOOKUP(A:A,INVENTÁRIO_07_2025!A:A,1,0)</f>
        <v>SPRDAPCCGRU03</v>
      </c>
    </row>
    <row r="111" spans="1:7">
      <c r="A111" s="47" t="s">
        <v>336</v>
      </c>
      <c r="B111" s="47" t="s">
        <v>61</v>
      </c>
      <c r="C111" s="47" t="s">
        <v>116</v>
      </c>
      <c r="D111" t="s">
        <v>337</v>
      </c>
      <c r="E111" s="47" t="s">
        <v>156</v>
      </c>
      <c r="F111" s="47" t="s">
        <v>327</v>
      </c>
      <c r="G111" t="str">
        <f>VLOOKUP(A:A,INVENTÁRIO_07_2025!A:A,1,0)</f>
        <v>SPRDAPCCGRU04</v>
      </c>
    </row>
    <row r="112" spans="1:7">
      <c r="A112" s="47" t="s">
        <v>332</v>
      </c>
      <c r="B112" s="47" t="s">
        <v>61</v>
      </c>
      <c r="C112" s="47" t="s">
        <v>51</v>
      </c>
      <c r="D112" t="s">
        <v>567</v>
      </c>
      <c r="E112" s="47" t="s">
        <v>156</v>
      </c>
      <c r="F112" s="47" t="s">
        <v>733</v>
      </c>
      <c r="G112" t="str">
        <f>VLOOKUP(A:A,INVENTÁRIO_07_2025!A:A,1,0)</f>
        <v>SPRDAPLOGSGRU01</v>
      </c>
    </row>
    <row r="113" spans="1:7">
      <c r="A113" s="47" t="s">
        <v>681</v>
      </c>
      <c r="B113" s="47" t="s">
        <v>61</v>
      </c>
      <c r="C113" s="47" t="s">
        <v>51</v>
      </c>
      <c r="D113" t="s">
        <v>109</v>
      </c>
      <c r="E113" s="47" t="s">
        <v>156</v>
      </c>
      <c r="F113" s="47" t="s">
        <v>733</v>
      </c>
      <c r="G113" t="str">
        <f>VLOOKUP(A:A,INVENTÁRIO_07_2025!A:A,1,0)</f>
        <v>SPRDAPSSP0200</v>
      </c>
    </row>
    <row r="114" spans="1:7">
      <c r="A114" t="s">
        <v>86</v>
      </c>
      <c r="B114" t="s">
        <v>61</v>
      </c>
      <c r="C114" t="s">
        <v>51</v>
      </c>
      <c r="D114" t="s">
        <v>85</v>
      </c>
      <c r="E114" t="s">
        <v>53</v>
      </c>
      <c r="F114" t="s">
        <v>63</v>
      </c>
      <c r="G114" t="str">
        <f>VLOOKUP(A:A,INVENTÁRIO_07_2025!A:A,1,0)</f>
        <v>SPRDAPCMSGRU02</v>
      </c>
    </row>
    <row r="115" spans="1:7">
      <c r="A115" t="s">
        <v>91</v>
      </c>
      <c r="B115" t="s">
        <v>61</v>
      </c>
      <c r="C115" t="s">
        <v>51</v>
      </c>
      <c r="D115" t="s">
        <v>85</v>
      </c>
      <c r="E115" t="s">
        <v>53</v>
      </c>
      <c r="F115" t="s">
        <v>67</v>
      </c>
      <c r="G115" t="str">
        <f>VLOOKUP(A:A,INVENTÁRIO_07_2025!A:A,1,0)</f>
        <v>SPRDAPCMSGRU04</v>
      </c>
    </row>
    <row r="116" spans="1:7">
      <c r="A116" t="s">
        <v>92</v>
      </c>
      <c r="B116" t="s">
        <v>61</v>
      </c>
      <c r="C116" t="s">
        <v>51</v>
      </c>
      <c r="D116" t="s">
        <v>85</v>
      </c>
      <c r="E116" t="s">
        <v>53</v>
      </c>
      <c r="F116" t="s">
        <v>67</v>
      </c>
      <c r="G116" t="str">
        <f>VLOOKUP(A:A,INVENTÁRIO_07_2025!A:A,1,0)</f>
        <v>SPRDAPCMSGRU05</v>
      </c>
    </row>
    <row r="117" spans="1:7">
      <c r="A117" t="s">
        <v>108</v>
      </c>
      <c r="B117" t="s">
        <v>61</v>
      </c>
      <c r="C117" t="s">
        <v>51</v>
      </c>
      <c r="D117" t="s">
        <v>109</v>
      </c>
      <c r="E117" t="s">
        <v>53</v>
      </c>
      <c r="F117" t="s">
        <v>58</v>
      </c>
      <c r="G117" t="str">
        <f>VLOOKUP(A:A,INVENTÁRIO_07_2025!A:A,1,0)</f>
        <v>SPRDBDORAGRU12</v>
      </c>
    </row>
    <row r="118" spans="1:7">
      <c r="A118" t="s">
        <v>88</v>
      </c>
      <c r="B118" t="s">
        <v>61</v>
      </c>
      <c r="C118" t="s">
        <v>51</v>
      </c>
      <c r="D118" t="s">
        <v>85</v>
      </c>
      <c r="E118" t="s">
        <v>53</v>
      </c>
      <c r="F118" t="s">
        <v>63</v>
      </c>
      <c r="G118" t="str">
        <f>VLOOKUP(A:A,INVENTÁRIO_07_2025!A:A,1,0)</f>
        <v>SPRDAPCMSGRU07</v>
      </c>
    </row>
    <row r="119" spans="1:7">
      <c r="A119" s="47" t="s">
        <v>291</v>
      </c>
      <c r="B119" s="47" t="s">
        <v>61</v>
      </c>
      <c r="C119" s="47" t="s">
        <v>51</v>
      </c>
      <c r="D119" t="s">
        <v>111</v>
      </c>
      <c r="E119" s="47" t="s">
        <v>156</v>
      </c>
      <c r="F119" s="47" t="s">
        <v>733</v>
      </c>
      <c r="G119" t="str">
        <f>VLOOKUP(A:A,INVENTÁRIO_07_2025!A:A,1,0)</f>
        <v>PRDRMADS02</v>
      </c>
    </row>
    <row r="120" spans="1:7">
      <c r="A120" s="47" t="s">
        <v>571</v>
      </c>
      <c r="B120" s="47" t="s">
        <v>61</v>
      </c>
      <c r="C120" s="47" t="s">
        <v>116</v>
      </c>
      <c r="D120" t="s">
        <v>572</v>
      </c>
      <c r="E120" s="47" t="s">
        <v>156</v>
      </c>
      <c r="F120" s="47" t="s">
        <v>733</v>
      </c>
      <c r="G120" t="str">
        <f>VLOOKUP(A:A,INVENTÁRIO_07_2025!A:A,1,0)</f>
        <v>SPRDAPCMSGRU10</v>
      </c>
    </row>
    <row r="121" spans="1:7">
      <c r="A121" s="47" t="s">
        <v>626</v>
      </c>
      <c r="B121" s="47" t="s">
        <v>61</v>
      </c>
      <c r="C121" s="47" t="s">
        <v>51</v>
      </c>
      <c r="D121" t="s">
        <v>295</v>
      </c>
      <c r="E121" s="47" t="s">
        <v>156</v>
      </c>
      <c r="F121" s="47" t="s">
        <v>733</v>
      </c>
      <c r="G121" t="str">
        <f>VLOOKUP(A:A,INVENTÁRIO_07_2025!A:A,1,0)</f>
        <v>SPRDAPCMSM01</v>
      </c>
    </row>
    <row r="122" spans="1:7">
      <c r="A122" s="47" t="s">
        <v>627</v>
      </c>
      <c r="B122" s="47" t="s">
        <v>61</v>
      </c>
      <c r="C122" s="47" t="s">
        <v>51</v>
      </c>
      <c r="D122" t="s">
        <v>295</v>
      </c>
      <c r="E122" s="47" t="s">
        <v>156</v>
      </c>
      <c r="F122" s="47" t="s">
        <v>733</v>
      </c>
      <c r="G122" t="str">
        <f>VLOOKUP(A:A,INVENTÁRIO_07_2025!A:A,1,0)</f>
        <v>SPRDAPCMSP01</v>
      </c>
    </row>
    <row r="123" spans="1:7">
      <c r="A123" s="47" t="s">
        <v>628</v>
      </c>
      <c r="B123" s="47" t="s">
        <v>61</v>
      </c>
      <c r="C123" s="47" t="s">
        <v>51</v>
      </c>
      <c r="D123" t="s">
        <v>295</v>
      </c>
      <c r="E123" s="47" t="s">
        <v>156</v>
      </c>
      <c r="F123" s="47" t="s">
        <v>733</v>
      </c>
      <c r="G123" t="str">
        <f>VLOOKUP(A:A,INVENTÁRIO_07_2025!A:A,1,0)</f>
        <v>SPRDAPCMSP02</v>
      </c>
    </row>
    <row r="124" spans="1:7">
      <c r="A124" s="47" t="s">
        <v>629</v>
      </c>
      <c r="B124" s="47" t="s">
        <v>61</v>
      </c>
      <c r="C124" s="47" t="s">
        <v>51</v>
      </c>
      <c r="D124" t="s">
        <v>295</v>
      </c>
      <c r="E124" s="47" t="s">
        <v>156</v>
      </c>
      <c r="F124" s="47" t="s">
        <v>733</v>
      </c>
      <c r="G124" t="str">
        <f>VLOOKUP(A:A,INVENTÁRIO_07_2025!A:A,1,0)</f>
        <v>SPRDAPCMSP03</v>
      </c>
    </row>
    <row r="125" spans="1:7">
      <c r="A125" s="47" t="s">
        <v>630</v>
      </c>
      <c r="B125" s="47" t="s">
        <v>61</v>
      </c>
      <c r="C125" s="47" t="s">
        <v>51</v>
      </c>
      <c r="D125" t="s">
        <v>295</v>
      </c>
      <c r="E125" s="47" t="s">
        <v>156</v>
      </c>
      <c r="F125" s="47" t="s">
        <v>733</v>
      </c>
      <c r="G125" t="str">
        <f>VLOOKUP(A:A,INVENTÁRIO_07_2025!A:A,1,0)</f>
        <v>SPRDAPCMSW01</v>
      </c>
    </row>
    <row r="126" spans="1:7">
      <c r="A126" s="47" t="s">
        <v>631</v>
      </c>
      <c r="B126" s="47" t="s">
        <v>61</v>
      </c>
      <c r="C126" s="47" t="s">
        <v>51</v>
      </c>
      <c r="D126" t="s">
        <v>295</v>
      </c>
      <c r="E126" s="47" t="s">
        <v>156</v>
      </c>
      <c r="F126" s="47" t="s">
        <v>733</v>
      </c>
      <c r="G126" t="str">
        <f>VLOOKUP(A:A,INVENTÁRIO_07_2025!A:A,1,0)</f>
        <v>SPRDAPCMSW02</v>
      </c>
    </row>
    <row r="127" spans="1:7">
      <c r="A127" s="47" t="s">
        <v>420</v>
      </c>
      <c r="B127" s="47" t="s">
        <v>61</v>
      </c>
      <c r="C127" s="47" t="s">
        <v>116</v>
      </c>
      <c r="D127" t="s">
        <v>126</v>
      </c>
      <c r="E127" s="47" t="s">
        <v>156</v>
      </c>
      <c r="F127" s="47" t="s">
        <v>327</v>
      </c>
      <c r="G127" t="str">
        <f>VLOOKUP(A:A,INVENTÁRIO_07_2025!A:A,1,0)</f>
        <v>SPRDAPCNIGRU01</v>
      </c>
    </row>
    <row r="128" spans="1:7">
      <c r="A128" s="47" t="s">
        <v>421</v>
      </c>
      <c r="B128" s="47" t="s">
        <v>61</v>
      </c>
      <c r="C128" s="47" t="s">
        <v>116</v>
      </c>
      <c r="D128" t="s">
        <v>126</v>
      </c>
      <c r="E128" s="47" t="s">
        <v>156</v>
      </c>
      <c r="F128" s="47" t="s">
        <v>327</v>
      </c>
      <c r="G128" t="str">
        <f>VLOOKUP(A:A,INVENTÁRIO_07_2025!A:A,1,0)</f>
        <v>SPRDAPCNWGRU01</v>
      </c>
    </row>
    <row r="129" spans="1:7">
      <c r="A129" s="47" t="s">
        <v>215</v>
      </c>
      <c r="B129" s="47" t="s">
        <v>61</v>
      </c>
      <c r="C129" s="47" t="s">
        <v>116</v>
      </c>
      <c r="D129" t="s">
        <v>419</v>
      </c>
      <c r="E129" s="47" t="s">
        <v>156</v>
      </c>
      <c r="F129" s="47" t="s">
        <v>733</v>
      </c>
      <c r="G129" t="str">
        <f>VLOOKUP(A:A,INVENTÁRIO_07_2025!A:A,1,0)</f>
        <v>SPRDAPCONVGRU01</v>
      </c>
    </row>
    <row r="130" spans="1:7">
      <c r="A130" s="47" t="s">
        <v>422</v>
      </c>
      <c r="B130" s="47" t="s">
        <v>61</v>
      </c>
      <c r="C130" s="47" t="s">
        <v>116</v>
      </c>
      <c r="D130" t="s">
        <v>423</v>
      </c>
      <c r="E130" s="47" t="s">
        <v>156</v>
      </c>
      <c r="F130" s="47" t="s">
        <v>327</v>
      </c>
      <c r="G130" t="str">
        <f>VLOOKUP(A:A,INVENTÁRIO_07_2025!A:A,1,0)</f>
        <v>SPRDAPCONVGRU03</v>
      </c>
    </row>
    <row r="131" spans="1:7">
      <c r="A131" s="47" t="s">
        <v>464</v>
      </c>
      <c r="B131" s="47" t="s">
        <v>61</v>
      </c>
      <c r="C131" s="47" t="s">
        <v>116</v>
      </c>
      <c r="D131" t="s">
        <v>136</v>
      </c>
      <c r="E131" s="47" t="s">
        <v>156</v>
      </c>
      <c r="F131" s="47" t="s">
        <v>327</v>
      </c>
      <c r="G131" t="str">
        <f>VLOOKUP(A:A,INVENTÁRIO_07_2025!A:A,1,0)</f>
        <v>SPRDAPCOVGRU01</v>
      </c>
    </row>
    <row r="132" spans="1:7">
      <c r="A132" s="47" t="s">
        <v>465</v>
      </c>
      <c r="B132" s="47" t="s">
        <v>61</v>
      </c>
      <c r="C132" s="47" t="s">
        <v>116</v>
      </c>
      <c r="D132" t="s">
        <v>136</v>
      </c>
      <c r="E132" s="47" t="s">
        <v>156</v>
      </c>
      <c r="F132" s="47" t="s">
        <v>327</v>
      </c>
      <c r="G132" t="str">
        <f>VLOOKUP(A:A,INVENTÁRIO_07_2025!A:A,1,0)</f>
        <v>SPRDAPCOVGRU02</v>
      </c>
    </row>
    <row r="133" spans="1:7">
      <c r="A133" s="47" t="s">
        <v>424</v>
      </c>
      <c r="B133" s="47" t="s">
        <v>61</v>
      </c>
      <c r="C133" s="47" t="s">
        <v>116</v>
      </c>
      <c r="D133" t="s">
        <v>425</v>
      </c>
      <c r="E133" s="47" t="s">
        <v>156</v>
      </c>
      <c r="F133" s="47" t="s">
        <v>327</v>
      </c>
      <c r="G133" t="str">
        <f>VLOOKUP(A:A,INVENTÁRIO_07_2025!A:A,1,0)</f>
        <v>SPRDAPCTBGRU01</v>
      </c>
    </row>
    <row r="134" spans="1:7">
      <c r="A134" s="47" t="s">
        <v>466</v>
      </c>
      <c r="B134" s="47" t="s">
        <v>61</v>
      </c>
      <c r="C134" s="47" t="s">
        <v>116</v>
      </c>
      <c r="D134" t="s">
        <v>425</v>
      </c>
      <c r="E134" s="47" t="s">
        <v>156</v>
      </c>
      <c r="F134" s="47" t="s">
        <v>327</v>
      </c>
      <c r="G134" t="str">
        <f>VLOOKUP(A:A,INVENTÁRIO_07_2025!A:A,1,0)</f>
        <v>SPRDAPCTDGRU01</v>
      </c>
    </row>
    <row r="135" spans="1:7">
      <c r="A135" s="47" t="s">
        <v>294</v>
      </c>
      <c r="B135" s="47" t="s">
        <v>61</v>
      </c>
      <c r="C135" s="47" t="s">
        <v>51</v>
      </c>
      <c r="D135" t="s">
        <v>295</v>
      </c>
      <c r="E135" s="47" t="s">
        <v>156</v>
      </c>
      <c r="F135" s="47" t="s">
        <v>733</v>
      </c>
      <c r="G135" t="str">
        <f>VLOOKUP(A:A,INVENTÁRIO_07_2025!A:A,1,0)</f>
        <v>SPRDAPCUPSGRU03</v>
      </c>
    </row>
    <row r="136" spans="1:7">
      <c r="A136" s="47" t="s">
        <v>296</v>
      </c>
      <c r="B136" s="47" t="s">
        <v>61</v>
      </c>
      <c r="C136" s="47" t="s">
        <v>51</v>
      </c>
      <c r="D136" t="s">
        <v>295</v>
      </c>
      <c r="E136" s="47" t="s">
        <v>156</v>
      </c>
      <c r="F136" s="47" t="s">
        <v>733</v>
      </c>
      <c r="G136" t="str">
        <f>VLOOKUP(A:A,INVENTÁRIO_07_2025!A:A,1,0)</f>
        <v>SPRDAPCUPSGRU04</v>
      </c>
    </row>
    <row r="137" spans="1:7">
      <c r="A137" s="47" t="s">
        <v>426</v>
      </c>
      <c r="B137" s="47" t="s">
        <v>61</v>
      </c>
      <c r="C137" s="47" t="s">
        <v>116</v>
      </c>
      <c r="D137" t="s">
        <v>126</v>
      </c>
      <c r="E137" s="47" t="s">
        <v>156</v>
      </c>
      <c r="F137" s="47" t="s">
        <v>327</v>
      </c>
      <c r="G137" t="str">
        <f>VLOOKUP(A:A,INVENTÁRIO_07_2025!A:A,1,0)</f>
        <v>SPRDAPDACGRU01</v>
      </c>
    </row>
    <row r="138" spans="1:7">
      <c r="A138" s="47" t="s">
        <v>362</v>
      </c>
      <c r="B138" s="47" t="s">
        <v>61</v>
      </c>
      <c r="C138" s="47" t="s">
        <v>116</v>
      </c>
      <c r="D138" t="s">
        <v>117</v>
      </c>
      <c r="E138" s="47" t="s">
        <v>156</v>
      </c>
      <c r="F138" s="47" t="s">
        <v>327</v>
      </c>
      <c r="G138" t="str">
        <f>VLOOKUP(A:A,INVENTÁRIO_07_2025!A:A,1,0)</f>
        <v>SPRDAPDATGRU01</v>
      </c>
    </row>
    <row r="139" spans="1:7">
      <c r="A139" s="47" t="s">
        <v>427</v>
      </c>
      <c r="B139" s="47" t="s">
        <v>61</v>
      </c>
      <c r="C139" s="47" t="s">
        <v>116</v>
      </c>
      <c r="D139" t="s">
        <v>174</v>
      </c>
      <c r="E139" s="47" t="s">
        <v>156</v>
      </c>
      <c r="F139" s="47" t="s">
        <v>327</v>
      </c>
      <c r="G139" t="str">
        <f>VLOOKUP(A:A,INVENTÁRIO_07_2025!A:A,1,0)</f>
        <v>SPRDAPDBGRU01</v>
      </c>
    </row>
    <row r="140" spans="1:7">
      <c r="A140" s="47" t="s">
        <v>428</v>
      </c>
      <c r="B140" s="47" t="s">
        <v>61</v>
      </c>
      <c r="C140" s="47" t="s">
        <v>116</v>
      </c>
      <c r="D140" t="s">
        <v>126</v>
      </c>
      <c r="E140" s="47" t="s">
        <v>156</v>
      </c>
      <c r="F140" s="47" t="s">
        <v>733</v>
      </c>
      <c r="G140" t="str">
        <f>VLOOKUP(A:A,INVENTÁRIO_07_2025!A:A,1,0)</f>
        <v>SPRDAPDCLGRU01</v>
      </c>
    </row>
    <row r="141" spans="1:7">
      <c r="A141" s="47" t="s">
        <v>429</v>
      </c>
      <c r="B141" s="47" t="s">
        <v>61</v>
      </c>
      <c r="C141" s="47" t="s">
        <v>116</v>
      </c>
      <c r="D141" t="s">
        <v>126</v>
      </c>
      <c r="E141" s="47" t="s">
        <v>156</v>
      </c>
      <c r="F141" s="47" t="s">
        <v>733</v>
      </c>
      <c r="G141" t="str">
        <f>VLOOKUP(A:A,INVENTÁRIO_07_2025!A:A,1,0)</f>
        <v>SPRDAPDCLGRU02</v>
      </c>
    </row>
    <row r="142" spans="1:7">
      <c r="A142" s="47" t="s">
        <v>173</v>
      </c>
      <c r="B142" s="47" t="s">
        <v>61</v>
      </c>
      <c r="C142" s="47" t="s">
        <v>116</v>
      </c>
      <c r="D142" t="s">
        <v>129</v>
      </c>
      <c r="E142" s="47" t="s">
        <v>156</v>
      </c>
      <c r="F142" s="47" t="s">
        <v>733</v>
      </c>
      <c r="G142" t="str">
        <f>VLOOKUP(A:A,INVENTÁRIO_07_2025!A:A,1,0)</f>
        <v>SPRDAPDGFGRU02</v>
      </c>
    </row>
    <row r="143" spans="1:7">
      <c r="A143" s="47" t="s">
        <v>175</v>
      </c>
      <c r="B143" s="47" t="s">
        <v>61</v>
      </c>
      <c r="C143" s="47" t="s">
        <v>116</v>
      </c>
      <c r="D143" t="s">
        <v>126</v>
      </c>
      <c r="E143" s="47" t="s">
        <v>156</v>
      </c>
      <c r="F143" s="47" t="s">
        <v>733</v>
      </c>
      <c r="G143" t="str">
        <f>VLOOKUP(A:A,INVENTÁRIO_07_2025!A:A,1,0)</f>
        <v>SPRDAPDHCPGRU01</v>
      </c>
    </row>
    <row r="144" spans="1:7">
      <c r="A144" s="47" t="s">
        <v>176</v>
      </c>
      <c r="B144" s="47" t="s">
        <v>61</v>
      </c>
      <c r="C144" s="47" t="s">
        <v>116</v>
      </c>
      <c r="D144" t="s">
        <v>126</v>
      </c>
      <c r="E144" s="47" t="s">
        <v>156</v>
      </c>
      <c r="F144" s="47" t="s">
        <v>733</v>
      </c>
      <c r="G144" t="str">
        <f>VLOOKUP(A:A,INVENTÁRIO_07_2025!A:A,1,0)</f>
        <v>SPRDAPDHCPGRU02</v>
      </c>
    </row>
    <row r="145" spans="1:7">
      <c r="A145" s="47" t="s">
        <v>270</v>
      </c>
      <c r="B145" s="47" t="s">
        <v>61</v>
      </c>
      <c r="C145" s="47" t="s">
        <v>51</v>
      </c>
      <c r="D145" t="s">
        <v>271</v>
      </c>
      <c r="E145" s="47" t="s">
        <v>156</v>
      </c>
      <c r="F145" s="47" t="s">
        <v>733</v>
      </c>
      <c r="G145" t="str">
        <f>VLOOKUP(A:A,INVENTÁRIO_07_2025!A:A,1,0)</f>
        <v>SPRDAPDIPGRU01</v>
      </c>
    </row>
    <row r="146" spans="1:7">
      <c r="A146" t="s">
        <v>135</v>
      </c>
      <c r="B146" t="s">
        <v>50</v>
      </c>
      <c r="C146" t="s">
        <v>116</v>
      </c>
      <c r="D146" t="s">
        <v>136</v>
      </c>
      <c r="E146" t="s">
        <v>53</v>
      </c>
      <c r="F146" t="s">
        <v>63</v>
      </c>
      <c r="G146" t="str">
        <f>VLOOKUP(A:A,INVENTÁRIO_07_2025!A:A,1,0)</f>
        <v>SPRDAPDMZGRU01</v>
      </c>
    </row>
    <row r="147" spans="1:7">
      <c r="A147" s="47" t="s">
        <v>712</v>
      </c>
      <c r="B147" s="47" t="s">
        <v>61</v>
      </c>
      <c r="C147" s="47" t="s">
        <v>51</v>
      </c>
      <c r="D147" t="s">
        <v>276</v>
      </c>
      <c r="E147" s="47" t="s">
        <v>156</v>
      </c>
      <c r="F147" s="47" t="s">
        <v>733</v>
      </c>
      <c r="G147" t="e">
        <f>VLOOKUP(A:A,INVENTÁRIO_07_2025!A:A,1,0)</f>
        <v>#N/A</v>
      </c>
    </row>
    <row r="148" spans="1:7">
      <c r="A148" s="47" t="s">
        <v>525</v>
      </c>
      <c r="B148" s="47" t="s">
        <v>61</v>
      </c>
      <c r="C148" s="47" t="s">
        <v>51</v>
      </c>
      <c r="D148" t="s">
        <v>526</v>
      </c>
      <c r="E148" s="47" t="s">
        <v>156</v>
      </c>
      <c r="F148" s="47" t="s">
        <v>733</v>
      </c>
      <c r="G148" t="str">
        <f>VLOOKUP(A:A,INVENTÁRIO_07_2025!A:A,1,0)</f>
        <v>SPRDAPDSMGRU01</v>
      </c>
    </row>
    <row r="149" spans="1:7">
      <c r="A149" s="47" t="s">
        <v>713</v>
      </c>
      <c r="B149" s="47" t="s">
        <v>61</v>
      </c>
      <c r="C149" s="47" t="s">
        <v>51</v>
      </c>
      <c r="D149" t="s">
        <v>295</v>
      </c>
      <c r="E149" s="47" t="s">
        <v>156</v>
      </c>
      <c r="F149" s="47" t="s">
        <v>733</v>
      </c>
      <c r="G149" t="e">
        <f>VLOOKUP(A:A,INVENTÁRIO_07_2025!A:A,1,0)</f>
        <v>#N/A</v>
      </c>
    </row>
    <row r="150" spans="1:7">
      <c r="A150" t="s">
        <v>95</v>
      </c>
      <c r="B150" t="s">
        <v>61</v>
      </c>
      <c r="C150" t="s">
        <v>51</v>
      </c>
      <c r="D150" t="s">
        <v>85</v>
      </c>
      <c r="E150" t="s">
        <v>53</v>
      </c>
      <c r="F150" t="s">
        <v>56</v>
      </c>
      <c r="G150" t="str">
        <f>VLOOKUP(A:A,INVENTÁRIO_07_2025!A:A,1,0)</f>
        <v>SPRDAPECGRU01</v>
      </c>
    </row>
    <row r="151" spans="1:7">
      <c r="A151" t="s">
        <v>96</v>
      </c>
      <c r="B151" t="s">
        <v>61</v>
      </c>
      <c r="C151" t="s">
        <v>51</v>
      </c>
      <c r="D151" t="s">
        <v>85</v>
      </c>
      <c r="E151" t="s">
        <v>53</v>
      </c>
      <c r="F151" t="s">
        <v>56</v>
      </c>
      <c r="G151" t="str">
        <f>VLOOKUP(A:A,INVENTÁRIO_07_2025!A:A,1,0)</f>
        <v>SPRDAPECGRU02</v>
      </c>
    </row>
    <row r="152" spans="1:7">
      <c r="A152" t="s">
        <v>97</v>
      </c>
      <c r="B152" t="s">
        <v>61</v>
      </c>
      <c r="C152" t="s">
        <v>51</v>
      </c>
      <c r="D152" t="s">
        <v>85</v>
      </c>
      <c r="E152" t="s">
        <v>53</v>
      </c>
      <c r="F152" t="s">
        <v>56</v>
      </c>
      <c r="G152" t="str">
        <f>VLOOKUP(A:A,INVENTÁRIO_07_2025!A:A,1,0)</f>
        <v>SPRDAPECGRU03</v>
      </c>
    </row>
    <row r="153" spans="1:7">
      <c r="A153" t="s">
        <v>102</v>
      </c>
      <c r="B153" t="s">
        <v>61</v>
      </c>
      <c r="C153" t="s">
        <v>51</v>
      </c>
      <c r="D153" t="s">
        <v>85</v>
      </c>
      <c r="E153" t="s">
        <v>53</v>
      </c>
      <c r="F153" t="s">
        <v>58</v>
      </c>
      <c r="G153" t="str">
        <f>VLOOKUP(A:A,INVENTÁRIO_07_2025!A:A,1,0)</f>
        <v>SPRDAPECGRU04</v>
      </c>
    </row>
    <row r="154" spans="1:7">
      <c r="A154" t="s">
        <v>103</v>
      </c>
      <c r="B154" t="s">
        <v>61</v>
      </c>
      <c r="C154" t="s">
        <v>51</v>
      </c>
      <c r="D154" t="s">
        <v>85</v>
      </c>
      <c r="E154" t="s">
        <v>53</v>
      </c>
      <c r="F154" t="s">
        <v>58</v>
      </c>
      <c r="G154" t="str">
        <f>VLOOKUP(A:A,INVENTÁRIO_07_2025!A:A,1,0)</f>
        <v>SPRDAPECGRU05</v>
      </c>
    </row>
    <row r="155" spans="1:7">
      <c r="A155" t="s">
        <v>104</v>
      </c>
      <c r="B155" t="s">
        <v>61</v>
      </c>
      <c r="C155" t="s">
        <v>51</v>
      </c>
      <c r="D155" t="s">
        <v>85</v>
      </c>
      <c r="E155" t="s">
        <v>53</v>
      </c>
      <c r="F155" t="s">
        <v>58</v>
      </c>
      <c r="G155" t="str">
        <f>VLOOKUP(A:A,INVENTÁRIO_07_2025!A:A,1,0)</f>
        <v>SPRDAPECGRU06</v>
      </c>
    </row>
    <row r="156" spans="1:7">
      <c r="A156" s="47" t="s">
        <v>251</v>
      </c>
      <c r="B156" s="47" t="s">
        <v>61</v>
      </c>
      <c r="C156" s="47" t="s">
        <v>116</v>
      </c>
      <c r="D156" t="s">
        <v>247</v>
      </c>
      <c r="E156" s="47" t="s">
        <v>156</v>
      </c>
      <c r="F156" s="47" t="s">
        <v>733</v>
      </c>
      <c r="G156" t="str">
        <f>VLOOKUP(A:A,INVENTÁRIO_07_2025!A:A,1,0)</f>
        <v>SPRDAPEDI7GRU01</v>
      </c>
    </row>
    <row r="157" spans="1:7">
      <c r="A157" s="47" t="s">
        <v>216</v>
      </c>
      <c r="B157" s="47" t="s">
        <v>61</v>
      </c>
      <c r="C157" s="47" t="s">
        <v>116</v>
      </c>
      <c r="D157" t="s">
        <v>419</v>
      </c>
      <c r="E157" s="47" t="s">
        <v>156</v>
      </c>
      <c r="F157" s="47" t="s">
        <v>733</v>
      </c>
      <c r="G157" t="str">
        <f>VLOOKUP(A:A,INVENTÁRIO_07_2025!A:A,1,0)</f>
        <v>SPRDAPEDIGRU01</v>
      </c>
    </row>
    <row r="158" spans="1:7">
      <c r="A158" s="47" t="s">
        <v>714</v>
      </c>
      <c r="B158" s="47" t="s">
        <v>61</v>
      </c>
      <c r="C158" s="47" t="s">
        <v>116</v>
      </c>
      <c r="D158" t="s">
        <v>734</v>
      </c>
      <c r="E158" s="47" t="s">
        <v>156</v>
      </c>
      <c r="F158" s="47" t="s">
        <v>733</v>
      </c>
      <c r="G158" t="e">
        <f>VLOOKUP(A:A,INVENTÁRIO_07_2025!A:A,1,0)</f>
        <v>#N/A</v>
      </c>
    </row>
    <row r="159" spans="1:7">
      <c r="A159" s="47" t="s">
        <v>177</v>
      </c>
      <c r="B159" s="47" t="s">
        <v>61</v>
      </c>
      <c r="C159" s="47" t="s">
        <v>116</v>
      </c>
      <c r="D159" t="s">
        <v>174</v>
      </c>
      <c r="E159" s="47" t="s">
        <v>156</v>
      </c>
      <c r="F159" s="47" t="s">
        <v>733</v>
      </c>
      <c r="G159" t="str">
        <f>VLOOKUP(A:A,INVENTÁRIO_07_2025!A:A,1,0)</f>
        <v>SPRDAPEGTGRU01 - T3 EMB</v>
      </c>
    </row>
    <row r="160" spans="1:7">
      <c r="A160" s="47" t="s">
        <v>715</v>
      </c>
      <c r="B160" s="47" t="s">
        <v>61</v>
      </c>
      <c r="C160" s="47" t="s">
        <v>116</v>
      </c>
      <c r="D160" t="s">
        <v>734</v>
      </c>
      <c r="E160" s="47" t="s">
        <v>156</v>
      </c>
      <c r="F160" s="47" t="s">
        <v>733</v>
      </c>
      <c r="G160" t="e">
        <f>VLOOKUP(A:A,INVENTÁRIO_07_2025!A:A,1,0)</f>
        <v>#N/A</v>
      </c>
    </row>
    <row r="161" spans="1:7">
      <c r="A161" s="47" t="s">
        <v>178</v>
      </c>
      <c r="B161" s="47" t="s">
        <v>61</v>
      </c>
      <c r="C161" s="47" t="s">
        <v>116</v>
      </c>
      <c r="D161" t="s">
        <v>174</v>
      </c>
      <c r="E161" s="47" t="s">
        <v>156</v>
      </c>
      <c r="F161" s="47" t="s">
        <v>733</v>
      </c>
      <c r="G161" t="str">
        <f>VLOOKUP(A:A,INVENTÁRIO_07_2025!A:A,1,0)</f>
        <v>SPRDAPEGTGRU02 - T2 EMB</v>
      </c>
    </row>
    <row r="162" spans="1:7">
      <c r="A162" s="47" t="s">
        <v>179</v>
      </c>
      <c r="B162" s="47" t="s">
        <v>61</v>
      </c>
      <c r="C162" s="47" t="s">
        <v>116</v>
      </c>
      <c r="D162" t="s">
        <v>174</v>
      </c>
      <c r="E162" s="47" t="s">
        <v>156</v>
      </c>
      <c r="F162" s="47" t="s">
        <v>733</v>
      </c>
      <c r="G162" t="str">
        <f>VLOOKUP(A:A,INVENTÁRIO_07_2025!A:A,1,0)</f>
        <v>SPRDAPEGTGRU03 - T3 DES</v>
      </c>
    </row>
    <row r="163" spans="1:7">
      <c r="A163" s="47" t="s">
        <v>180</v>
      </c>
      <c r="B163" s="47" t="s">
        <v>61</v>
      </c>
      <c r="C163" s="47" t="s">
        <v>116</v>
      </c>
      <c r="D163" t="s">
        <v>174</v>
      </c>
      <c r="E163" s="47" t="s">
        <v>156</v>
      </c>
      <c r="F163" s="47" t="s">
        <v>733</v>
      </c>
      <c r="G163" t="str">
        <f>VLOOKUP(A:A,INVENTÁRIO_07_2025!A:A,1,0)</f>
        <v>SPRDAPEGTGRU04 - T2 DES</v>
      </c>
    </row>
    <row r="164" spans="1:7">
      <c r="A164" s="47" t="s">
        <v>181</v>
      </c>
      <c r="B164" s="47" t="s">
        <v>61</v>
      </c>
      <c r="C164" s="47" t="s">
        <v>116</v>
      </c>
      <c r="D164" t="s">
        <v>672</v>
      </c>
      <c r="E164" s="47" t="s">
        <v>156</v>
      </c>
      <c r="F164" s="47" t="s">
        <v>733</v>
      </c>
      <c r="G164" t="str">
        <f>VLOOKUP(A:A,INVENTÁRIO_07_2025!A:A,1,0)</f>
        <v>SPRDAPEGTGRU05</v>
      </c>
    </row>
    <row r="165" spans="1:7">
      <c r="A165" s="47" t="s">
        <v>182</v>
      </c>
      <c r="B165" s="47" t="s">
        <v>61</v>
      </c>
      <c r="C165" s="47" t="s">
        <v>116</v>
      </c>
      <c r="D165" t="s">
        <v>672</v>
      </c>
      <c r="E165" s="47" t="s">
        <v>156</v>
      </c>
      <c r="F165" s="47" t="s">
        <v>733</v>
      </c>
      <c r="G165" t="str">
        <f>VLOOKUP(A:A,INVENTÁRIO_07_2025!A:A,1,0)</f>
        <v>SPRDAPEGTGRU06</v>
      </c>
    </row>
    <row r="166" spans="1:7">
      <c r="A166" s="47" t="s">
        <v>364</v>
      </c>
      <c r="B166" s="47" t="s">
        <v>61</v>
      </c>
      <c r="C166" s="47" t="s">
        <v>116</v>
      </c>
      <c r="D166" t="s">
        <v>163</v>
      </c>
      <c r="E166" s="47" t="s">
        <v>156</v>
      </c>
      <c r="F166" s="47" t="s">
        <v>327</v>
      </c>
      <c r="G166" t="str">
        <f>VLOOKUP(A:A,INVENTÁRIO_07_2025!A:A,1,0)</f>
        <v>SPRDAPENVGRU01</v>
      </c>
    </row>
    <row r="167" spans="1:7">
      <c r="A167" s="47" t="s">
        <v>365</v>
      </c>
      <c r="B167" s="47" t="s">
        <v>61</v>
      </c>
      <c r="C167" s="47" t="s">
        <v>116</v>
      </c>
      <c r="D167" t="s">
        <v>117</v>
      </c>
      <c r="E167" s="47" t="s">
        <v>156</v>
      </c>
      <c r="F167" s="47" t="s">
        <v>327</v>
      </c>
      <c r="G167" t="str">
        <f>VLOOKUP(A:A,INVENTÁRIO_07_2025!A:A,1,0)</f>
        <v>SPRDAPENVGRU02</v>
      </c>
    </row>
    <row r="168" spans="1:7">
      <c r="A168" s="47" t="s">
        <v>218</v>
      </c>
      <c r="B168" s="47" t="s">
        <v>61</v>
      </c>
      <c r="C168" s="47" t="s">
        <v>116</v>
      </c>
      <c r="D168" t="s">
        <v>572</v>
      </c>
      <c r="E168" s="47" t="s">
        <v>156</v>
      </c>
      <c r="F168" s="47" t="s">
        <v>733</v>
      </c>
      <c r="G168" t="str">
        <f>VLOOKUP(A:A,INVENTÁRIO_07_2025!A:A,1,0)</f>
        <v>SPRDAPESBGRU12</v>
      </c>
    </row>
    <row r="169" spans="1:7">
      <c r="A169" s="47" t="s">
        <v>467</v>
      </c>
      <c r="B169" s="47" t="s">
        <v>61</v>
      </c>
      <c r="C169" s="47" t="s">
        <v>116</v>
      </c>
      <c r="D169" t="s">
        <v>425</v>
      </c>
      <c r="E169" s="47" t="s">
        <v>156</v>
      </c>
      <c r="F169" s="47" t="s">
        <v>327</v>
      </c>
      <c r="G169" t="str">
        <f>VLOOKUP(A:A,INVENTÁRIO_07_2025!A:A,1,0)</f>
        <v>SPRDAPESTGRU01</v>
      </c>
    </row>
    <row r="170" spans="1:7">
      <c r="A170" s="47" t="s">
        <v>366</v>
      </c>
      <c r="B170" s="47" t="s">
        <v>61</v>
      </c>
      <c r="C170" s="47" t="s">
        <v>116</v>
      </c>
      <c r="D170" t="s">
        <v>122</v>
      </c>
      <c r="E170" s="47" t="s">
        <v>156</v>
      </c>
      <c r="F170" s="47" t="s">
        <v>327</v>
      </c>
      <c r="G170" t="str">
        <f>VLOOKUP(A:A,INVENTÁRIO_07_2025!A:A,1,0)</f>
        <v>SPRDAPEVDGRU01</v>
      </c>
    </row>
    <row r="171" spans="1:7">
      <c r="A171" s="47" t="s">
        <v>279</v>
      </c>
      <c r="B171" s="47" t="s">
        <v>61</v>
      </c>
      <c r="C171" s="47" t="s">
        <v>51</v>
      </c>
      <c r="D171" t="s">
        <v>280</v>
      </c>
      <c r="E171" s="47" t="s">
        <v>156</v>
      </c>
      <c r="F171" s="47" t="s">
        <v>733</v>
      </c>
      <c r="G171" t="str">
        <f>VLOOKUP(A:A,INVENTÁRIO_07_2025!A:A,1,0)</f>
        <v>SPRDAPEVFWGRU01</v>
      </c>
    </row>
    <row r="172" spans="1:7">
      <c r="A172" s="47" t="s">
        <v>367</v>
      </c>
      <c r="B172" s="47" t="s">
        <v>50</v>
      </c>
      <c r="C172" s="47" t="s">
        <v>116</v>
      </c>
      <c r="D172" t="s">
        <v>117</v>
      </c>
      <c r="E172" s="47" t="s">
        <v>156</v>
      </c>
      <c r="F172" s="47" t="s">
        <v>327</v>
      </c>
      <c r="G172" t="str">
        <f>VLOOKUP(A:A,INVENTÁRIO_07_2025!A:A,1,0)</f>
        <v>SPRDAPEVGRU01</v>
      </c>
    </row>
    <row r="173" spans="1:7">
      <c r="A173" s="47" t="s">
        <v>469</v>
      </c>
      <c r="B173" s="47" t="s">
        <v>61</v>
      </c>
      <c r="C173" s="47" t="s">
        <v>116</v>
      </c>
      <c r="D173" t="s">
        <v>153</v>
      </c>
      <c r="E173" s="47" t="s">
        <v>156</v>
      </c>
      <c r="F173" s="47" t="s">
        <v>327</v>
      </c>
      <c r="G173" t="str">
        <f>VLOOKUP(A:A,INVENTÁRIO_07_2025!A:A,1,0)</f>
        <v>SPRDAPFILAGRU01</v>
      </c>
    </row>
    <row r="174" spans="1:7">
      <c r="A174" s="47" t="s">
        <v>368</v>
      </c>
      <c r="B174" s="47" t="s">
        <v>61</v>
      </c>
      <c r="C174" s="47" t="s">
        <v>116</v>
      </c>
      <c r="D174" t="s">
        <v>117</v>
      </c>
      <c r="E174" s="47" t="s">
        <v>156</v>
      </c>
      <c r="F174" s="47" t="s">
        <v>327</v>
      </c>
      <c r="G174" t="str">
        <f>VLOOKUP(A:A,INVENTÁRIO_07_2025!A:A,1,0)</f>
        <v>SPRDAPFSCCGRU01</v>
      </c>
    </row>
    <row r="175" spans="1:7">
      <c r="A175" s="47" t="s">
        <v>220</v>
      </c>
      <c r="B175" s="47" t="s">
        <v>61</v>
      </c>
      <c r="C175" s="47" t="s">
        <v>116</v>
      </c>
      <c r="D175" t="s">
        <v>136</v>
      </c>
      <c r="E175" s="47" t="s">
        <v>156</v>
      </c>
      <c r="F175" s="47" t="s">
        <v>733</v>
      </c>
      <c r="G175" t="str">
        <f>VLOOKUP(A:A,INVENTÁRIO_07_2025!A:A,1,0)</f>
        <v>SPRDAPFSGRU01</v>
      </c>
    </row>
    <row r="176" spans="1:7">
      <c r="A176" s="47" t="s">
        <v>369</v>
      </c>
      <c r="B176" s="47" t="s">
        <v>61</v>
      </c>
      <c r="C176" s="47" t="s">
        <v>116</v>
      </c>
      <c r="D176" t="s">
        <v>117</v>
      </c>
      <c r="E176" s="47" t="s">
        <v>156</v>
      </c>
      <c r="F176" s="47" t="s">
        <v>327</v>
      </c>
      <c r="G176" t="str">
        <f>VLOOKUP(A:A,INVENTÁRIO_07_2025!A:A,1,0)</f>
        <v>SPRDAPGEDGRU01</v>
      </c>
    </row>
    <row r="177" spans="1:7">
      <c r="A177" s="47" t="s">
        <v>370</v>
      </c>
      <c r="B177" s="47" t="s">
        <v>61</v>
      </c>
      <c r="C177" s="47" t="s">
        <v>116</v>
      </c>
      <c r="D177" t="s">
        <v>117</v>
      </c>
      <c r="E177" s="47" t="s">
        <v>156</v>
      </c>
      <c r="F177" s="47" t="s">
        <v>327</v>
      </c>
      <c r="G177" t="str">
        <f>VLOOKUP(A:A,INVENTÁRIO_07_2025!A:A,1,0)</f>
        <v>SPRDAPGEDGRU02</v>
      </c>
    </row>
    <row r="178" spans="1:7">
      <c r="A178" s="47" t="s">
        <v>371</v>
      </c>
      <c r="B178" s="47" t="s">
        <v>61</v>
      </c>
      <c r="C178" s="47" t="s">
        <v>116</v>
      </c>
      <c r="D178" t="s">
        <v>117</v>
      </c>
      <c r="E178" s="47" t="s">
        <v>156</v>
      </c>
      <c r="F178" s="47" t="s">
        <v>327</v>
      </c>
      <c r="G178" t="str">
        <f>VLOOKUP(A:A,INVENTÁRIO_07_2025!A:A,1,0)</f>
        <v>SPRDAPGEDGRU03</v>
      </c>
    </row>
    <row r="179" spans="1:7">
      <c r="A179" s="47" t="s">
        <v>372</v>
      </c>
      <c r="B179" s="47" t="s">
        <v>61</v>
      </c>
      <c r="C179" s="47" t="s">
        <v>116</v>
      </c>
      <c r="D179" t="s">
        <v>117</v>
      </c>
      <c r="E179" s="47" t="s">
        <v>156</v>
      </c>
      <c r="F179" s="47" t="s">
        <v>327</v>
      </c>
      <c r="G179" t="str">
        <f>VLOOKUP(A:A,INVENTÁRIO_07_2025!A:A,1,0)</f>
        <v>SPRDAPGEDGRU04</v>
      </c>
    </row>
    <row r="180" spans="1:7">
      <c r="A180" s="47" t="s">
        <v>308</v>
      </c>
      <c r="B180" s="47" t="s">
        <v>61</v>
      </c>
      <c r="C180" s="47" t="s">
        <v>51</v>
      </c>
      <c r="D180" t="s">
        <v>114</v>
      </c>
      <c r="E180" s="47" t="s">
        <v>156</v>
      </c>
      <c r="F180" s="47" t="s">
        <v>733</v>
      </c>
      <c r="G180" t="str">
        <f>VLOOKUP(A:A,INVENTÁRIO_07_2025!A:A,1,0)</f>
        <v>SPRDAPGFNGRU02</v>
      </c>
    </row>
    <row r="181" spans="1:7">
      <c r="A181" s="47" t="s">
        <v>538</v>
      </c>
      <c r="B181" s="47" t="s">
        <v>61</v>
      </c>
      <c r="C181" s="47" t="s">
        <v>51</v>
      </c>
      <c r="D181" t="s">
        <v>114</v>
      </c>
      <c r="E181" s="47" t="s">
        <v>156</v>
      </c>
      <c r="F181" s="47" t="s">
        <v>733</v>
      </c>
      <c r="G181" t="str">
        <f>VLOOKUP(A:A,INVENTÁRIO_07_2025!A:A,1,0)</f>
        <v>SPRDAPGLPIGRU01</v>
      </c>
    </row>
    <row r="182" spans="1:7">
      <c r="A182" s="47" t="s">
        <v>539</v>
      </c>
      <c r="B182" s="47" t="s">
        <v>61</v>
      </c>
      <c r="C182" s="47" t="s">
        <v>51</v>
      </c>
      <c r="D182" t="s">
        <v>114</v>
      </c>
      <c r="E182" s="47" t="s">
        <v>156</v>
      </c>
      <c r="F182" s="47" t="s">
        <v>733</v>
      </c>
      <c r="G182" t="str">
        <f>VLOOKUP(A:A,INVENTÁRIO_07_2025!A:A,1,0)</f>
        <v>SPRDAPGLPIGRU02</v>
      </c>
    </row>
    <row r="183" spans="1:7">
      <c r="A183" s="47" t="s">
        <v>540</v>
      </c>
      <c r="B183" s="47" t="s">
        <v>61</v>
      </c>
      <c r="C183" s="47" t="s">
        <v>51</v>
      </c>
      <c r="D183" t="s">
        <v>114</v>
      </c>
      <c r="E183" s="47" t="s">
        <v>156</v>
      </c>
      <c r="F183" s="47" t="s">
        <v>327</v>
      </c>
      <c r="G183" t="str">
        <f>VLOOKUP(A:A,INVENTÁRIO_07_2025!A:A,1,0)</f>
        <v>SPRDAPGRFGRU01</v>
      </c>
    </row>
    <row r="184" spans="1:7">
      <c r="A184" s="47" t="s">
        <v>470</v>
      </c>
      <c r="B184" s="47" t="s">
        <v>61</v>
      </c>
      <c r="C184" s="47" t="s">
        <v>116</v>
      </c>
      <c r="D184" t="s">
        <v>136</v>
      </c>
      <c r="E184" s="47" t="s">
        <v>156</v>
      </c>
      <c r="F184" s="47" t="s">
        <v>327</v>
      </c>
      <c r="G184" t="str">
        <f>VLOOKUP(A:A,INVENTÁRIO_07_2025!A:A,1,0)</f>
        <v>SPRDAPGWBIGRU03</v>
      </c>
    </row>
    <row r="185" spans="1:7">
      <c r="A185" s="47" t="s">
        <v>430</v>
      </c>
      <c r="B185" s="47" t="s">
        <v>61</v>
      </c>
      <c r="C185" s="47" t="s">
        <v>116</v>
      </c>
      <c r="D185" t="s">
        <v>671</v>
      </c>
      <c r="E185" s="47" t="s">
        <v>156</v>
      </c>
      <c r="F185" s="47" t="s">
        <v>327</v>
      </c>
      <c r="G185" t="str">
        <f>VLOOKUP(A:A,INVENTÁRIO_07_2025!A:A,1,0)</f>
        <v>SPRDAPHDMGRU01</v>
      </c>
    </row>
    <row r="186" spans="1:7">
      <c r="A186" s="47" t="s">
        <v>342</v>
      </c>
      <c r="B186" s="47" t="s">
        <v>61</v>
      </c>
      <c r="C186" s="47" t="s">
        <v>116</v>
      </c>
      <c r="D186" t="s">
        <v>341</v>
      </c>
      <c r="E186" s="47" t="s">
        <v>156</v>
      </c>
      <c r="F186" s="47" t="s">
        <v>327</v>
      </c>
      <c r="G186" t="str">
        <f>VLOOKUP(A:A,INVENTÁRIO_07_2025!A:A,1,0)</f>
        <v>SPRDAPHHGRU01</v>
      </c>
    </row>
    <row r="187" spans="1:7">
      <c r="A187" s="47" t="s">
        <v>221</v>
      </c>
      <c r="B187" s="47" t="s">
        <v>61</v>
      </c>
      <c r="C187" s="47" t="s">
        <v>116</v>
      </c>
      <c r="D187" t="s">
        <v>425</v>
      </c>
      <c r="E187" s="47" t="s">
        <v>156</v>
      </c>
      <c r="F187" s="47" t="s">
        <v>733</v>
      </c>
      <c r="G187" t="str">
        <f>VLOOKUP(A:A,INVENTÁRIO_07_2025!A:A,1,0)</f>
        <v>SPRDAPHSEGRU01</v>
      </c>
    </row>
    <row r="188" spans="1:7">
      <c r="A188" s="47" t="s">
        <v>222</v>
      </c>
      <c r="B188" s="47" t="s">
        <v>61</v>
      </c>
      <c r="C188" s="47" t="s">
        <v>116</v>
      </c>
      <c r="D188" t="s">
        <v>425</v>
      </c>
      <c r="E188" s="47" t="s">
        <v>156</v>
      </c>
      <c r="F188" s="47" t="s">
        <v>733</v>
      </c>
      <c r="G188" t="str">
        <f>VLOOKUP(A:A,INVENTÁRIO_07_2025!A:A,1,0)</f>
        <v>SPRDAPHSEGRU02</v>
      </c>
    </row>
    <row r="189" spans="1:7">
      <c r="A189" s="47" t="s">
        <v>252</v>
      </c>
      <c r="B189" s="47" t="s">
        <v>61</v>
      </c>
      <c r="C189" s="47" t="s">
        <v>116</v>
      </c>
      <c r="D189" t="s">
        <v>136</v>
      </c>
      <c r="E189" s="47" t="s">
        <v>156</v>
      </c>
      <c r="F189" s="47" t="s">
        <v>733</v>
      </c>
      <c r="G189" t="str">
        <f>VLOOKUP(A:A,INVENTÁRIO_07_2025!A:A,1,0)</f>
        <v>SPRDAPHSEGRU06</v>
      </c>
    </row>
    <row r="190" spans="1:7">
      <c r="A190" s="47" t="s">
        <v>471</v>
      </c>
      <c r="B190" s="47" t="s">
        <v>61</v>
      </c>
      <c r="C190" s="47" t="s">
        <v>116</v>
      </c>
      <c r="D190" t="s">
        <v>419</v>
      </c>
      <c r="E190" s="47" t="s">
        <v>156</v>
      </c>
      <c r="F190" s="47" t="s">
        <v>733</v>
      </c>
      <c r="G190" t="str">
        <f>VLOOKUP(A:A,INVENTÁRIO_07_2025!A:A,1,0)</f>
        <v>SPRDAPIAMGRU05</v>
      </c>
    </row>
    <row r="191" spans="1:7">
      <c r="A191" s="47" t="s">
        <v>472</v>
      </c>
      <c r="B191" s="47" t="s">
        <v>61</v>
      </c>
      <c r="C191" s="47" t="s">
        <v>116</v>
      </c>
      <c r="D191" t="s">
        <v>419</v>
      </c>
      <c r="E191" s="47" t="s">
        <v>156</v>
      </c>
      <c r="F191" s="47" t="s">
        <v>733</v>
      </c>
      <c r="G191" t="str">
        <f>VLOOKUP(A:A,INVENTÁRIO_07_2025!A:A,1,0)</f>
        <v>SPRDAPIAMGRU06</v>
      </c>
    </row>
    <row r="192" spans="1:7">
      <c r="A192" s="47" t="s">
        <v>473</v>
      </c>
      <c r="B192" s="47" t="s">
        <v>61</v>
      </c>
      <c r="C192" s="47" t="s">
        <v>116</v>
      </c>
      <c r="D192" t="s">
        <v>419</v>
      </c>
      <c r="E192" s="47" t="s">
        <v>156</v>
      </c>
      <c r="F192" s="47" t="s">
        <v>733</v>
      </c>
      <c r="G192" t="str">
        <f>VLOOKUP(A:A,INVENTÁRIO_07_2025!A:A,1,0)</f>
        <v>SPRDAPIAMGRU07</v>
      </c>
    </row>
    <row r="193" spans="1:7">
      <c r="A193" s="47" t="s">
        <v>474</v>
      </c>
      <c r="B193" s="47" t="s">
        <v>61</v>
      </c>
      <c r="C193" s="47" t="s">
        <v>116</v>
      </c>
      <c r="D193" t="s">
        <v>419</v>
      </c>
      <c r="E193" s="47" t="s">
        <v>156</v>
      </c>
      <c r="F193" s="47" t="s">
        <v>733</v>
      </c>
      <c r="G193" t="str">
        <f>VLOOKUP(A:A,INVENTÁRIO_07_2025!A:A,1,0)</f>
        <v>SPRDAPIAMGRU08</v>
      </c>
    </row>
    <row r="194" spans="1:7">
      <c r="A194" s="47" t="s">
        <v>475</v>
      </c>
      <c r="B194" s="47" t="s">
        <v>61</v>
      </c>
      <c r="C194" s="47" t="s">
        <v>116</v>
      </c>
      <c r="D194" t="s">
        <v>419</v>
      </c>
      <c r="E194" s="47" t="s">
        <v>156</v>
      </c>
      <c r="F194" s="47" t="s">
        <v>733</v>
      </c>
      <c r="G194" t="str">
        <f>VLOOKUP(A:A,INVENTÁRIO_07_2025!A:A,1,0)</f>
        <v>SPRDAPIAMGRU09</v>
      </c>
    </row>
    <row r="195" spans="1:7">
      <c r="A195" s="47" t="s">
        <v>476</v>
      </c>
      <c r="B195" s="47" t="s">
        <v>61</v>
      </c>
      <c r="C195" s="47" t="s">
        <v>116</v>
      </c>
      <c r="D195" t="s">
        <v>419</v>
      </c>
      <c r="E195" s="47" t="s">
        <v>156</v>
      </c>
      <c r="F195" s="47" t="s">
        <v>733</v>
      </c>
      <c r="G195" t="str">
        <f>VLOOKUP(A:A,INVENTÁRIO_07_2025!A:A,1,0)</f>
        <v>SPRDAPIAMGRU10</v>
      </c>
    </row>
    <row r="196" spans="1:7">
      <c r="A196" s="47" t="s">
        <v>477</v>
      </c>
      <c r="B196" s="47" t="s">
        <v>61</v>
      </c>
      <c r="C196" s="47" t="s">
        <v>116</v>
      </c>
      <c r="D196" t="s">
        <v>419</v>
      </c>
      <c r="E196" s="47" t="s">
        <v>156</v>
      </c>
      <c r="F196" s="47" t="s">
        <v>733</v>
      </c>
      <c r="G196" t="str">
        <f>VLOOKUP(A:A,INVENTÁRIO_07_2025!A:A,1,0)</f>
        <v>SPRDAPIAMGRU11</v>
      </c>
    </row>
    <row r="197" spans="1:7">
      <c r="A197" s="47" t="s">
        <v>648</v>
      </c>
      <c r="B197" s="47" t="s">
        <v>61</v>
      </c>
      <c r="C197" s="47" t="s">
        <v>51</v>
      </c>
      <c r="D197" t="s">
        <v>111</v>
      </c>
      <c r="E197" s="47" t="s">
        <v>156</v>
      </c>
      <c r="F197" s="47" t="s">
        <v>327</v>
      </c>
      <c r="G197" t="str">
        <f>VLOOKUP(A:A,INVENTÁRIO_07_2025!A:A,1,0)</f>
        <v>SHOMAPPOSTGRU01</v>
      </c>
    </row>
    <row r="198" spans="1:7">
      <c r="A198" s="47" t="s">
        <v>292</v>
      </c>
      <c r="B198" s="47" t="s">
        <v>61</v>
      </c>
      <c r="C198" s="47" t="s">
        <v>51</v>
      </c>
      <c r="D198" t="s">
        <v>111</v>
      </c>
      <c r="E198" s="47" t="s">
        <v>156</v>
      </c>
      <c r="F198" s="47" t="s">
        <v>733</v>
      </c>
      <c r="G198" t="str">
        <f>VLOOKUP(A:A,INVENTÁRIO_07_2025!A:A,1,0)</f>
        <v>SPRDAPCCPRGRU01</v>
      </c>
    </row>
    <row r="199" spans="1:7">
      <c r="A199" s="47" t="s">
        <v>299</v>
      </c>
      <c r="B199" s="47" t="s">
        <v>61</v>
      </c>
      <c r="C199" s="47" t="s">
        <v>51</v>
      </c>
      <c r="D199" t="s">
        <v>295</v>
      </c>
      <c r="E199" s="47" t="s">
        <v>156</v>
      </c>
      <c r="F199" s="47" t="s">
        <v>733</v>
      </c>
      <c r="G199" t="str">
        <f>VLOOKUP(A:A,INVENTÁRIO_07_2025!A:A,1,0)</f>
        <v>SPRDAPIHSGRU03</v>
      </c>
    </row>
    <row r="200" spans="1:7">
      <c r="A200" s="47" t="s">
        <v>478</v>
      </c>
      <c r="B200" s="47" t="s">
        <v>61</v>
      </c>
      <c r="C200" s="47" t="s">
        <v>116</v>
      </c>
      <c r="D200" t="s">
        <v>419</v>
      </c>
      <c r="E200" s="47" t="s">
        <v>156</v>
      </c>
      <c r="F200" s="47" t="s">
        <v>327</v>
      </c>
      <c r="G200" t="str">
        <f>VLOOKUP(A:A,INVENTÁRIO_07_2025!A:A,1,0)</f>
        <v>SPRDAPIKNGRU01</v>
      </c>
    </row>
    <row r="201" spans="1:7">
      <c r="A201" s="47" t="s">
        <v>243</v>
      </c>
      <c r="B201" s="47" t="s">
        <v>61</v>
      </c>
      <c r="C201" s="47" t="s">
        <v>116</v>
      </c>
      <c r="D201" t="s">
        <v>141</v>
      </c>
      <c r="E201" s="47" t="s">
        <v>156</v>
      </c>
      <c r="F201" s="47" t="s">
        <v>733</v>
      </c>
      <c r="G201" t="str">
        <f>VLOOKUP(A:A,INVENTÁRIO_07_2025!A:A,1,0)</f>
        <v>SPRDAPILMTGRU02</v>
      </c>
    </row>
    <row r="202" spans="1:7">
      <c r="A202" s="47" t="s">
        <v>183</v>
      </c>
      <c r="B202" s="47" t="s">
        <v>61</v>
      </c>
      <c r="C202" s="47" t="s">
        <v>116</v>
      </c>
      <c r="D202" t="s">
        <v>126</v>
      </c>
      <c r="E202" s="47" t="s">
        <v>156</v>
      </c>
      <c r="F202" s="47" t="s">
        <v>733</v>
      </c>
      <c r="G202" t="str">
        <f>VLOOKUP(A:A,INVENTÁRIO_07_2025!A:A,1,0)</f>
        <v>SPRDAPIMCGRU01</v>
      </c>
    </row>
    <row r="203" spans="1:7">
      <c r="A203" s="47" t="s">
        <v>373</v>
      </c>
      <c r="B203" s="47" t="s">
        <v>61</v>
      </c>
      <c r="C203" s="47" t="s">
        <v>116</v>
      </c>
      <c r="D203" t="s">
        <v>117</v>
      </c>
      <c r="E203" s="47" t="s">
        <v>156</v>
      </c>
      <c r="F203" s="47" t="s">
        <v>327</v>
      </c>
      <c r="G203" t="str">
        <f>VLOOKUP(A:A,INVENTÁRIO_07_2025!A:A,1,0)</f>
        <v>SPRDAPIMGRU01</v>
      </c>
    </row>
    <row r="204" spans="1:7">
      <c r="A204" s="47" t="s">
        <v>374</v>
      </c>
      <c r="B204" s="47" t="s">
        <v>61</v>
      </c>
      <c r="C204" s="47" t="s">
        <v>116</v>
      </c>
      <c r="D204" t="s">
        <v>117</v>
      </c>
      <c r="E204" s="47" t="s">
        <v>156</v>
      </c>
      <c r="F204" s="47" t="s">
        <v>327</v>
      </c>
      <c r="G204" t="str">
        <f>VLOOKUP(A:A,INVENTÁRIO_07_2025!A:A,1,0)</f>
        <v>SPRDAPIMGRU02</v>
      </c>
    </row>
    <row r="205" spans="1:7">
      <c r="A205" s="47" t="s">
        <v>160</v>
      </c>
      <c r="B205" s="47" t="s">
        <v>61</v>
      </c>
      <c r="C205" s="47" t="s">
        <v>51</v>
      </c>
      <c r="D205" t="s">
        <v>161</v>
      </c>
      <c r="E205" s="47" t="s">
        <v>156</v>
      </c>
      <c r="F205" s="47" t="s">
        <v>733</v>
      </c>
      <c r="G205" t="str">
        <f>VLOOKUP(A:A,INVENTÁRIO_07_2025!A:A,1,0)</f>
        <v>SPRDAPINSGRU01</v>
      </c>
    </row>
    <row r="206" spans="1:7">
      <c r="A206" s="47" t="s">
        <v>375</v>
      </c>
      <c r="B206" s="47" t="s">
        <v>61</v>
      </c>
      <c r="C206" s="47" t="s">
        <v>116</v>
      </c>
      <c r="D206" t="s">
        <v>122</v>
      </c>
      <c r="E206" s="47" t="s">
        <v>156</v>
      </c>
      <c r="F206" s="47" t="s">
        <v>327</v>
      </c>
      <c r="G206" t="str">
        <f>VLOOKUP(A:A,INVENTÁRIO_07_2025!A:A,1,0)</f>
        <v>SPRDAPINTGRU01</v>
      </c>
    </row>
    <row r="207" spans="1:7">
      <c r="A207" s="47" t="s">
        <v>223</v>
      </c>
      <c r="B207" s="47" t="s">
        <v>61</v>
      </c>
      <c r="C207" s="47" t="s">
        <v>116</v>
      </c>
      <c r="D207" t="s">
        <v>425</v>
      </c>
      <c r="E207" s="47" t="s">
        <v>156</v>
      </c>
      <c r="F207" s="47" t="s">
        <v>733</v>
      </c>
      <c r="G207" t="str">
        <f>VLOOKUP(A:A,INVENTÁRIO_07_2025!A:A,1,0)</f>
        <v>SPRDAPINVGRU01</v>
      </c>
    </row>
    <row r="208" spans="1:7">
      <c r="A208" s="47" t="s">
        <v>224</v>
      </c>
      <c r="B208" s="47" t="s">
        <v>61</v>
      </c>
      <c r="C208" s="47" t="s">
        <v>116</v>
      </c>
      <c r="D208" t="s">
        <v>425</v>
      </c>
      <c r="E208" s="47" t="s">
        <v>156</v>
      </c>
      <c r="F208" s="47" t="s">
        <v>733</v>
      </c>
      <c r="G208" t="str">
        <f>VLOOKUP(A:A,INVENTÁRIO_07_2025!A:A,1,0)</f>
        <v>SPRDAPINVGRU02</v>
      </c>
    </row>
    <row r="209" spans="1:7">
      <c r="A209" s="47" t="s">
        <v>225</v>
      </c>
      <c r="B209" s="47" t="s">
        <v>61</v>
      </c>
      <c r="C209" s="47" t="s">
        <v>116</v>
      </c>
      <c r="D209" t="s">
        <v>425</v>
      </c>
      <c r="E209" s="47" t="s">
        <v>156</v>
      </c>
      <c r="F209" s="47" t="s">
        <v>733</v>
      </c>
      <c r="G209" t="str">
        <f>VLOOKUP(A:A,INVENTÁRIO_07_2025!A:A,1,0)</f>
        <v>SPRDAPINVGRU03</v>
      </c>
    </row>
    <row r="210" spans="1:7">
      <c r="A210" s="47" t="s">
        <v>226</v>
      </c>
      <c r="B210" s="47" t="s">
        <v>61</v>
      </c>
      <c r="C210" s="47" t="s">
        <v>116</v>
      </c>
      <c r="D210" t="s">
        <v>425</v>
      </c>
      <c r="E210" s="47" t="s">
        <v>156</v>
      </c>
      <c r="F210" s="47" t="s">
        <v>733</v>
      </c>
      <c r="G210" t="str">
        <f>VLOOKUP(A:A,INVENTÁRIO_07_2025!A:A,1,0)</f>
        <v>SPRDAPINVGRU04</v>
      </c>
    </row>
    <row r="211" spans="1:7">
      <c r="A211" s="47" t="s">
        <v>227</v>
      </c>
      <c r="B211" s="47" t="s">
        <v>61</v>
      </c>
      <c r="C211" s="47" t="s">
        <v>116</v>
      </c>
      <c r="D211" t="s">
        <v>425</v>
      </c>
      <c r="E211" s="47" t="s">
        <v>156</v>
      </c>
      <c r="F211" s="47" t="s">
        <v>733</v>
      </c>
      <c r="G211" t="str">
        <f>VLOOKUP(A:A,INVENTÁRIO_07_2025!A:A,1,0)</f>
        <v>SPRDAPINVGRU07</v>
      </c>
    </row>
    <row r="212" spans="1:7">
      <c r="A212" s="47" t="s">
        <v>479</v>
      </c>
      <c r="B212" s="47" t="s">
        <v>61</v>
      </c>
      <c r="C212" s="47" t="s">
        <v>116</v>
      </c>
      <c r="D212" t="s">
        <v>136</v>
      </c>
      <c r="E212" s="47" t="s">
        <v>156</v>
      </c>
      <c r="F212" s="47" t="s">
        <v>733</v>
      </c>
      <c r="G212" t="str">
        <f>VLOOKUP(A:A,INVENTÁRIO_07_2025!A:A,1,0)</f>
        <v>SPRDAPINVGRU09</v>
      </c>
    </row>
    <row r="213" spans="1:7">
      <c r="A213" s="47" t="s">
        <v>716</v>
      </c>
      <c r="B213" s="47" t="s">
        <v>61</v>
      </c>
      <c r="C213" s="47" t="s">
        <v>51</v>
      </c>
      <c r="D213" t="s">
        <v>295</v>
      </c>
      <c r="E213" s="47" t="s">
        <v>156</v>
      </c>
      <c r="F213" s="47" t="s">
        <v>733</v>
      </c>
      <c r="G213" t="e">
        <f>VLOOKUP(A:A,INVENTÁRIO_07_2025!A:A,1,0)</f>
        <v>#N/A</v>
      </c>
    </row>
    <row r="214" spans="1:7">
      <c r="A214" s="47" t="s">
        <v>717</v>
      </c>
      <c r="B214" s="47" t="s">
        <v>61</v>
      </c>
      <c r="C214" s="47" t="s">
        <v>51</v>
      </c>
      <c r="D214" t="s">
        <v>735</v>
      </c>
      <c r="E214" s="47" t="s">
        <v>156</v>
      </c>
      <c r="F214" s="47" t="s">
        <v>733</v>
      </c>
      <c r="G214" t="e">
        <f>VLOOKUP(A:A,INVENTÁRIO_07_2025!A:A,1,0)</f>
        <v>#N/A</v>
      </c>
    </row>
    <row r="215" spans="1:7">
      <c r="A215" s="47" t="s">
        <v>244</v>
      </c>
      <c r="B215" s="47" t="s">
        <v>61</v>
      </c>
      <c r="C215" s="47" t="s">
        <v>116</v>
      </c>
      <c r="D215" t="s">
        <v>242</v>
      </c>
      <c r="E215" s="47" t="s">
        <v>156</v>
      </c>
      <c r="F215" s="47" t="s">
        <v>733</v>
      </c>
      <c r="G215" t="str">
        <f>VLOOKUP(A:A,INVENTÁRIO_07_2025!A:A,1,0)</f>
        <v>SPRDAPJPGRU02</v>
      </c>
    </row>
    <row r="216" spans="1:7">
      <c r="A216" s="47" t="s">
        <v>253</v>
      </c>
      <c r="B216" s="47" t="s">
        <v>61</v>
      </c>
      <c r="C216" s="47" t="s">
        <v>116</v>
      </c>
      <c r="D216" t="s">
        <v>141</v>
      </c>
      <c r="E216" s="47" t="s">
        <v>156</v>
      </c>
      <c r="F216" s="47" t="s">
        <v>733</v>
      </c>
      <c r="G216" t="str">
        <f>VLOOKUP(A:A,INVENTÁRIO_07_2025!A:A,1,0)</f>
        <v>SPRDAPJPGRU03</v>
      </c>
    </row>
    <row r="217" spans="1:7">
      <c r="A217" s="47" t="s">
        <v>254</v>
      </c>
      <c r="B217" s="47" t="s">
        <v>61</v>
      </c>
      <c r="C217" s="47" t="s">
        <v>116</v>
      </c>
      <c r="D217" t="s">
        <v>141</v>
      </c>
      <c r="E217" s="47" t="s">
        <v>156</v>
      </c>
      <c r="F217" s="47" t="s">
        <v>733</v>
      </c>
      <c r="G217" t="str">
        <f>VLOOKUP(A:A,INVENTÁRIO_07_2025!A:A,1,0)</f>
        <v>SPRDAPJPGRU04</v>
      </c>
    </row>
    <row r="218" spans="1:7">
      <c r="A218" s="47" t="s">
        <v>255</v>
      </c>
      <c r="B218" s="47" t="s">
        <v>61</v>
      </c>
      <c r="C218" s="47" t="s">
        <v>116</v>
      </c>
      <c r="D218" t="s">
        <v>141</v>
      </c>
      <c r="E218" s="47" t="s">
        <v>156</v>
      </c>
      <c r="F218" s="47" t="s">
        <v>733</v>
      </c>
      <c r="G218" t="str">
        <f>VLOOKUP(A:A,INVENTÁRIO_07_2025!A:A,1,0)</f>
        <v>SPRDAPJPGRU05</v>
      </c>
    </row>
    <row r="219" spans="1:7">
      <c r="A219" s="47" t="s">
        <v>245</v>
      </c>
      <c r="B219" s="47" t="s">
        <v>50</v>
      </c>
      <c r="C219" s="47" t="s">
        <v>116</v>
      </c>
      <c r="D219" t="s">
        <v>242</v>
      </c>
      <c r="E219" s="47" t="s">
        <v>156</v>
      </c>
      <c r="F219" s="47" t="s">
        <v>733</v>
      </c>
      <c r="G219" t="str">
        <f>VLOOKUP(A:A,INVENTÁRIO_07_2025!A:A,1,0)</f>
        <v>SPRDAPJPGRUXX</v>
      </c>
    </row>
    <row r="220" spans="1:7">
      <c r="A220" s="47" t="s">
        <v>228</v>
      </c>
      <c r="B220" s="47" t="s">
        <v>61</v>
      </c>
      <c r="C220" s="47" t="s">
        <v>116</v>
      </c>
      <c r="D220" t="s">
        <v>425</v>
      </c>
      <c r="E220" s="47" t="s">
        <v>156</v>
      </c>
      <c r="F220" s="47" t="s">
        <v>733</v>
      </c>
      <c r="G220" t="str">
        <f>VLOOKUP(A:A,INVENTÁRIO_07_2025!A:A,1,0)</f>
        <v>SPRDAPLGGRU01</v>
      </c>
    </row>
    <row r="221" spans="1:7">
      <c r="A221" s="47" t="s">
        <v>480</v>
      </c>
      <c r="B221" s="47" t="s">
        <v>61</v>
      </c>
      <c r="C221" s="47" t="s">
        <v>116</v>
      </c>
      <c r="D221" t="s">
        <v>425</v>
      </c>
      <c r="E221" s="47" t="s">
        <v>156</v>
      </c>
      <c r="F221" s="47" t="s">
        <v>327</v>
      </c>
      <c r="G221" t="str">
        <f>VLOOKUP(A:A,INVENTÁRIO_07_2025!A:A,1,0)</f>
        <v>SPRDAPLGGRU02</v>
      </c>
    </row>
    <row r="222" spans="1:7">
      <c r="A222" s="47" t="s">
        <v>229</v>
      </c>
      <c r="B222" s="47" t="s">
        <v>61</v>
      </c>
      <c r="C222" s="47" t="s">
        <v>116</v>
      </c>
      <c r="D222" t="s">
        <v>136</v>
      </c>
      <c r="E222" s="47" t="s">
        <v>156</v>
      </c>
      <c r="F222" s="47" t="s">
        <v>733</v>
      </c>
      <c r="G222" t="str">
        <f>VLOOKUP(A:A,INVENTÁRIO_07_2025!A:A,1,0)</f>
        <v>SPRDAPLGGRU03</v>
      </c>
    </row>
    <row r="223" spans="1:7">
      <c r="A223" s="47" t="s">
        <v>481</v>
      </c>
      <c r="B223" s="47" t="s">
        <v>61</v>
      </c>
      <c r="C223" s="47" t="s">
        <v>116</v>
      </c>
      <c r="D223" t="s">
        <v>425</v>
      </c>
      <c r="E223" s="47" t="s">
        <v>156</v>
      </c>
      <c r="F223" s="47" t="s">
        <v>327</v>
      </c>
      <c r="G223" t="str">
        <f>VLOOKUP(A:A,INVENTÁRIO_07_2025!A:A,1,0)</f>
        <v>SPRDAPLGGRU04</v>
      </c>
    </row>
    <row r="224" spans="1:7">
      <c r="A224" s="47" t="s">
        <v>293</v>
      </c>
      <c r="B224" s="47" t="s">
        <v>61</v>
      </c>
      <c r="C224" s="47" t="s">
        <v>51</v>
      </c>
      <c r="D224" t="s">
        <v>111</v>
      </c>
      <c r="E224" s="47" t="s">
        <v>156</v>
      </c>
      <c r="F224" s="47" t="s">
        <v>733</v>
      </c>
      <c r="G224" t="str">
        <f>VLOOKUP(A:A,INVENTÁRIO_07_2025!A:A,1,0)</f>
        <v>SPRDAPCCPRGRU02</v>
      </c>
    </row>
    <row r="225" spans="1:7">
      <c r="A225" s="47" t="s">
        <v>482</v>
      </c>
      <c r="B225" s="47" t="s">
        <v>50</v>
      </c>
      <c r="C225" s="47" t="s">
        <v>116</v>
      </c>
      <c r="D225" t="s">
        <v>141</v>
      </c>
      <c r="E225" s="47" t="s">
        <v>156</v>
      </c>
      <c r="F225" s="47" t="s">
        <v>327</v>
      </c>
      <c r="G225" t="str">
        <f>VLOOKUP(A:A,INVENTÁRIO_07_2025!A:A,1,0)</f>
        <v>SPRDAPMDSGRU01</v>
      </c>
    </row>
    <row r="226" spans="1:7">
      <c r="A226" s="47" t="s">
        <v>482</v>
      </c>
      <c r="B226" s="47" t="s">
        <v>61</v>
      </c>
      <c r="C226" s="47" t="s">
        <v>116</v>
      </c>
      <c r="D226" t="s">
        <v>141</v>
      </c>
      <c r="E226" s="47" t="s">
        <v>156</v>
      </c>
      <c r="F226" s="47" t="s">
        <v>733</v>
      </c>
      <c r="G226" t="str">
        <f>VLOOKUP(A:A,INVENTÁRIO_07_2025!A:A,1,0)</f>
        <v>SPRDAPMDSGRU01</v>
      </c>
    </row>
    <row r="227" spans="1:7">
      <c r="A227" s="47" t="s">
        <v>431</v>
      </c>
      <c r="B227" s="47" t="s">
        <v>50</v>
      </c>
      <c r="C227" s="47" t="s">
        <v>116</v>
      </c>
      <c r="D227" t="s">
        <v>136</v>
      </c>
      <c r="E227" s="47" t="s">
        <v>156</v>
      </c>
      <c r="F227" s="47" t="s">
        <v>327</v>
      </c>
      <c r="G227" t="str">
        <f>VLOOKUP(A:A,INVENTÁRIO_07_2025!A:A,1,0)</f>
        <v>SPRDAPMELGRU01</v>
      </c>
    </row>
    <row r="228" spans="1:7">
      <c r="A228" s="47" t="s">
        <v>431</v>
      </c>
      <c r="B228" s="47" t="s">
        <v>61</v>
      </c>
      <c r="C228" s="47" t="s">
        <v>116</v>
      </c>
      <c r="D228" t="s">
        <v>136</v>
      </c>
      <c r="E228" s="47" t="s">
        <v>156</v>
      </c>
      <c r="F228" s="47" t="s">
        <v>733</v>
      </c>
      <c r="G228" t="str">
        <f>VLOOKUP(A:A,INVENTÁRIO_07_2025!A:A,1,0)</f>
        <v>SPRDAPMELGRU01</v>
      </c>
    </row>
    <row r="229" spans="1:7">
      <c r="A229" s="47" t="s">
        <v>376</v>
      </c>
      <c r="B229" s="47" t="s">
        <v>61</v>
      </c>
      <c r="C229" s="47" t="s">
        <v>116</v>
      </c>
      <c r="D229" t="s">
        <v>117</v>
      </c>
      <c r="E229" s="47" t="s">
        <v>156</v>
      </c>
      <c r="F229" s="47" t="s">
        <v>327</v>
      </c>
      <c r="G229" t="str">
        <f>VLOOKUP(A:A,INVENTÁRIO_07_2025!A:A,1,0)</f>
        <v>SPRDAPMETGRU01</v>
      </c>
    </row>
    <row r="230" spans="1:7">
      <c r="A230" s="47" t="s">
        <v>377</v>
      </c>
      <c r="B230" s="47" t="s">
        <v>61</v>
      </c>
      <c r="C230" s="47" t="s">
        <v>116</v>
      </c>
      <c r="D230" t="s">
        <v>117</v>
      </c>
      <c r="E230" s="47" t="s">
        <v>156</v>
      </c>
      <c r="F230" s="47" t="s">
        <v>327</v>
      </c>
      <c r="G230" t="str">
        <f>VLOOKUP(A:A,INVENTÁRIO_07_2025!A:A,1,0)</f>
        <v>SPRDAPMETGRU02</v>
      </c>
    </row>
    <row r="231" spans="1:7">
      <c r="A231" s="47" t="s">
        <v>378</v>
      </c>
      <c r="B231" s="47" t="s">
        <v>61</v>
      </c>
      <c r="C231" s="47" t="s">
        <v>116</v>
      </c>
      <c r="D231" t="s">
        <v>117</v>
      </c>
      <c r="E231" s="47" t="s">
        <v>156</v>
      </c>
      <c r="F231" s="47" t="s">
        <v>327</v>
      </c>
      <c r="G231" t="str">
        <f>VLOOKUP(A:A,INVENTÁRIO_07_2025!A:A,1,0)</f>
        <v>SPRDAPMETGRU03</v>
      </c>
    </row>
    <row r="232" spans="1:7">
      <c r="A232" s="47" t="s">
        <v>379</v>
      </c>
      <c r="B232" s="47" t="s">
        <v>61</v>
      </c>
      <c r="C232" s="47" t="s">
        <v>116</v>
      </c>
      <c r="D232" t="s">
        <v>117</v>
      </c>
      <c r="E232" s="47" t="s">
        <v>156</v>
      </c>
      <c r="F232" s="47" t="s">
        <v>327</v>
      </c>
      <c r="G232" t="str">
        <f>VLOOKUP(A:A,INVENTÁRIO_07_2025!A:A,1,0)</f>
        <v>SPRDAPMETGRU04</v>
      </c>
    </row>
    <row r="233" spans="1:7">
      <c r="A233" s="47" t="s">
        <v>690</v>
      </c>
      <c r="B233" s="47" t="s">
        <v>61</v>
      </c>
      <c r="C233" s="47" t="s">
        <v>51</v>
      </c>
      <c r="D233" t="s">
        <v>697</v>
      </c>
      <c r="E233" s="47" t="s">
        <v>156</v>
      </c>
      <c r="F233" s="47" t="s">
        <v>733</v>
      </c>
      <c r="G233" t="str">
        <f>VLOOKUP(A:A,INVENTÁRIO_07_2025!A:A,1,0)</f>
        <v>SPRDAPMISP01</v>
      </c>
    </row>
    <row r="234" spans="1:7">
      <c r="A234" s="47" t="s">
        <v>483</v>
      </c>
      <c r="B234" s="47" t="s">
        <v>61</v>
      </c>
      <c r="C234" s="47" t="s">
        <v>116</v>
      </c>
      <c r="D234" t="s">
        <v>242</v>
      </c>
      <c r="E234" s="47" t="s">
        <v>156</v>
      </c>
      <c r="F234" s="47" t="s">
        <v>327</v>
      </c>
      <c r="G234" t="str">
        <f>VLOOKUP(A:A,INVENTÁRIO_07_2025!A:A,1,0)</f>
        <v>SPRDAPMMETRAGRU01</v>
      </c>
    </row>
    <row r="235" spans="1:7">
      <c r="A235" s="47" t="s">
        <v>718</v>
      </c>
      <c r="B235" s="47" t="s">
        <v>61</v>
      </c>
      <c r="C235" s="47" t="s">
        <v>116</v>
      </c>
      <c r="D235" t="s">
        <v>734</v>
      </c>
      <c r="E235" s="47" t="s">
        <v>156</v>
      </c>
      <c r="F235" s="47" t="s">
        <v>733</v>
      </c>
      <c r="G235" t="e">
        <f>VLOOKUP(A:A,INVENTÁRIO_07_2025!A:A,1,0)</f>
        <v>#N/A</v>
      </c>
    </row>
    <row r="236" spans="1:7">
      <c r="A236" s="47" t="s">
        <v>380</v>
      </c>
      <c r="B236" s="47" t="s">
        <v>61</v>
      </c>
      <c r="C236" s="47" t="s">
        <v>116</v>
      </c>
      <c r="D236" t="s">
        <v>117</v>
      </c>
      <c r="E236" s="47" t="s">
        <v>156</v>
      </c>
      <c r="F236" s="47" t="s">
        <v>327</v>
      </c>
      <c r="G236" t="str">
        <f>VLOOKUP(A:A,INVENTÁRIO_07_2025!A:A,1,0)</f>
        <v>SPRDAPMNTGRU02</v>
      </c>
    </row>
    <row r="237" spans="1:7">
      <c r="A237" s="47" t="s">
        <v>381</v>
      </c>
      <c r="B237" s="47" t="s">
        <v>61</v>
      </c>
      <c r="C237" s="47" t="s">
        <v>116</v>
      </c>
      <c r="D237" t="s">
        <v>122</v>
      </c>
      <c r="E237" s="47" t="s">
        <v>156</v>
      </c>
      <c r="F237" s="47" t="s">
        <v>327</v>
      </c>
      <c r="G237" t="str">
        <f>VLOOKUP(A:A,INVENTÁRIO_07_2025!A:A,1,0)</f>
        <v>SPRDAPMONGRU02</v>
      </c>
    </row>
    <row r="238" spans="1:7">
      <c r="A238" s="47" t="s">
        <v>432</v>
      </c>
      <c r="B238" s="47" t="s">
        <v>61</v>
      </c>
      <c r="C238" s="47" t="s">
        <v>116</v>
      </c>
      <c r="D238" t="s">
        <v>126</v>
      </c>
      <c r="E238" s="47" t="s">
        <v>156</v>
      </c>
      <c r="F238" s="47" t="s">
        <v>327</v>
      </c>
      <c r="G238" t="str">
        <f>VLOOKUP(A:A,INVENTÁRIO_07_2025!A:A,1,0)</f>
        <v>SPRDAPMPBXGRU01</v>
      </c>
    </row>
    <row r="239" spans="1:7">
      <c r="A239" s="47" t="s">
        <v>484</v>
      </c>
      <c r="B239" s="47" t="s">
        <v>61</v>
      </c>
      <c r="C239" s="47" t="s">
        <v>116</v>
      </c>
      <c r="D239" t="s">
        <v>425</v>
      </c>
      <c r="E239" s="47" t="s">
        <v>156</v>
      </c>
      <c r="F239" s="47" t="s">
        <v>327</v>
      </c>
      <c r="G239" t="str">
        <f>VLOOKUP(A:A,INVENTÁRIO_07_2025!A:A,1,0)</f>
        <v>SPRDAPMPMGRU01</v>
      </c>
    </row>
    <row r="240" spans="1:7">
      <c r="A240" t="s">
        <v>115</v>
      </c>
      <c r="B240" t="s">
        <v>50</v>
      </c>
      <c r="C240" t="s">
        <v>116</v>
      </c>
      <c r="D240" t="s">
        <v>117</v>
      </c>
      <c r="E240" t="s">
        <v>53</v>
      </c>
      <c r="F240" t="s">
        <v>56</v>
      </c>
      <c r="G240" t="str">
        <f>VLOOKUP(A:A,INVENTÁRIO_07_2025!A:A,1,0)</f>
        <v>SPRDAPMSGRU01</v>
      </c>
    </row>
    <row r="241" spans="1:7">
      <c r="A241" t="s">
        <v>118</v>
      </c>
      <c r="B241" t="s">
        <v>50</v>
      </c>
      <c r="C241" t="s">
        <v>116</v>
      </c>
      <c r="D241" t="s">
        <v>117</v>
      </c>
      <c r="E241" t="s">
        <v>53</v>
      </c>
      <c r="F241" t="s">
        <v>58</v>
      </c>
      <c r="G241" t="str">
        <f>VLOOKUP(A:A,INVENTÁRIO_07_2025!A:A,1,0)</f>
        <v>SPRDAPMSGRU02</v>
      </c>
    </row>
    <row r="242" spans="1:7">
      <c r="A242" s="47" t="s">
        <v>719</v>
      </c>
      <c r="B242" s="47" t="s">
        <v>61</v>
      </c>
      <c r="C242" s="47" t="s">
        <v>51</v>
      </c>
      <c r="D242" t="s">
        <v>295</v>
      </c>
      <c r="E242" s="47" t="s">
        <v>156</v>
      </c>
      <c r="F242" s="47" t="s">
        <v>733</v>
      </c>
      <c r="G242" t="e">
        <f>VLOOKUP(A:A,INVENTÁRIO_07_2025!A:A,1,0)</f>
        <v>#N/A</v>
      </c>
    </row>
    <row r="243" spans="1:7">
      <c r="A243" s="47" t="s">
        <v>168</v>
      </c>
      <c r="B243" s="47" t="s">
        <v>61</v>
      </c>
      <c r="C243" s="47" t="s">
        <v>116</v>
      </c>
      <c r="D243" t="s">
        <v>117</v>
      </c>
      <c r="E243" s="47" t="s">
        <v>156</v>
      </c>
      <c r="F243" s="47" t="s">
        <v>733</v>
      </c>
      <c r="G243" t="str">
        <f>VLOOKUP(A:A,INVENTÁRIO_07_2025!A:A,1,0)</f>
        <v>SPRDAPNAPGRU01</v>
      </c>
    </row>
    <row r="244" spans="1:7">
      <c r="A244" s="47" t="s">
        <v>289</v>
      </c>
      <c r="B244" s="47" t="s">
        <v>61</v>
      </c>
      <c r="C244" s="47" t="s">
        <v>51</v>
      </c>
      <c r="D244" t="s">
        <v>85</v>
      </c>
      <c r="E244" s="47" t="s">
        <v>156</v>
      </c>
      <c r="F244" s="47" t="s">
        <v>733</v>
      </c>
      <c r="G244" t="str">
        <f>VLOOKUP(A:A,INVENTÁRIO_07_2025!A:A,1,0)</f>
        <v>SPRDAPNBKGRU01</v>
      </c>
    </row>
    <row r="245" spans="1:7">
      <c r="A245" s="47" t="s">
        <v>300</v>
      </c>
      <c r="B245" s="47" t="s">
        <v>61</v>
      </c>
      <c r="C245" s="47" t="s">
        <v>51</v>
      </c>
      <c r="D245" t="s">
        <v>295</v>
      </c>
      <c r="E245" s="47" t="s">
        <v>156</v>
      </c>
      <c r="F245" s="47" t="s">
        <v>733</v>
      </c>
      <c r="G245" t="str">
        <f>VLOOKUP(A:A,INVENTÁRIO_07_2025!A:A,1,0)</f>
        <v>SPRDAPNFSGRU01</v>
      </c>
    </row>
    <row r="246" spans="1:7">
      <c r="A246" s="47" t="s">
        <v>272</v>
      </c>
      <c r="B246" s="47" t="s">
        <v>61</v>
      </c>
      <c r="C246" s="47" t="s">
        <v>51</v>
      </c>
      <c r="D246" t="s">
        <v>273</v>
      </c>
      <c r="E246" s="47" t="s">
        <v>156</v>
      </c>
      <c r="F246" s="47" t="s">
        <v>733</v>
      </c>
      <c r="G246" t="str">
        <f>VLOOKUP(A:A,INVENTÁRIO_07_2025!A:A,1,0)</f>
        <v>SPRDAPNLBGRU01</v>
      </c>
    </row>
    <row r="247" spans="1:7">
      <c r="A247" s="47" t="s">
        <v>274</v>
      </c>
      <c r="B247" s="47" t="s">
        <v>61</v>
      </c>
      <c r="C247" s="47" t="s">
        <v>51</v>
      </c>
      <c r="D247" t="s">
        <v>273</v>
      </c>
      <c r="E247" s="47" t="s">
        <v>156</v>
      </c>
      <c r="F247" s="47" t="s">
        <v>733</v>
      </c>
      <c r="G247" t="str">
        <f>VLOOKUP(A:A,INVENTÁRIO_07_2025!A:A,1,0)</f>
        <v>SPRDAPNLBGRU02</v>
      </c>
    </row>
    <row r="248" spans="1:7">
      <c r="A248" t="s">
        <v>110</v>
      </c>
      <c r="B248" t="s">
        <v>50</v>
      </c>
      <c r="C248" t="s">
        <v>51</v>
      </c>
      <c r="D248" t="s">
        <v>111</v>
      </c>
      <c r="E248" t="s">
        <v>53</v>
      </c>
      <c r="F248" t="s">
        <v>67</v>
      </c>
      <c r="G248" t="str">
        <f>VLOOKUP(A:A,INVENTÁRIO_07_2025!A:A,1,0)</f>
        <v>SPRDAPCMSGRU06</v>
      </c>
    </row>
    <row r="249" spans="1:7">
      <c r="A249" s="47" t="s">
        <v>433</v>
      </c>
      <c r="B249" s="47" t="s">
        <v>61</v>
      </c>
      <c r="C249" s="47" t="s">
        <v>116</v>
      </c>
      <c r="D249" t="s">
        <v>174</v>
      </c>
      <c r="E249" s="47" t="s">
        <v>156</v>
      </c>
      <c r="F249" s="47" t="s">
        <v>327</v>
      </c>
      <c r="G249" t="str">
        <f>VLOOKUP(A:A,INVENTÁRIO_07_2025!A:A,1,0)</f>
        <v>SPRDAPNTPWGRU01</v>
      </c>
    </row>
    <row r="250" spans="1:7">
      <c r="A250" t="s">
        <v>112</v>
      </c>
      <c r="B250" t="s">
        <v>61</v>
      </c>
      <c r="C250" t="s">
        <v>51</v>
      </c>
      <c r="D250" t="s">
        <v>111</v>
      </c>
      <c r="E250" t="s">
        <v>53</v>
      </c>
      <c r="F250" t="s">
        <v>58</v>
      </c>
      <c r="G250" t="str">
        <f>VLOOKUP(A:A,INVENTÁRIO_07_2025!A:A,1,0)</f>
        <v>SPRDAPCMSGRU08</v>
      </c>
    </row>
    <row r="251" spans="1:7">
      <c r="A251" s="47" t="s">
        <v>335</v>
      </c>
      <c r="B251" s="47" t="s">
        <v>61</v>
      </c>
      <c r="C251" s="47" t="s">
        <v>51</v>
      </c>
      <c r="D251" t="s">
        <v>158</v>
      </c>
      <c r="E251" s="47" t="s">
        <v>156</v>
      </c>
      <c r="F251" s="47" t="s">
        <v>733</v>
      </c>
      <c r="G251" t="str">
        <f>VLOOKUP(A:A,INVENTÁRIO_07_2025!A:A,1,0)</f>
        <v>SPRDAPOCSGRU01</v>
      </c>
    </row>
    <row r="252" spans="1:7">
      <c r="A252" s="47" t="s">
        <v>434</v>
      </c>
      <c r="B252" s="47" t="s">
        <v>61</v>
      </c>
      <c r="C252" s="47" t="s">
        <v>116</v>
      </c>
      <c r="D252" t="s">
        <v>126</v>
      </c>
      <c r="E252" s="47" t="s">
        <v>156</v>
      </c>
      <c r="F252" s="47" t="s">
        <v>733</v>
      </c>
      <c r="G252" t="str">
        <f>VLOOKUP(A:A,INVENTÁRIO_07_2025!A:A,1,0)</f>
        <v>SPRDAPOMEGRU01</v>
      </c>
    </row>
    <row r="253" spans="1:7">
      <c r="A253" s="47" t="s">
        <v>435</v>
      </c>
      <c r="B253" s="47" t="s">
        <v>61</v>
      </c>
      <c r="C253" s="47" t="s">
        <v>116</v>
      </c>
      <c r="D253" t="s">
        <v>126</v>
      </c>
      <c r="E253" s="47" t="s">
        <v>156</v>
      </c>
      <c r="F253" s="47" t="s">
        <v>327</v>
      </c>
      <c r="G253" t="str">
        <f>VLOOKUP(A:A,INVENTÁRIO_07_2025!A:A,1,0)</f>
        <v>SPRDAPOMPCGRU01</v>
      </c>
    </row>
    <row r="254" spans="1:7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VLOOKUP(A:A,INVENTÁRIO_07_2025!A:A,1,0)</f>
        <v>SPRDAPOPCGRUB</v>
      </c>
    </row>
    <row r="255" spans="1:7">
      <c r="A255" s="47" t="s">
        <v>384</v>
      </c>
      <c r="B255" s="47" t="s">
        <v>61</v>
      </c>
      <c r="C255" s="47" t="s">
        <v>116</v>
      </c>
      <c r="D255" t="s">
        <v>122</v>
      </c>
      <c r="E255" s="47" t="s">
        <v>156</v>
      </c>
      <c r="F255" s="47" t="s">
        <v>327</v>
      </c>
      <c r="G255" t="str">
        <f>VLOOKUP(A:A,INVENTÁRIO_07_2025!A:A,1,0)</f>
        <v>SPRDAPPASGRU01</v>
      </c>
    </row>
    <row r="256" spans="1:7">
      <c r="A256" s="47" t="s">
        <v>436</v>
      </c>
      <c r="B256" s="47" t="s">
        <v>61</v>
      </c>
      <c r="C256" s="47" t="s">
        <v>116</v>
      </c>
      <c r="D256" t="s">
        <v>126</v>
      </c>
      <c r="E256" s="47" t="s">
        <v>156</v>
      </c>
      <c r="F256" s="47" t="s">
        <v>327</v>
      </c>
      <c r="G256" t="str">
        <f>VLOOKUP(A:A,INVENTÁRIO_07_2025!A:A,1,0)</f>
        <v>SPRDAPPAVGRU01</v>
      </c>
    </row>
    <row r="257" spans="1:7">
      <c r="A257" s="47" t="s">
        <v>256</v>
      </c>
      <c r="B257" s="47" t="s">
        <v>61</v>
      </c>
      <c r="C257" s="47" t="s">
        <v>116</v>
      </c>
      <c r="D257" t="s">
        <v>141</v>
      </c>
      <c r="E257" s="47" t="s">
        <v>156</v>
      </c>
      <c r="F257" s="47" t="s">
        <v>733</v>
      </c>
      <c r="G257" t="str">
        <f>VLOOKUP(A:A,INVENTÁRIO_07_2025!A:A,1,0)</f>
        <v>SPRDAPPEAGRU01</v>
      </c>
    </row>
    <row r="258" spans="1:7">
      <c r="A258" t="s">
        <v>98</v>
      </c>
      <c r="B258" t="s">
        <v>61</v>
      </c>
      <c r="C258" t="s">
        <v>51</v>
      </c>
      <c r="D258" t="s">
        <v>85</v>
      </c>
      <c r="E258" t="s">
        <v>53</v>
      </c>
      <c r="F258" t="s">
        <v>56</v>
      </c>
      <c r="G258" t="str">
        <f>VLOOKUP(A:A,INVENTÁRIO_07_2025!A:A,1,0)</f>
        <v>SPRDAPPIGRU01</v>
      </c>
    </row>
    <row r="259" spans="1:7">
      <c r="A259" t="s">
        <v>105</v>
      </c>
      <c r="B259" t="s">
        <v>61</v>
      </c>
      <c r="C259" t="s">
        <v>51</v>
      </c>
      <c r="D259" t="s">
        <v>85</v>
      </c>
      <c r="E259" t="s">
        <v>53</v>
      </c>
      <c r="F259" t="s">
        <v>58</v>
      </c>
      <c r="G259" t="str">
        <f>VLOOKUP(A:A,INVENTÁRIO_07_2025!A:A,1,0)</f>
        <v>SPRDAPPIGRU02</v>
      </c>
    </row>
    <row r="260" spans="1:7">
      <c r="A260" s="47" t="s">
        <v>303</v>
      </c>
      <c r="B260" s="47" t="s">
        <v>61</v>
      </c>
      <c r="C260" s="47" t="s">
        <v>51</v>
      </c>
      <c r="D260" t="s">
        <v>111</v>
      </c>
      <c r="E260" s="47" t="s">
        <v>156</v>
      </c>
      <c r="F260" s="47" t="s">
        <v>733</v>
      </c>
      <c r="G260" t="str">
        <f>VLOOKUP(A:A,INVENTÁRIO_07_2025!A:A,1,0)</f>
        <v>SPRDAPNMCGRU01</v>
      </c>
    </row>
    <row r="261" spans="1:7">
      <c r="A261" s="47" t="s">
        <v>541</v>
      </c>
      <c r="B261" s="47" t="s">
        <v>61</v>
      </c>
      <c r="C261" s="47" t="s">
        <v>51</v>
      </c>
      <c r="D261" t="s">
        <v>114</v>
      </c>
      <c r="E261" s="47" t="s">
        <v>156</v>
      </c>
      <c r="F261" s="47" t="s">
        <v>327</v>
      </c>
      <c r="G261" t="str">
        <f>VLOOKUP(A:A,INVENTÁRIO_07_2025!A:A,1,0)</f>
        <v>SPRDAPPRMGRU01</v>
      </c>
    </row>
    <row r="262" spans="1:7">
      <c r="A262" s="47" t="s">
        <v>485</v>
      </c>
      <c r="B262" s="47" t="s">
        <v>61</v>
      </c>
      <c r="C262" s="47" t="s">
        <v>116</v>
      </c>
      <c r="D262" t="s">
        <v>419</v>
      </c>
      <c r="E262" s="47" t="s">
        <v>156</v>
      </c>
      <c r="F262" s="47" t="s">
        <v>327</v>
      </c>
      <c r="G262" t="str">
        <f>VLOOKUP(A:A,INVENTÁRIO_07_2025!A:A,1,0)</f>
        <v>SPRDAPPSGRU03</v>
      </c>
    </row>
    <row r="263" spans="1:7">
      <c r="A263" s="47" t="s">
        <v>169</v>
      </c>
      <c r="B263" s="47" t="s">
        <v>61</v>
      </c>
      <c r="C263" s="47" t="s">
        <v>116</v>
      </c>
      <c r="D263" t="s">
        <v>117</v>
      </c>
      <c r="E263" s="47" t="s">
        <v>156</v>
      </c>
      <c r="F263" s="47" t="s">
        <v>733</v>
      </c>
      <c r="G263" t="str">
        <f>VLOOKUP(A:A,INVENTÁRIO_07_2025!A:A,1,0)</f>
        <v>SPRDAPPTCAGRU01</v>
      </c>
    </row>
    <row r="264" spans="1:7">
      <c r="A264" s="47" t="s">
        <v>170</v>
      </c>
      <c r="B264" s="47" t="s">
        <v>61</v>
      </c>
      <c r="C264" s="47" t="s">
        <v>116</v>
      </c>
      <c r="D264" t="s">
        <v>163</v>
      </c>
      <c r="E264" s="47" t="s">
        <v>156</v>
      </c>
      <c r="F264" s="47" t="s">
        <v>733</v>
      </c>
      <c r="G264" t="str">
        <f>VLOOKUP(A:A,INVENTÁRIO_07_2025!A:A,1,0)</f>
        <v>SPRDAPPVGRU02</v>
      </c>
    </row>
    <row r="265" spans="1:7">
      <c r="A265" s="47" t="s">
        <v>486</v>
      </c>
      <c r="B265" s="47" t="s">
        <v>61</v>
      </c>
      <c r="C265" s="47" t="s">
        <v>116</v>
      </c>
      <c r="D265" t="s">
        <v>136</v>
      </c>
      <c r="E265" s="47" t="s">
        <v>156</v>
      </c>
      <c r="F265" s="47" t="s">
        <v>327</v>
      </c>
      <c r="G265" t="str">
        <f>VLOOKUP(A:A,INVENTÁRIO_07_2025!A:A,1,0)</f>
        <v>SPRDAPPVGRU03</v>
      </c>
    </row>
    <row r="266" spans="1:7">
      <c r="A266" s="47" t="s">
        <v>386</v>
      </c>
      <c r="B266" s="47" t="s">
        <v>61</v>
      </c>
      <c r="C266" s="47" t="s">
        <v>116</v>
      </c>
      <c r="D266" t="s">
        <v>163</v>
      </c>
      <c r="E266" s="47" t="s">
        <v>156</v>
      </c>
      <c r="F266" s="47" t="s">
        <v>327</v>
      </c>
      <c r="G266" t="str">
        <f>VLOOKUP(A:A,INVENTÁRIO_07_2025!A:A,1,0)</f>
        <v>SPRDAPQUAGRU01</v>
      </c>
    </row>
    <row r="267" spans="1:7">
      <c r="A267" s="47" t="s">
        <v>230</v>
      </c>
      <c r="B267" s="47" t="s">
        <v>61</v>
      </c>
      <c r="C267" s="47" t="s">
        <v>116</v>
      </c>
      <c r="D267" t="s">
        <v>425</v>
      </c>
      <c r="E267" s="47" t="s">
        <v>156</v>
      </c>
      <c r="F267" s="47" t="s">
        <v>733</v>
      </c>
      <c r="G267" t="str">
        <f>VLOOKUP(A:A,INVENTÁRIO_07_2025!A:A,1,0)</f>
        <v>SPRDAPRADGRU01</v>
      </c>
    </row>
    <row r="268" spans="1:7">
      <c r="A268" s="47" t="s">
        <v>184</v>
      </c>
      <c r="B268" s="47" t="s">
        <v>61</v>
      </c>
      <c r="C268" s="47" t="s">
        <v>116</v>
      </c>
      <c r="D268" t="s">
        <v>126</v>
      </c>
      <c r="E268" s="47" t="s">
        <v>156</v>
      </c>
      <c r="F268" s="47" t="s">
        <v>733</v>
      </c>
      <c r="G268" t="str">
        <f>VLOOKUP(A:A,INVENTÁRIO_07_2025!A:A,1,0)</f>
        <v>SPRDAPRDGGRU01</v>
      </c>
    </row>
    <row r="269" spans="1:7">
      <c r="A269" s="47" t="s">
        <v>632</v>
      </c>
      <c r="B269" s="47" t="s">
        <v>61</v>
      </c>
      <c r="C269" s="47" t="s">
        <v>116</v>
      </c>
      <c r="D269" t="s">
        <v>572</v>
      </c>
      <c r="E269" s="47" t="s">
        <v>156</v>
      </c>
      <c r="F269" s="47" t="s">
        <v>733</v>
      </c>
      <c r="G269" t="str">
        <f>VLOOKUP(A:A,INVENTÁRIO_07_2025!A:A,1,0)</f>
        <v>SPRDAPRIMAGRU01</v>
      </c>
    </row>
    <row r="270" spans="1:7">
      <c r="A270" s="47" t="s">
        <v>542</v>
      </c>
      <c r="B270" s="47" t="s">
        <v>61</v>
      </c>
      <c r="C270" s="47" t="s">
        <v>51</v>
      </c>
      <c r="D270" t="s">
        <v>114</v>
      </c>
      <c r="E270" s="47" t="s">
        <v>156</v>
      </c>
      <c r="F270" s="47" t="s">
        <v>327</v>
      </c>
      <c r="G270" t="str">
        <f>VLOOKUP(A:A,INVENTÁRIO_07_2025!A:A,1,0)</f>
        <v>SPRDAPRMAGRU01</v>
      </c>
    </row>
    <row r="271" spans="1:7">
      <c r="A271" s="47" t="s">
        <v>543</v>
      </c>
      <c r="B271" s="47" t="s">
        <v>61</v>
      </c>
      <c r="C271" s="47" t="s">
        <v>51</v>
      </c>
      <c r="D271" t="s">
        <v>114</v>
      </c>
      <c r="E271" s="47" t="s">
        <v>156</v>
      </c>
      <c r="F271" s="47" t="s">
        <v>327</v>
      </c>
      <c r="G271" t="str">
        <f>VLOOKUP(A:A,INVENTÁRIO_07_2025!A:A,1,0)</f>
        <v>SPRDAPRMAGRU02</v>
      </c>
    </row>
    <row r="272" spans="1:7">
      <c r="A272" s="47" t="s">
        <v>544</v>
      </c>
      <c r="B272" s="47" t="s">
        <v>61</v>
      </c>
      <c r="C272" s="47" t="s">
        <v>51</v>
      </c>
      <c r="D272" t="s">
        <v>114</v>
      </c>
      <c r="E272" s="47" t="s">
        <v>156</v>
      </c>
      <c r="F272" s="47" t="s">
        <v>327</v>
      </c>
      <c r="G272" t="str">
        <f>VLOOKUP(A:A,INVENTÁRIO_07_2025!A:A,1,0)</f>
        <v>SPRDAPRMAGRU03</v>
      </c>
    </row>
    <row r="273" spans="1:7">
      <c r="A273" s="47" t="s">
        <v>309</v>
      </c>
      <c r="B273" s="47" t="s">
        <v>61</v>
      </c>
      <c r="C273" s="47" t="s">
        <v>51</v>
      </c>
      <c r="D273" t="s">
        <v>114</v>
      </c>
      <c r="E273" s="47" t="s">
        <v>156</v>
      </c>
      <c r="F273" s="47" t="s">
        <v>733</v>
      </c>
      <c r="G273" t="str">
        <f>VLOOKUP(A:A,INVENTÁRIO_07_2025!A:A,1,0)</f>
        <v>SPRDAPRMAGRU04</v>
      </c>
    </row>
    <row r="274" spans="1:7">
      <c r="A274" s="47" t="s">
        <v>545</v>
      </c>
      <c r="B274" s="47" t="s">
        <v>61</v>
      </c>
      <c r="C274" s="47" t="s">
        <v>51</v>
      </c>
      <c r="D274" t="s">
        <v>114</v>
      </c>
      <c r="E274" s="47" t="s">
        <v>156</v>
      </c>
      <c r="F274" s="47" t="s">
        <v>327</v>
      </c>
      <c r="G274" t="str">
        <f>VLOOKUP(A:A,INVENTÁRIO_07_2025!A:A,1,0)</f>
        <v>SPRDAPRMAGRU05</v>
      </c>
    </row>
    <row r="275" spans="1:7">
      <c r="A275" s="47" t="s">
        <v>487</v>
      </c>
      <c r="B275" s="47" t="s">
        <v>61</v>
      </c>
      <c r="C275" s="47" t="s">
        <v>116</v>
      </c>
      <c r="D275" t="s">
        <v>136</v>
      </c>
      <c r="E275" s="47" t="s">
        <v>156</v>
      </c>
      <c r="F275" s="47" t="s">
        <v>733</v>
      </c>
      <c r="G275" t="str">
        <f>VLOOKUP(A:A,INVENTÁRIO_07_2025!A:A,1,0)</f>
        <v>SPRDAPRMIGRU01</v>
      </c>
    </row>
    <row r="276" spans="1:7">
      <c r="A276" s="47" t="s">
        <v>437</v>
      </c>
      <c r="B276" s="47" t="s">
        <v>61</v>
      </c>
      <c r="C276" s="47" t="s">
        <v>116</v>
      </c>
      <c r="D276" t="s">
        <v>126</v>
      </c>
      <c r="E276" s="47" t="s">
        <v>156</v>
      </c>
      <c r="F276" s="47" t="s">
        <v>327</v>
      </c>
      <c r="G276" t="str">
        <f>VLOOKUP(A:A,INVENTÁRIO_07_2025!A:A,1,0)</f>
        <v>SPRDAPRPAGRU01</v>
      </c>
    </row>
    <row r="277" spans="1:7">
      <c r="A277" s="47" t="s">
        <v>488</v>
      </c>
      <c r="B277" s="47" t="s">
        <v>61</v>
      </c>
      <c r="C277" s="47" t="s">
        <v>116</v>
      </c>
      <c r="D277" t="s">
        <v>425</v>
      </c>
      <c r="E277" s="47" t="s">
        <v>156</v>
      </c>
      <c r="F277" s="47" t="s">
        <v>327</v>
      </c>
      <c r="G277" t="str">
        <f>VLOOKUP(A:A,INVENTÁRIO_07_2025!A:A,1,0)</f>
        <v>SPRDAPRPAGRU02</v>
      </c>
    </row>
    <row r="278" spans="1:7">
      <c r="A278" s="47" t="s">
        <v>489</v>
      </c>
      <c r="B278" s="47" t="s">
        <v>61</v>
      </c>
      <c r="C278" s="47" t="s">
        <v>116</v>
      </c>
      <c r="D278" t="s">
        <v>242</v>
      </c>
      <c r="E278" s="47" t="s">
        <v>156</v>
      </c>
      <c r="F278" s="47" t="s">
        <v>327</v>
      </c>
      <c r="G278" t="str">
        <f>VLOOKUP(A:A,INVENTÁRIO_07_2025!A:A,1,0)</f>
        <v>SPRDAPRPGRU07</v>
      </c>
    </row>
    <row r="279" spans="1:7">
      <c r="A279" s="47" t="s">
        <v>185</v>
      </c>
      <c r="B279" s="47" t="s">
        <v>61</v>
      </c>
      <c r="C279" s="47" t="s">
        <v>116</v>
      </c>
      <c r="D279" t="s">
        <v>174</v>
      </c>
      <c r="E279" s="47" t="s">
        <v>156</v>
      </c>
      <c r="F279" s="47" t="s">
        <v>733</v>
      </c>
      <c r="G279" t="str">
        <f>VLOOKUP(A:A,INVENTÁRIO_07_2025!A:A,1,0)</f>
        <v>SPRDAPRPGRU08</v>
      </c>
    </row>
    <row r="280" spans="1:7">
      <c r="A280" s="47" t="s">
        <v>312</v>
      </c>
      <c r="B280" s="47" t="s">
        <v>61</v>
      </c>
      <c r="C280" s="47" t="s">
        <v>51</v>
      </c>
      <c r="D280" t="s">
        <v>114</v>
      </c>
      <c r="E280" s="47" t="s">
        <v>156</v>
      </c>
      <c r="F280" s="47" t="s">
        <v>733</v>
      </c>
      <c r="G280" t="str">
        <f>VLOOKUP(A:A,INVENTÁRIO_07_2025!A:A,1,0)</f>
        <v>SPRDAPRPGRU09</v>
      </c>
    </row>
    <row r="281" spans="1:7">
      <c r="A281" s="47" t="s">
        <v>313</v>
      </c>
      <c r="B281" s="47" t="s">
        <v>61</v>
      </c>
      <c r="C281" s="47" t="s">
        <v>51</v>
      </c>
      <c r="D281" t="s">
        <v>114</v>
      </c>
      <c r="E281" s="47" t="s">
        <v>156</v>
      </c>
      <c r="F281" s="47" t="s">
        <v>733</v>
      </c>
      <c r="G281" t="str">
        <f>VLOOKUP(A:A,INVENTÁRIO_07_2025!A:A,1,0)</f>
        <v>SPRDAPRPGRU10</v>
      </c>
    </row>
    <row r="282" spans="1:7">
      <c r="A282" s="47" t="s">
        <v>581</v>
      </c>
      <c r="B282" s="47" t="s">
        <v>50</v>
      </c>
      <c r="C282" s="47" t="s">
        <v>51</v>
      </c>
      <c r="D282" t="s">
        <v>736</v>
      </c>
      <c r="E282" s="47" t="s">
        <v>156</v>
      </c>
      <c r="F282" s="47" t="s">
        <v>733</v>
      </c>
      <c r="G282" t="e">
        <f>VLOOKUP(A:A,INVENTÁRIO_07_2025!A:A,1,0)</f>
        <v>#N/A</v>
      </c>
    </row>
    <row r="283" spans="1:7">
      <c r="A283" s="47" t="s">
        <v>314</v>
      </c>
      <c r="B283" s="47" t="s">
        <v>61</v>
      </c>
      <c r="C283" s="47" t="s">
        <v>51</v>
      </c>
      <c r="D283" t="s">
        <v>114</v>
      </c>
      <c r="E283" s="47" t="s">
        <v>156</v>
      </c>
      <c r="F283" s="47" t="s">
        <v>733</v>
      </c>
      <c r="G283" t="str">
        <f>VLOOKUP(A:A,INVENTÁRIO_07_2025!A:A,1,0)</f>
        <v>SPRDAPRPGRU12</v>
      </c>
    </row>
    <row r="284" spans="1:7">
      <c r="A284" s="47" t="s">
        <v>546</v>
      </c>
      <c r="B284" s="47" t="s">
        <v>61</v>
      </c>
      <c r="C284" s="47" t="s">
        <v>51</v>
      </c>
      <c r="D284" t="s">
        <v>114</v>
      </c>
      <c r="E284" s="47" t="s">
        <v>156</v>
      </c>
      <c r="F284" s="47" t="s">
        <v>733</v>
      </c>
      <c r="G284" t="str">
        <f>VLOOKUP(A:A,INVENTÁRIO_07_2025!A:A,1,0)</f>
        <v>SPRDAPRPGRU13</v>
      </c>
    </row>
    <row r="285" spans="1:7">
      <c r="A285" s="47" t="s">
        <v>304</v>
      </c>
      <c r="B285" s="47" t="s">
        <v>61</v>
      </c>
      <c r="C285" s="47" t="s">
        <v>51</v>
      </c>
      <c r="D285" t="s">
        <v>111</v>
      </c>
      <c r="E285" s="47" t="s">
        <v>156</v>
      </c>
      <c r="F285" s="47" t="s">
        <v>733</v>
      </c>
      <c r="G285" t="str">
        <f>VLOOKUP(A:A,INVENTÁRIO_07_2025!A:A,1,0)</f>
        <v>SPRDAPNTWSGRU01</v>
      </c>
    </row>
    <row r="286" spans="1:7">
      <c r="A286" s="47" t="s">
        <v>305</v>
      </c>
      <c r="B286" s="47" t="s">
        <v>61</v>
      </c>
      <c r="C286" s="47" t="s">
        <v>51</v>
      </c>
      <c r="D286" t="s">
        <v>111</v>
      </c>
      <c r="E286" s="47" t="s">
        <v>156</v>
      </c>
      <c r="F286" s="47" t="s">
        <v>733</v>
      </c>
      <c r="G286" t="str">
        <f>VLOOKUP(A:A,INVENTÁRIO_07_2025!A:A,1,0)</f>
        <v>SPRDAPPOSTGRU01</v>
      </c>
    </row>
    <row r="287" spans="1:7">
      <c r="A287" s="47" t="s">
        <v>387</v>
      </c>
      <c r="B287" s="47" t="s">
        <v>61</v>
      </c>
      <c r="C287" s="47" t="s">
        <v>116</v>
      </c>
      <c r="D287" t="s">
        <v>122</v>
      </c>
      <c r="E287" s="47" t="s">
        <v>156</v>
      </c>
      <c r="F287" s="47" t="s">
        <v>327</v>
      </c>
      <c r="G287" t="str">
        <f>VLOOKUP(A:A,INVENTÁRIO_07_2025!A:A,1,0)</f>
        <v>SPRDAPRVGRU01</v>
      </c>
    </row>
    <row r="288" spans="1:7">
      <c r="A288" s="47" t="s">
        <v>231</v>
      </c>
      <c r="B288" s="47" t="s">
        <v>61</v>
      </c>
      <c r="C288" s="47" t="s">
        <v>116</v>
      </c>
      <c r="D288" t="s">
        <v>419</v>
      </c>
      <c r="E288" s="47" t="s">
        <v>156</v>
      </c>
      <c r="F288" s="47" t="s">
        <v>733</v>
      </c>
      <c r="G288" t="str">
        <f>VLOOKUP(A:A,INVENTÁRIO_07_2025!A:A,1,0)</f>
        <v>SPRDAPSAFGRU02</v>
      </c>
    </row>
    <row r="289" spans="1:7">
      <c r="A289" s="47" t="s">
        <v>438</v>
      </c>
      <c r="B289" s="47" t="s">
        <v>61</v>
      </c>
      <c r="C289" s="47" t="s">
        <v>116</v>
      </c>
      <c r="D289" t="s">
        <v>126</v>
      </c>
      <c r="E289" s="47" t="s">
        <v>156</v>
      </c>
      <c r="F289" s="47" t="s">
        <v>733</v>
      </c>
      <c r="G289" t="str">
        <f>VLOOKUP(A:A,INVENTÁRIO_07_2025!A:A,1,0)</f>
        <v>SPRDAPSAGRU01</v>
      </c>
    </row>
    <row r="290" spans="1:7">
      <c r="A290" s="47" t="s">
        <v>439</v>
      </c>
      <c r="B290" s="47" t="s">
        <v>61</v>
      </c>
      <c r="C290" s="47" t="s">
        <v>116</v>
      </c>
      <c r="D290" t="s">
        <v>126</v>
      </c>
      <c r="E290" s="47" t="s">
        <v>156</v>
      </c>
      <c r="F290" s="47" t="s">
        <v>327</v>
      </c>
      <c r="G290" t="str">
        <f>VLOOKUP(A:A,INVENTÁRIO_07_2025!A:A,1,0)</f>
        <v>SPRDAPSAMGRU01</v>
      </c>
    </row>
    <row r="291" spans="1:7">
      <c r="A291" s="47" t="s">
        <v>440</v>
      </c>
      <c r="B291" s="47" t="s">
        <v>61</v>
      </c>
      <c r="C291" s="47" t="s">
        <v>116</v>
      </c>
      <c r="D291" t="s">
        <v>126</v>
      </c>
      <c r="E291" s="47" t="s">
        <v>156</v>
      </c>
      <c r="F291" s="47" t="s">
        <v>327</v>
      </c>
      <c r="G291" t="str">
        <f>VLOOKUP(A:A,INVENTÁRIO_07_2025!A:A,1,0)</f>
        <v>SPRDAPSAMGRU02</v>
      </c>
    </row>
    <row r="292" spans="1:7">
      <c r="A292" s="47" t="s">
        <v>186</v>
      </c>
      <c r="B292" s="47" t="s">
        <v>61</v>
      </c>
      <c r="C292" s="47" t="s">
        <v>116</v>
      </c>
      <c r="D292" t="s">
        <v>174</v>
      </c>
      <c r="E292" s="47" t="s">
        <v>156</v>
      </c>
      <c r="F292" s="47" t="s">
        <v>733</v>
      </c>
      <c r="G292" t="str">
        <f>VLOOKUP(A:A,INVENTÁRIO_07_2025!A:A,1,0)</f>
        <v>SPRDAPSAPGRU01</v>
      </c>
    </row>
    <row r="293" spans="1:7">
      <c r="A293" s="47" t="s">
        <v>441</v>
      </c>
      <c r="B293" s="47" t="s">
        <v>61</v>
      </c>
      <c r="C293" s="47" t="s">
        <v>116</v>
      </c>
      <c r="D293" t="s">
        <v>126</v>
      </c>
      <c r="E293" s="47" t="s">
        <v>156</v>
      </c>
      <c r="F293" s="47" t="s">
        <v>327</v>
      </c>
      <c r="G293" t="str">
        <f>VLOOKUP(A:A,INVENTÁRIO_07_2025!A:A,1,0)</f>
        <v>SPRDAPSATGRU01</v>
      </c>
    </row>
    <row r="294" spans="1:7">
      <c r="A294" s="47" t="s">
        <v>491</v>
      </c>
      <c r="B294" s="47" t="s">
        <v>61</v>
      </c>
      <c r="C294" s="47" t="s">
        <v>116</v>
      </c>
      <c r="D294" t="s">
        <v>425</v>
      </c>
      <c r="E294" s="47" t="s">
        <v>156</v>
      </c>
      <c r="F294" s="47" t="s">
        <v>327</v>
      </c>
      <c r="G294" t="str">
        <f>VLOOKUP(A:A,INVENTÁRIO_07_2025!A:A,1,0)</f>
        <v>SPRDAPSCOGRU03</v>
      </c>
    </row>
    <row r="295" spans="1:7">
      <c r="A295" s="47" t="s">
        <v>659</v>
      </c>
      <c r="B295" s="47" t="s">
        <v>61</v>
      </c>
      <c r="C295" s="47" t="s">
        <v>116</v>
      </c>
      <c r="D295" t="s">
        <v>572</v>
      </c>
      <c r="E295" s="47" t="s">
        <v>156</v>
      </c>
      <c r="F295" s="47" t="s">
        <v>733</v>
      </c>
      <c r="G295" t="str">
        <f>VLOOKUP(A:A,INVENTÁRIO_07_2025!A:A,1,0)</f>
        <v>SPRDAPSGPAGRU01</v>
      </c>
    </row>
    <row r="296" spans="1:7">
      <c r="A296" s="47" t="s">
        <v>390</v>
      </c>
      <c r="B296" s="47" t="s">
        <v>61</v>
      </c>
      <c r="C296" s="47" t="s">
        <v>116</v>
      </c>
      <c r="D296" t="s">
        <v>126</v>
      </c>
      <c r="E296" s="47" t="s">
        <v>156</v>
      </c>
      <c r="F296" s="47" t="s">
        <v>327</v>
      </c>
      <c r="G296" t="str">
        <f>VLOOKUP(A:A,INVENTÁRIO_07_2025!A:A,1,0)</f>
        <v>SPRDAPSHPGRU01</v>
      </c>
    </row>
    <row r="297" spans="1:7">
      <c r="A297" t="s">
        <v>99</v>
      </c>
      <c r="B297" t="s">
        <v>61</v>
      </c>
      <c r="C297" t="s">
        <v>51</v>
      </c>
      <c r="D297" t="s">
        <v>85</v>
      </c>
      <c r="E297" t="s">
        <v>53</v>
      </c>
      <c r="F297" t="s">
        <v>56</v>
      </c>
      <c r="G297" t="str">
        <f>VLOOKUP(A:A,INVENTÁRIO_07_2025!A:A,1,0)</f>
        <v>SPRDAPSMGRU01</v>
      </c>
    </row>
    <row r="298" spans="1:7">
      <c r="A298" t="s">
        <v>106</v>
      </c>
      <c r="B298" t="s">
        <v>61</v>
      </c>
      <c r="C298" t="s">
        <v>51</v>
      </c>
      <c r="D298" t="s">
        <v>85</v>
      </c>
      <c r="E298" t="s">
        <v>53</v>
      </c>
      <c r="F298" t="s">
        <v>58</v>
      </c>
      <c r="G298" t="str">
        <f>VLOOKUP(A:A,INVENTÁRIO_07_2025!A:A,1,0)</f>
        <v>SPRDAPSMGRU02</v>
      </c>
    </row>
    <row r="299" spans="1:7">
      <c r="A299" s="47" t="s">
        <v>281</v>
      </c>
      <c r="B299" s="47" t="s">
        <v>61</v>
      </c>
      <c r="C299" s="47" t="s">
        <v>51</v>
      </c>
      <c r="D299" t="s">
        <v>280</v>
      </c>
      <c r="E299" s="47" t="s">
        <v>156</v>
      </c>
      <c r="F299" s="47" t="s">
        <v>733</v>
      </c>
      <c r="G299" t="str">
        <f>VLOOKUP(A:A,INVENTÁRIO_07_2025!A:A,1,0)</f>
        <v>SPRDAPSMSGRU02</v>
      </c>
    </row>
    <row r="300" spans="1:7">
      <c r="A300" s="47" t="s">
        <v>691</v>
      </c>
      <c r="B300" s="47" t="s">
        <v>61</v>
      </c>
      <c r="C300" s="47" t="s">
        <v>51</v>
      </c>
      <c r="D300" t="s">
        <v>295</v>
      </c>
      <c r="E300" s="47" t="s">
        <v>156</v>
      </c>
      <c r="F300" s="47" t="s">
        <v>733</v>
      </c>
      <c r="G300" t="str">
        <f>VLOOKUP(A:A,INVENTÁRIO_07_2025!A:A,1,0)</f>
        <v>SPRDAPSPGGRU01</v>
      </c>
    </row>
    <row r="301" spans="1:7">
      <c r="A301" s="47" t="s">
        <v>692</v>
      </c>
      <c r="B301" s="47" t="s">
        <v>61</v>
      </c>
      <c r="C301" s="47" t="s">
        <v>51</v>
      </c>
      <c r="D301" t="s">
        <v>295</v>
      </c>
      <c r="E301" s="47" t="s">
        <v>156</v>
      </c>
      <c r="F301" s="47" t="s">
        <v>733</v>
      </c>
      <c r="G301" t="str">
        <f>VLOOKUP(A:A,INVENTÁRIO_07_2025!A:A,1,0)</f>
        <v>SPRDAPSQBGRU01</v>
      </c>
    </row>
    <row r="302" spans="1:7">
      <c r="A302" s="47" t="s">
        <v>154</v>
      </c>
      <c r="B302" s="47" t="s">
        <v>61</v>
      </c>
      <c r="C302" s="47" t="s">
        <v>51</v>
      </c>
      <c r="D302" t="s">
        <v>155</v>
      </c>
      <c r="E302" s="47" t="s">
        <v>156</v>
      </c>
      <c r="F302" s="47" t="s">
        <v>733</v>
      </c>
      <c r="G302" t="str">
        <f>VLOOKUP(A:A,INVENTÁRIO_07_2025!A:A,1,0)</f>
        <v>SPRDAPSSAGRU01</v>
      </c>
    </row>
    <row r="303" spans="1:7">
      <c r="A303" s="47" t="s">
        <v>284</v>
      </c>
      <c r="B303" s="47" t="s">
        <v>61</v>
      </c>
      <c r="C303" s="47" t="s">
        <v>51</v>
      </c>
      <c r="D303" t="s">
        <v>285</v>
      </c>
      <c r="E303" s="47" t="s">
        <v>156</v>
      </c>
      <c r="F303" s="47" t="s">
        <v>733</v>
      </c>
      <c r="G303" t="str">
        <f>VLOOKUP(A:A,INVENTÁRIO_07_2025!A:A,1,0)</f>
        <v>SPRDAPSSGRU01</v>
      </c>
    </row>
    <row r="304" spans="1:7">
      <c r="A304" s="47" t="s">
        <v>286</v>
      </c>
      <c r="B304" s="47" t="s">
        <v>61</v>
      </c>
      <c r="C304" s="47" t="s">
        <v>51</v>
      </c>
      <c r="D304" t="s">
        <v>285</v>
      </c>
      <c r="E304" s="47" t="s">
        <v>156</v>
      </c>
      <c r="F304" s="47" t="s">
        <v>733</v>
      </c>
      <c r="G304" t="str">
        <f>VLOOKUP(A:A,INVENTÁRIO_07_2025!A:A,1,0)</f>
        <v>SPRDAPSSGRU02</v>
      </c>
    </row>
    <row r="305" spans="1:7">
      <c r="A305" t="s">
        <v>113</v>
      </c>
      <c r="B305" t="s">
        <v>61</v>
      </c>
      <c r="C305" t="s">
        <v>51</v>
      </c>
      <c r="D305" t="s">
        <v>114</v>
      </c>
      <c r="E305" t="s">
        <v>53</v>
      </c>
      <c r="F305" t="s">
        <v>56</v>
      </c>
      <c r="G305" t="str">
        <f>VLOOKUP(A:A,INVENTÁRIO_07_2025!A:A,1,0)</f>
        <v>SPRDAPSSHGRU01</v>
      </c>
    </row>
    <row r="306" spans="1:7">
      <c r="A306" s="47" t="s">
        <v>301</v>
      </c>
      <c r="B306" s="47" t="s">
        <v>61</v>
      </c>
      <c r="C306" s="47" t="s">
        <v>51</v>
      </c>
      <c r="D306" t="s">
        <v>111</v>
      </c>
      <c r="E306" s="47" t="s">
        <v>156</v>
      </c>
      <c r="F306" s="47" t="s">
        <v>733</v>
      </c>
      <c r="G306" t="str">
        <f>VLOOKUP(A:A,INVENTÁRIO_07_2025!A:A,1,0)</f>
        <v>SPRDAPRPGRU14</v>
      </c>
    </row>
    <row r="307" spans="1:7">
      <c r="A307" s="47" t="s">
        <v>493</v>
      </c>
      <c r="B307" s="47" t="s">
        <v>61</v>
      </c>
      <c r="C307" s="47" t="s">
        <v>116</v>
      </c>
      <c r="D307" t="s">
        <v>136</v>
      </c>
      <c r="E307" s="47" t="s">
        <v>156</v>
      </c>
      <c r="F307" s="47" t="s">
        <v>733</v>
      </c>
      <c r="G307" t="str">
        <f>VLOOKUP(A:A,INVENTÁRIO_07_2025!A:A,1,0)</f>
        <v>SPRDAPSTGGRU01</v>
      </c>
    </row>
    <row r="308" spans="1:7">
      <c r="A308" s="47" t="s">
        <v>391</v>
      </c>
      <c r="B308" s="47" t="s">
        <v>61</v>
      </c>
      <c r="C308" s="47" t="s">
        <v>116</v>
      </c>
      <c r="D308" t="s">
        <v>117</v>
      </c>
      <c r="E308" s="47" t="s">
        <v>156</v>
      </c>
      <c r="F308" s="47" t="s">
        <v>327</v>
      </c>
      <c r="G308" t="str">
        <f>VLOOKUP(A:A,INVENTÁRIO_07_2025!A:A,1,0)</f>
        <v>SPRDAPSTWBGRU01</v>
      </c>
    </row>
    <row r="309" spans="1:7">
      <c r="A309" s="47" t="s">
        <v>392</v>
      </c>
      <c r="B309" s="47" t="s">
        <v>61</v>
      </c>
      <c r="C309" s="47" t="s">
        <v>116</v>
      </c>
      <c r="D309" t="s">
        <v>122</v>
      </c>
      <c r="E309" s="47" t="s">
        <v>156</v>
      </c>
      <c r="F309" s="47" t="s">
        <v>327</v>
      </c>
      <c r="G309" t="str">
        <f>VLOOKUP(A:A,INVENTÁRIO_07_2025!A:A,1,0)</f>
        <v>SPRDAPSTWBGRU03</v>
      </c>
    </row>
    <row r="310" spans="1:7">
      <c r="A310" s="47" t="s">
        <v>494</v>
      </c>
      <c r="B310" s="47" t="s">
        <v>61</v>
      </c>
      <c r="C310" s="47" t="s">
        <v>116</v>
      </c>
      <c r="D310" t="s">
        <v>419</v>
      </c>
      <c r="E310" s="47" t="s">
        <v>156</v>
      </c>
      <c r="F310" s="47" t="s">
        <v>327</v>
      </c>
      <c r="G310" t="str">
        <f>VLOOKUP(A:A,INVENTÁRIO_07_2025!A:A,1,0)</f>
        <v>SPRDAPSVNGRU01</v>
      </c>
    </row>
    <row r="311" spans="1:7">
      <c r="A311" t="s">
        <v>55</v>
      </c>
      <c r="B311" t="s">
        <v>50</v>
      </c>
      <c r="C311" t="s">
        <v>51</v>
      </c>
      <c r="D311" t="s">
        <v>52</v>
      </c>
      <c r="E311" t="s">
        <v>53</v>
      </c>
      <c r="F311" t="s">
        <v>56</v>
      </c>
      <c r="G311" t="str">
        <f>VLOOKUP(A:A,INVENTÁRIO_07_2025!A:A,1,0)</f>
        <v>SPRDAPTRGRU01</v>
      </c>
    </row>
    <row r="312" spans="1:7">
      <c r="A312" s="47" t="s">
        <v>495</v>
      </c>
      <c r="B312" s="47" t="s">
        <v>61</v>
      </c>
      <c r="C312" s="47" t="s">
        <v>116</v>
      </c>
      <c r="D312" t="s">
        <v>419</v>
      </c>
      <c r="E312" s="47" t="s">
        <v>156</v>
      </c>
      <c r="F312" s="47" t="s">
        <v>733</v>
      </c>
      <c r="G312" t="str">
        <f>VLOOKUP(A:A,INVENTÁRIO_07_2025!A:A,1,0)</f>
        <v>SPRDAPTSGRU01</v>
      </c>
    </row>
    <row r="313" spans="1:7">
      <c r="A313" s="47" t="s">
        <v>232</v>
      </c>
      <c r="B313" s="47" t="s">
        <v>61</v>
      </c>
      <c r="C313" s="47" t="s">
        <v>116</v>
      </c>
      <c r="D313" t="s">
        <v>419</v>
      </c>
      <c r="E313" s="47" t="s">
        <v>156</v>
      </c>
      <c r="F313" s="47" t="s">
        <v>733</v>
      </c>
      <c r="G313" t="str">
        <f>VLOOKUP(A:A,INVENTÁRIO_07_2025!A:A,1,0)</f>
        <v>SPRDAPTSGRU03</v>
      </c>
    </row>
    <row r="314" spans="1:7">
      <c r="A314" s="47" t="s">
        <v>233</v>
      </c>
      <c r="B314" s="47" t="s">
        <v>61</v>
      </c>
      <c r="C314" s="47" t="s">
        <v>116</v>
      </c>
      <c r="D314" t="s">
        <v>419</v>
      </c>
      <c r="E314" s="47" t="s">
        <v>156</v>
      </c>
      <c r="F314" s="47" t="s">
        <v>733</v>
      </c>
      <c r="G314" t="str">
        <f>VLOOKUP(A:A,INVENTÁRIO_07_2025!A:A,1,0)</f>
        <v>SPRDAPTSGRU04</v>
      </c>
    </row>
    <row r="315" spans="1:7">
      <c r="A315" s="47" t="s">
        <v>547</v>
      </c>
      <c r="B315" s="47" t="s">
        <v>61</v>
      </c>
      <c r="C315" s="47" t="s">
        <v>51</v>
      </c>
      <c r="D315" t="s">
        <v>114</v>
      </c>
      <c r="E315" s="47" t="s">
        <v>156</v>
      </c>
      <c r="F315" s="47" t="s">
        <v>733</v>
      </c>
      <c r="G315" t="str">
        <f>VLOOKUP(A:A,INVENTÁRIO_07_2025!A:A,1,0)</f>
        <v>SPRDAPTSGRU05</v>
      </c>
    </row>
    <row r="316" spans="1:7">
      <c r="A316" s="47" t="s">
        <v>496</v>
      </c>
      <c r="B316" s="47" t="s">
        <v>61</v>
      </c>
      <c r="C316" s="47" t="s">
        <v>116</v>
      </c>
      <c r="D316" t="s">
        <v>419</v>
      </c>
      <c r="E316" s="47" t="s">
        <v>156</v>
      </c>
      <c r="F316" s="47" t="s">
        <v>327</v>
      </c>
      <c r="G316" t="str">
        <f>VLOOKUP(A:A,INVENTÁRIO_07_2025!A:A,1,0)</f>
        <v>SPRDAPUPSGRU01</v>
      </c>
    </row>
    <row r="317" spans="1:7">
      <c r="A317" s="47" t="s">
        <v>554</v>
      </c>
      <c r="B317" s="47" t="s">
        <v>61</v>
      </c>
      <c r="C317" s="47" t="s">
        <v>51</v>
      </c>
      <c r="D317" t="s">
        <v>555</v>
      </c>
      <c r="E317" s="47" t="s">
        <v>156</v>
      </c>
      <c r="F317" s="47" t="s">
        <v>327</v>
      </c>
      <c r="G317" t="str">
        <f>VLOOKUP(A:A,INVENTÁRIO_07_2025!A:A,1,0)</f>
        <v>SPRDAPVCSAGRU01</v>
      </c>
    </row>
    <row r="318" spans="1:7">
      <c r="A318" s="47" t="s">
        <v>720</v>
      </c>
      <c r="B318" s="47" t="s">
        <v>61</v>
      </c>
      <c r="C318" s="47" t="s">
        <v>116</v>
      </c>
      <c r="D318" t="s">
        <v>734</v>
      </c>
      <c r="E318" s="47" t="s">
        <v>156</v>
      </c>
      <c r="F318" s="47" t="s">
        <v>733</v>
      </c>
      <c r="G318" t="e">
        <f>VLOOKUP(A:A,INVENTÁRIO_07_2025!A:A,1,0)</f>
        <v>#N/A</v>
      </c>
    </row>
    <row r="319" spans="1:7">
      <c r="A319" s="47" t="s">
        <v>306</v>
      </c>
      <c r="B319" s="47" t="s">
        <v>61</v>
      </c>
      <c r="C319" s="47" t="s">
        <v>51</v>
      </c>
      <c r="D319" t="s">
        <v>276</v>
      </c>
      <c r="E319" s="47" t="s">
        <v>156</v>
      </c>
      <c r="F319" s="47" t="s">
        <v>733</v>
      </c>
      <c r="G319" t="str">
        <f>VLOOKUP(A:A,INVENTÁRIO_07_2025!A:A,1,0)</f>
        <v>SPRDAPVPRGRU01</v>
      </c>
    </row>
    <row r="320" spans="1:7">
      <c r="A320" s="47" t="s">
        <v>307</v>
      </c>
      <c r="B320" s="47" t="s">
        <v>61</v>
      </c>
      <c r="C320" s="47" t="s">
        <v>51</v>
      </c>
      <c r="D320" t="s">
        <v>276</v>
      </c>
      <c r="E320" s="47" t="s">
        <v>156</v>
      </c>
      <c r="F320" s="47" t="s">
        <v>733</v>
      </c>
      <c r="G320" t="str">
        <f>VLOOKUP(A:A,INVENTÁRIO_07_2025!A:A,1,0)</f>
        <v>SPRDAPVPRGRU02</v>
      </c>
    </row>
    <row r="321" spans="1:7">
      <c r="A321" s="47" t="s">
        <v>534</v>
      </c>
      <c r="B321" s="47" t="s">
        <v>61</v>
      </c>
      <c r="C321" s="47" t="s">
        <v>51</v>
      </c>
      <c r="D321" t="s">
        <v>276</v>
      </c>
      <c r="E321" s="47" t="s">
        <v>156</v>
      </c>
      <c r="F321" s="47" t="s">
        <v>327</v>
      </c>
      <c r="G321" t="str">
        <f>VLOOKUP(A:A,INVENTÁRIO_07_2025!A:A,1,0)</f>
        <v>SPRDAPVPRGRU03</v>
      </c>
    </row>
    <row r="322" spans="1:7">
      <c r="A322" s="47" t="s">
        <v>535</v>
      </c>
      <c r="B322" s="47" t="s">
        <v>61</v>
      </c>
      <c r="C322" s="47" t="s">
        <v>51</v>
      </c>
      <c r="D322" t="s">
        <v>276</v>
      </c>
      <c r="E322" s="47" t="s">
        <v>156</v>
      </c>
      <c r="F322" s="47" t="s">
        <v>327</v>
      </c>
      <c r="G322" t="str">
        <f>VLOOKUP(A:A,INVENTÁRIO_07_2025!A:A,1,0)</f>
        <v>SPRDAPVPRGRU04</v>
      </c>
    </row>
    <row r="323" spans="1:7">
      <c r="A323" s="47" t="s">
        <v>536</v>
      </c>
      <c r="B323" s="47" t="s">
        <v>61</v>
      </c>
      <c r="C323" s="47" t="s">
        <v>51</v>
      </c>
      <c r="D323" t="s">
        <v>276</v>
      </c>
      <c r="E323" s="47" t="s">
        <v>156</v>
      </c>
      <c r="F323" s="47" t="s">
        <v>327</v>
      </c>
      <c r="G323" t="str">
        <f>VLOOKUP(A:A,INVENTÁRIO_07_2025!A:A,1,0)</f>
        <v>SPRDAPVPRGRU05</v>
      </c>
    </row>
    <row r="324" spans="1:7">
      <c r="A324" s="47" t="s">
        <v>537</v>
      </c>
      <c r="B324" s="47" t="s">
        <v>61</v>
      </c>
      <c r="C324" s="47" t="s">
        <v>51</v>
      </c>
      <c r="D324" t="s">
        <v>276</v>
      </c>
      <c r="E324" s="47" t="s">
        <v>156</v>
      </c>
      <c r="F324" s="47" t="s">
        <v>327</v>
      </c>
      <c r="G324" t="str">
        <f>VLOOKUP(A:A,INVENTÁRIO_07_2025!A:A,1,0)</f>
        <v>SPRDAPVPRGRU06</v>
      </c>
    </row>
    <row r="325" spans="1:7">
      <c r="A325" s="47" t="s">
        <v>650</v>
      </c>
      <c r="B325" s="47" t="s">
        <v>61</v>
      </c>
      <c r="C325" s="47" t="s">
        <v>51</v>
      </c>
      <c r="D325" t="s">
        <v>276</v>
      </c>
      <c r="E325" s="47" t="s">
        <v>156</v>
      </c>
      <c r="F325" s="47" t="s">
        <v>327</v>
      </c>
      <c r="G325" t="str">
        <f>VLOOKUP(A:A,INVENTÁRIO_07_2025!A:A,1,0)</f>
        <v>SPRDAPVPRGRU07</v>
      </c>
    </row>
    <row r="326" spans="1:7">
      <c r="A326" s="47" t="s">
        <v>443</v>
      </c>
      <c r="B326" s="47" t="s">
        <v>61</v>
      </c>
      <c r="C326" s="47" t="s">
        <v>116</v>
      </c>
      <c r="D326" t="s">
        <v>129</v>
      </c>
      <c r="E326" s="47" t="s">
        <v>156</v>
      </c>
      <c r="F326" s="47" t="s">
        <v>327</v>
      </c>
      <c r="G326" t="str">
        <f>VLOOKUP(A:A,INVENTÁRIO_07_2025!A:A,1,0)</f>
        <v>SPRDAPVPXGRU01</v>
      </c>
    </row>
    <row r="327" spans="1:7">
      <c r="A327" s="47" t="s">
        <v>444</v>
      </c>
      <c r="B327" s="47" t="s">
        <v>61</v>
      </c>
      <c r="C327" s="47" t="s">
        <v>116</v>
      </c>
      <c r="D327" t="s">
        <v>129</v>
      </c>
      <c r="E327" s="47" t="s">
        <v>156</v>
      </c>
      <c r="F327" s="47" t="s">
        <v>327</v>
      </c>
      <c r="G327" t="str">
        <f>VLOOKUP(A:A,INVENTÁRIO_07_2025!A:A,1,0)</f>
        <v>SPRDAPVPXGRU02</v>
      </c>
    </row>
    <row r="328" spans="1:7">
      <c r="A328" s="47" t="s">
        <v>445</v>
      </c>
      <c r="B328" s="47" t="s">
        <v>61</v>
      </c>
      <c r="C328" s="47" t="s">
        <v>116</v>
      </c>
      <c r="D328" t="s">
        <v>129</v>
      </c>
      <c r="E328" s="47" t="s">
        <v>156</v>
      </c>
      <c r="F328" s="47" t="s">
        <v>327</v>
      </c>
      <c r="G328" t="str">
        <f>VLOOKUP(A:A,INVENTÁRIO_07_2025!A:A,1,0)</f>
        <v>SPRDAPVPXGRU03</v>
      </c>
    </row>
    <row r="329" spans="1:7">
      <c r="A329" s="47" t="s">
        <v>446</v>
      </c>
      <c r="B329" s="47" t="s">
        <v>61</v>
      </c>
      <c r="C329" s="47" t="s">
        <v>116</v>
      </c>
      <c r="D329" t="s">
        <v>129</v>
      </c>
      <c r="E329" s="47" t="s">
        <v>156</v>
      </c>
      <c r="F329" s="47" t="s">
        <v>327</v>
      </c>
      <c r="G329" t="str">
        <f>VLOOKUP(A:A,INVENTÁRIO_07_2025!A:A,1,0)</f>
        <v>SPRDAPVPXGRU04</v>
      </c>
    </row>
    <row r="330" spans="1:7">
      <c r="A330" s="47" t="s">
        <v>393</v>
      </c>
      <c r="B330" s="47" t="s">
        <v>61</v>
      </c>
      <c r="C330" s="47" t="s">
        <v>116</v>
      </c>
      <c r="D330" t="s">
        <v>117</v>
      </c>
      <c r="E330" s="47" t="s">
        <v>156</v>
      </c>
      <c r="F330" s="47" t="s">
        <v>327</v>
      </c>
      <c r="G330" t="str">
        <f>VLOOKUP(A:A,INVENTÁRIO_07_2025!A:A,1,0)</f>
        <v>SPRDAPWEBGRU01</v>
      </c>
    </row>
    <row r="331" spans="1:7">
      <c r="A331" s="47" t="s">
        <v>394</v>
      </c>
      <c r="B331" s="47" t="s">
        <v>61</v>
      </c>
      <c r="C331" s="47" t="s">
        <v>116</v>
      </c>
      <c r="D331" t="s">
        <v>117</v>
      </c>
      <c r="E331" s="47" t="s">
        <v>156</v>
      </c>
      <c r="F331" s="47" t="s">
        <v>327</v>
      </c>
      <c r="G331" t="str">
        <f>VLOOKUP(A:A,INVENTÁRIO_07_2025!A:A,1,0)</f>
        <v>SPRDAPWEBGRU02</v>
      </c>
    </row>
    <row r="332" spans="1:7">
      <c r="A332" s="47" t="s">
        <v>447</v>
      </c>
      <c r="B332" s="47" t="s">
        <v>61</v>
      </c>
      <c r="C332" s="47" t="s">
        <v>116</v>
      </c>
      <c r="D332" t="s">
        <v>425</v>
      </c>
      <c r="E332" s="47" t="s">
        <v>156</v>
      </c>
      <c r="F332" s="47" t="s">
        <v>327</v>
      </c>
      <c r="G332" t="str">
        <f>VLOOKUP(A:A,INVENTÁRIO_07_2025!A:A,1,0)</f>
        <v>SPRDAPWSGRU02</v>
      </c>
    </row>
    <row r="333" spans="1:7">
      <c r="A333" s="47" t="s">
        <v>395</v>
      </c>
      <c r="B333" s="47" t="s">
        <v>61</v>
      </c>
      <c r="C333" s="47" t="s">
        <v>116</v>
      </c>
      <c r="D333" t="s">
        <v>122</v>
      </c>
      <c r="E333" s="47" t="s">
        <v>156</v>
      </c>
      <c r="F333" s="47" t="s">
        <v>327</v>
      </c>
      <c r="G333" t="str">
        <f>VLOOKUP(A:A,INVENTÁRIO_07_2025!A:A,1,0)</f>
        <v>SPRDAUTGRU02</v>
      </c>
    </row>
    <row r="334" spans="1:7">
      <c r="A334" s="47" t="s">
        <v>234</v>
      </c>
      <c r="B334" s="47" t="s">
        <v>61</v>
      </c>
      <c r="C334" s="47" t="s">
        <v>116</v>
      </c>
      <c r="D334" t="s">
        <v>425</v>
      </c>
      <c r="E334" s="47" t="s">
        <v>156</v>
      </c>
      <c r="F334" s="47" t="s">
        <v>733</v>
      </c>
      <c r="G334" t="str">
        <f>VLOOKUP(A:A,INVENTÁRIO_07_2025!A:A,1,0)</f>
        <v>SPRDAZADGRU01</v>
      </c>
    </row>
    <row r="335" spans="1:7">
      <c r="A335" s="47" t="s">
        <v>333</v>
      </c>
      <c r="B335" s="47" t="s">
        <v>61</v>
      </c>
      <c r="C335" s="47" t="s">
        <v>51</v>
      </c>
      <c r="D335" t="s">
        <v>329</v>
      </c>
      <c r="E335" s="47" t="s">
        <v>156</v>
      </c>
      <c r="F335" s="47" t="s">
        <v>327</v>
      </c>
      <c r="G335" t="str">
        <f>VLOOKUP(A:A,INVENTÁRIO_07_2025!A:A,1,0)</f>
        <v>SPRDBDDACGRU01</v>
      </c>
    </row>
    <row r="336" spans="1:7">
      <c r="A336" s="47" t="s">
        <v>235</v>
      </c>
      <c r="B336" s="47" t="s">
        <v>61</v>
      </c>
      <c r="C336" s="47" t="s">
        <v>116</v>
      </c>
      <c r="D336" t="s">
        <v>136</v>
      </c>
      <c r="E336" s="47" t="s">
        <v>156</v>
      </c>
      <c r="F336" s="47" t="s">
        <v>733</v>
      </c>
      <c r="G336" t="str">
        <f>VLOOKUP(A:A,INVENTÁRIO_07_2025!A:A,1,0)</f>
        <v>SPRDBDHSQLGRU06</v>
      </c>
    </row>
    <row r="337" spans="1:7">
      <c r="A337" s="47" t="s">
        <v>582</v>
      </c>
      <c r="B337" s="47" t="s">
        <v>61</v>
      </c>
      <c r="C337" s="47" t="s">
        <v>116</v>
      </c>
      <c r="D337" t="s">
        <v>572</v>
      </c>
      <c r="E337" s="47" t="s">
        <v>156</v>
      </c>
      <c r="F337" s="47" t="s">
        <v>733</v>
      </c>
      <c r="G337" t="str">
        <f>VLOOKUP(A:A,INVENTÁRIO_07_2025!A:A,1,0)</f>
        <v>SPRDBDHSQLGRU07</v>
      </c>
    </row>
    <row r="338" spans="1:7">
      <c r="A338" s="47" t="s">
        <v>583</v>
      </c>
      <c r="B338" s="47" t="s">
        <v>61</v>
      </c>
      <c r="C338" s="47" t="s">
        <v>116</v>
      </c>
      <c r="D338" t="s">
        <v>572</v>
      </c>
      <c r="E338" s="47" t="s">
        <v>156</v>
      </c>
      <c r="F338" s="47" t="s">
        <v>733</v>
      </c>
      <c r="G338" t="str">
        <f>VLOOKUP(A:A,INVENTÁRIO_07_2025!A:A,1,0)</f>
        <v>SPRDBDHSQLGRU09</v>
      </c>
    </row>
    <row r="339" spans="1:7">
      <c r="A339" s="47" t="s">
        <v>584</v>
      </c>
      <c r="B339" s="47" t="s">
        <v>61</v>
      </c>
      <c r="C339" s="47" t="s">
        <v>116</v>
      </c>
      <c r="D339" t="s">
        <v>572</v>
      </c>
      <c r="E339" s="47" t="s">
        <v>156</v>
      </c>
      <c r="F339" s="47" t="s">
        <v>733</v>
      </c>
      <c r="G339" t="str">
        <f>VLOOKUP(A:A,INVENTÁRIO_07_2025!A:A,1,0)</f>
        <v>SPRDBDHSQLGRU10</v>
      </c>
    </row>
    <row r="340" spans="1:7">
      <c r="A340" s="47" t="s">
        <v>633</v>
      </c>
      <c r="B340" s="47" t="s">
        <v>61</v>
      </c>
      <c r="C340" s="47" t="s">
        <v>116</v>
      </c>
      <c r="D340" t="s">
        <v>572</v>
      </c>
      <c r="E340" s="47" t="s">
        <v>156</v>
      </c>
      <c r="F340" s="47" t="s">
        <v>733</v>
      </c>
      <c r="G340" t="str">
        <f>VLOOKUP(A:A,INVENTÁRIO_07_2025!A:A,1,0)</f>
        <v>SPRDBDHSQLGRU12</v>
      </c>
    </row>
    <row r="341" spans="1:7">
      <c r="A341" s="47" t="s">
        <v>634</v>
      </c>
      <c r="B341" s="47" t="s">
        <v>61</v>
      </c>
      <c r="C341" s="47" t="s">
        <v>116</v>
      </c>
      <c r="D341" t="s">
        <v>572</v>
      </c>
      <c r="E341" s="47" t="s">
        <v>156</v>
      </c>
      <c r="F341" s="47" t="s">
        <v>733</v>
      </c>
      <c r="G341" t="str">
        <f>VLOOKUP(A:A,INVENTÁRIO_07_2025!A:A,1,0)</f>
        <v>SPRDBDHSQLGRU13</v>
      </c>
    </row>
    <row r="342" spans="1:7">
      <c r="A342" s="47" t="s">
        <v>635</v>
      </c>
      <c r="B342" s="47" t="s">
        <v>61</v>
      </c>
      <c r="C342" s="47" t="s">
        <v>116</v>
      </c>
      <c r="D342" t="s">
        <v>572</v>
      </c>
      <c r="E342" s="47" t="s">
        <v>156</v>
      </c>
      <c r="F342" s="47" t="s">
        <v>733</v>
      </c>
      <c r="G342" t="str">
        <f>VLOOKUP(A:A,INVENTÁRIO_07_2025!A:A,1,0)</f>
        <v>SPRDBDHSQLGRU14</v>
      </c>
    </row>
    <row r="343" spans="1:7">
      <c r="A343" s="47" t="s">
        <v>661</v>
      </c>
      <c r="B343" s="47" t="s">
        <v>61</v>
      </c>
      <c r="C343" s="47" t="s">
        <v>116</v>
      </c>
      <c r="D343" t="s">
        <v>572</v>
      </c>
      <c r="E343" s="47" t="s">
        <v>156</v>
      </c>
      <c r="F343" s="47" t="s">
        <v>733</v>
      </c>
      <c r="G343" t="str">
        <f>VLOOKUP(A:A,INVENTÁRIO_07_2025!A:A,1,0)</f>
        <v>SPRDBDHSQLGRU15</v>
      </c>
    </row>
    <row r="344" spans="1:7">
      <c r="A344" s="47" t="s">
        <v>721</v>
      </c>
      <c r="B344" s="47" t="s">
        <v>61</v>
      </c>
      <c r="C344" s="47" t="s">
        <v>51</v>
      </c>
      <c r="D344" t="s">
        <v>735</v>
      </c>
      <c r="E344" s="47" t="s">
        <v>156</v>
      </c>
      <c r="F344" s="47" t="s">
        <v>733</v>
      </c>
      <c r="G344" t="e">
        <f>VLOOKUP(A:A,INVENTÁRIO_07_2025!A:A,1,0)</f>
        <v>#N/A</v>
      </c>
    </row>
    <row r="345" spans="1:7">
      <c r="A345" t="s">
        <v>82</v>
      </c>
      <c r="B345" t="s">
        <v>61</v>
      </c>
      <c r="C345" t="s">
        <v>51</v>
      </c>
      <c r="D345" t="s">
        <v>83</v>
      </c>
      <c r="E345" t="s">
        <v>53</v>
      </c>
      <c r="F345" t="s">
        <v>63</v>
      </c>
      <c r="G345" t="str">
        <f>VLOOKUP(A:A,INVENTÁRIO_07_2025!A:A,1,0)</f>
        <v>SPRDBDORAGRU03</v>
      </c>
    </row>
    <row r="346" spans="1:7">
      <c r="A346" t="s">
        <v>87</v>
      </c>
      <c r="B346" t="s">
        <v>61</v>
      </c>
      <c r="C346" t="s">
        <v>51</v>
      </c>
      <c r="D346" t="s">
        <v>85</v>
      </c>
      <c r="E346" t="s">
        <v>53</v>
      </c>
      <c r="F346" t="s">
        <v>63</v>
      </c>
      <c r="G346" t="str">
        <f>VLOOKUP(A:A,INVENTÁRIO_07_2025!A:A,1,0)</f>
        <v>SPRDBDORAGRU04</v>
      </c>
    </row>
    <row r="347" spans="1:7">
      <c r="A347" t="s">
        <v>93</v>
      </c>
      <c r="B347" t="s">
        <v>61</v>
      </c>
      <c r="C347" t="s">
        <v>51</v>
      </c>
      <c r="D347" t="s">
        <v>85</v>
      </c>
      <c r="E347" t="s">
        <v>53</v>
      </c>
      <c r="F347" t="s">
        <v>67</v>
      </c>
      <c r="G347" t="str">
        <f>VLOOKUP(A:A,INVENTÁRIO_07_2025!A:A,1,0)</f>
        <v>SPRDBDORAGRU05</v>
      </c>
    </row>
    <row r="348" spans="1:7">
      <c r="A348" t="s">
        <v>100</v>
      </c>
      <c r="B348" t="s">
        <v>61</v>
      </c>
      <c r="C348" t="s">
        <v>51</v>
      </c>
      <c r="D348" t="s">
        <v>85</v>
      </c>
      <c r="E348" t="s">
        <v>53</v>
      </c>
      <c r="F348" t="s">
        <v>56</v>
      </c>
      <c r="G348" t="str">
        <f>VLOOKUP(A:A,INVENTÁRIO_07_2025!A:A,1,0)</f>
        <v>SPRDBDORAGRU09</v>
      </c>
    </row>
    <row r="349" spans="1:7">
      <c r="A349" t="s">
        <v>107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VLOOKUP(A:A,INVENTÁRIO_07_2025!A:A,1,0)</f>
        <v>SPRDBDORAGRU11</v>
      </c>
    </row>
    <row r="350" spans="1:7">
      <c r="A350" s="47" t="s">
        <v>302</v>
      </c>
      <c r="B350" s="47" t="s">
        <v>61</v>
      </c>
      <c r="C350" s="47" t="s">
        <v>51</v>
      </c>
      <c r="D350" t="s">
        <v>111</v>
      </c>
      <c r="E350" s="47" t="s">
        <v>156</v>
      </c>
      <c r="F350" s="47" t="s">
        <v>733</v>
      </c>
      <c r="G350" t="str">
        <f>VLOOKUP(A:A,INVENTÁRIO_07_2025!A:A,1,0)</f>
        <v>SPRDAPRPGRU15</v>
      </c>
    </row>
    <row r="351" spans="1:7">
      <c r="A351" s="47" t="s">
        <v>722</v>
      </c>
      <c r="B351" s="47" t="s">
        <v>61</v>
      </c>
      <c r="C351" s="47" t="s">
        <v>51</v>
      </c>
      <c r="D351" t="s">
        <v>295</v>
      </c>
      <c r="E351" s="47" t="s">
        <v>156</v>
      </c>
      <c r="F351" s="47" t="s">
        <v>733</v>
      </c>
      <c r="G351" t="e">
        <f>VLOOKUP(A:A,INVENTÁRIO_07_2025!A:A,1,0)</f>
        <v>#N/A</v>
      </c>
    </row>
    <row r="352" spans="1:7">
      <c r="A352" s="47" t="s">
        <v>315</v>
      </c>
      <c r="B352" s="47" t="s">
        <v>61</v>
      </c>
      <c r="C352" s="47" t="s">
        <v>51</v>
      </c>
      <c r="D352" t="s">
        <v>114</v>
      </c>
      <c r="E352" s="47" t="s">
        <v>156</v>
      </c>
      <c r="F352" s="47" t="s">
        <v>733</v>
      </c>
      <c r="G352" t="str">
        <f>VLOOKUP(A:A,INVENTÁRIO_07_2025!A:A,1,0)</f>
        <v>SPRDBDOTRSGRU01</v>
      </c>
    </row>
    <row r="353" spans="1:7">
      <c r="A353" s="47" t="s">
        <v>693</v>
      </c>
      <c r="B353" s="47" t="s">
        <v>61</v>
      </c>
      <c r="C353" s="47" t="s">
        <v>51</v>
      </c>
      <c r="D353" t="s">
        <v>295</v>
      </c>
      <c r="E353" s="47" t="s">
        <v>156</v>
      </c>
      <c r="F353" s="47" t="s">
        <v>733</v>
      </c>
      <c r="G353" t="str">
        <f>VLOOKUP(A:A,INVENTÁRIO_07_2025!A:A,1,0)</f>
        <v>SPRDBDSPGGRU01</v>
      </c>
    </row>
    <row r="354" spans="1:7">
      <c r="A354" s="47" t="s">
        <v>498</v>
      </c>
      <c r="B354" s="47" t="s">
        <v>61</v>
      </c>
      <c r="C354" s="47" t="s">
        <v>116</v>
      </c>
      <c r="D354" t="s">
        <v>153</v>
      </c>
      <c r="E354" s="47" t="s">
        <v>156</v>
      </c>
      <c r="F354" s="47" t="s">
        <v>327</v>
      </c>
      <c r="G354" t="str">
        <f>VLOOKUP(A:A,INVENTÁRIO_07_2025!A:A,1,0)</f>
        <v>SPRDBKPPSTGRU01</v>
      </c>
    </row>
    <row r="355" spans="1:7">
      <c r="A355" t="s">
        <v>137</v>
      </c>
      <c r="B355" t="s">
        <v>61</v>
      </c>
      <c r="C355" t="s">
        <v>116</v>
      </c>
      <c r="D355" t="s">
        <v>136</v>
      </c>
      <c r="E355" t="s">
        <v>53</v>
      </c>
      <c r="F355" t="s">
        <v>133</v>
      </c>
      <c r="G355" t="str">
        <f>VLOOKUP(A:A,INVENTÁRIO_07_2025!A:A,1,0)</f>
        <v>SPRDCCTVGRU01</v>
      </c>
    </row>
    <row r="356" spans="1:7">
      <c r="A356" t="s">
        <v>140</v>
      </c>
      <c r="B356" t="s">
        <v>61</v>
      </c>
      <c r="C356" t="s">
        <v>116</v>
      </c>
      <c r="D356" t="s">
        <v>141</v>
      </c>
      <c r="E356" t="s">
        <v>53</v>
      </c>
      <c r="F356" t="s">
        <v>133</v>
      </c>
      <c r="G356" t="str">
        <f>VLOOKUP(A:A,INVENTÁRIO_07_2025!A:A,1,0)</f>
        <v>SPRDCCTVGRU02</v>
      </c>
    </row>
    <row r="357" spans="1:7">
      <c r="A357" t="s">
        <v>142</v>
      </c>
      <c r="B357" t="s">
        <v>61</v>
      </c>
      <c r="C357" t="s">
        <v>116</v>
      </c>
      <c r="D357" t="s">
        <v>141</v>
      </c>
      <c r="E357" t="s">
        <v>53</v>
      </c>
      <c r="F357" t="s">
        <v>133</v>
      </c>
      <c r="G357" t="str">
        <f>VLOOKUP(A:A,INVENTÁRIO_07_2025!A:A,1,0)</f>
        <v>SPRDCCTVGRU05</v>
      </c>
    </row>
    <row r="358" spans="1:7">
      <c r="A358" t="s">
        <v>143</v>
      </c>
      <c r="B358" t="s">
        <v>61</v>
      </c>
      <c r="C358" t="s">
        <v>116</v>
      </c>
      <c r="D358" t="s">
        <v>141</v>
      </c>
      <c r="E358" t="s">
        <v>53</v>
      </c>
      <c r="F358" t="s">
        <v>133</v>
      </c>
      <c r="G358" t="str">
        <f>VLOOKUP(A:A,INVENTÁRIO_07_2025!A:A,1,0)</f>
        <v>SPRDCCTVGRU07</v>
      </c>
    </row>
    <row r="359" spans="1:7">
      <c r="A359" t="s">
        <v>132</v>
      </c>
      <c r="B359" t="s">
        <v>61</v>
      </c>
      <c r="C359" t="s">
        <v>116</v>
      </c>
      <c r="D359" t="s">
        <v>129</v>
      </c>
      <c r="E359" t="s">
        <v>53</v>
      </c>
      <c r="F359" t="s">
        <v>133</v>
      </c>
      <c r="G359" t="str">
        <f>VLOOKUP(A:A,INVENTÁRIO_07_2025!A:A,1,0)</f>
        <v>SPRDCCTVGRU08</v>
      </c>
    </row>
    <row r="360" spans="1:7">
      <c r="A360" t="s">
        <v>144</v>
      </c>
      <c r="B360" t="s">
        <v>61</v>
      </c>
      <c r="C360" t="s">
        <v>116</v>
      </c>
      <c r="D360" t="s">
        <v>141</v>
      </c>
      <c r="E360" t="s">
        <v>53</v>
      </c>
      <c r="F360" t="s">
        <v>133</v>
      </c>
      <c r="G360" t="str">
        <f>VLOOKUP(A:A,INVENTÁRIO_07_2025!A:A,1,0)</f>
        <v>SPRDCCTVGRU09</v>
      </c>
    </row>
    <row r="361" spans="1:7">
      <c r="A361" t="s">
        <v>134</v>
      </c>
      <c r="B361" t="s">
        <v>61</v>
      </c>
      <c r="C361" t="s">
        <v>116</v>
      </c>
      <c r="D361" t="s">
        <v>129</v>
      </c>
      <c r="E361" t="s">
        <v>53</v>
      </c>
      <c r="F361" t="s">
        <v>133</v>
      </c>
      <c r="G361" t="str">
        <f>VLOOKUP(A:A,INVENTÁRIO_07_2025!A:A,1,0)</f>
        <v>SPRDCCTVGRU10</v>
      </c>
    </row>
    <row r="362" spans="1:7">
      <c r="A362" t="s">
        <v>145</v>
      </c>
      <c r="B362" t="s">
        <v>61</v>
      </c>
      <c r="C362" t="s">
        <v>116</v>
      </c>
      <c r="D362" t="s">
        <v>141</v>
      </c>
      <c r="E362" t="s">
        <v>53</v>
      </c>
      <c r="F362" t="s">
        <v>133</v>
      </c>
      <c r="G362" t="str">
        <f>VLOOKUP(A:A,INVENTÁRIO_07_2025!A:A,1,0)</f>
        <v>SPRDCCTVGRU11</v>
      </c>
    </row>
    <row r="363" spans="1:7">
      <c r="A363" t="s">
        <v>138</v>
      </c>
      <c r="B363" t="s">
        <v>61</v>
      </c>
      <c r="C363" t="s">
        <v>116</v>
      </c>
      <c r="D363" t="s">
        <v>136</v>
      </c>
      <c r="E363" t="s">
        <v>53</v>
      </c>
      <c r="F363" t="s">
        <v>133</v>
      </c>
      <c r="G363" t="str">
        <f>VLOOKUP(A:A,INVENTÁRIO_07_2025!A:A,1,0)</f>
        <v>SPRDCCTVGRU20</v>
      </c>
    </row>
    <row r="364" spans="1:7">
      <c r="A364" t="s">
        <v>139</v>
      </c>
      <c r="B364" t="s">
        <v>61</v>
      </c>
      <c r="C364" t="s">
        <v>116</v>
      </c>
      <c r="D364" t="s">
        <v>136</v>
      </c>
      <c r="E364" t="s">
        <v>53</v>
      </c>
      <c r="F364" t="s">
        <v>133</v>
      </c>
      <c r="G364" t="str">
        <f>VLOOKUP(A:A,INVENTÁRIO_07_2025!A:A,1,0)</f>
        <v>SPRDCCTVGRU21</v>
      </c>
    </row>
    <row r="365" spans="1:7">
      <c r="A365" t="s">
        <v>146</v>
      </c>
      <c r="B365" t="s">
        <v>61</v>
      </c>
      <c r="C365" t="s">
        <v>116</v>
      </c>
      <c r="D365" t="s">
        <v>141</v>
      </c>
      <c r="E365" t="s">
        <v>53</v>
      </c>
      <c r="F365" t="s">
        <v>133</v>
      </c>
      <c r="G365" t="str">
        <f>VLOOKUP(A:A,INVENTÁRIO_07_2025!A:A,1,0)</f>
        <v>SPRDCCTVGRU25</v>
      </c>
    </row>
    <row r="366" spans="1:7">
      <c r="A366" t="s">
        <v>147</v>
      </c>
      <c r="B366" t="s">
        <v>61</v>
      </c>
      <c r="C366" t="s">
        <v>116</v>
      </c>
      <c r="D366" t="s">
        <v>141</v>
      </c>
      <c r="E366" t="s">
        <v>53</v>
      </c>
      <c r="F366" t="s">
        <v>133</v>
      </c>
      <c r="G366" t="str">
        <f>VLOOKUP(A:A,INVENTÁRIO_07_2025!A:A,1,0)</f>
        <v>SPRDCCTVGRU26</v>
      </c>
    </row>
    <row r="367" spans="1:7">
      <c r="A367" t="s">
        <v>148</v>
      </c>
      <c r="B367" t="s">
        <v>61</v>
      </c>
      <c r="C367" t="s">
        <v>116</v>
      </c>
      <c r="D367" t="s">
        <v>141</v>
      </c>
      <c r="E367" t="s">
        <v>53</v>
      </c>
      <c r="F367" t="s">
        <v>133</v>
      </c>
      <c r="G367" t="str">
        <f>VLOOKUP(A:A,INVENTÁRIO_07_2025!A:A,1,0)</f>
        <v>SPRDCCTVGRU28</v>
      </c>
    </row>
    <row r="368" spans="1:7">
      <c r="A368" t="s">
        <v>149</v>
      </c>
      <c r="B368" t="s">
        <v>61</v>
      </c>
      <c r="C368" t="s">
        <v>116</v>
      </c>
      <c r="D368" t="s">
        <v>141</v>
      </c>
      <c r="E368" t="s">
        <v>53</v>
      </c>
      <c r="F368" t="s">
        <v>133</v>
      </c>
      <c r="G368" t="str">
        <f>VLOOKUP(A:A,INVENTÁRIO_07_2025!A:A,1,0)</f>
        <v>SPRDCCTVGRU29</v>
      </c>
    </row>
    <row r="369" spans="1:7">
      <c r="A369" t="s">
        <v>150</v>
      </c>
      <c r="B369" t="s">
        <v>61</v>
      </c>
      <c r="C369" t="s">
        <v>116</v>
      </c>
      <c r="D369" t="s">
        <v>141</v>
      </c>
      <c r="E369" t="s">
        <v>53</v>
      </c>
      <c r="F369" t="s">
        <v>133</v>
      </c>
      <c r="G369" t="str">
        <f>VLOOKUP(A:A,INVENTÁRIO_07_2025!A:A,1,0)</f>
        <v>SPRDCCTVGRU30</v>
      </c>
    </row>
    <row r="370" spans="1:7">
      <c r="A370" t="s">
        <v>558</v>
      </c>
      <c r="B370" t="s">
        <v>61</v>
      </c>
      <c r="C370" t="s">
        <v>51</v>
      </c>
      <c r="D370" t="s">
        <v>559</v>
      </c>
      <c r="E370" t="s">
        <v>53</v>
      </c>
      <c r="F370" t="s">
        <v>560</v>
      </c>
      <c r="G370" t="str">
        <f>VLOOKUP(A:A,INVENTÁRIO_07_2025!A:A,1,0)</f>
        <v>SPRDCCTVGRU31-OLD</v>
      </c>
    </row>
    <row r="371" spans="1:7">
      <c r="A371" s="47" t="s">
        <v>339</v>
      </c>
      <c r="B371" s="47" t="s">
        <v>61</v>
      </c>
      <c r="C371" s="47" t="s">
        <v>116</v>
      </c>
      <c r="D371" t="s">
        <v>337</v>
      </c>
      <c r="E371" s="47" t="s">
        <v>156</v>
      </c>
      <c r="F371" s="47" t="s">
        <v>327</v>
      </c>
      <c r="G371" t="str">
        <f>VLOOKUP(A:A,INVENTÁRIO_07_2025!A:A,1,0)</f>
        <v>SPRDCFGEXTGRU01</v>
      </c>
    </row>
    <row r="372" spans="1:7">
      <c r="A372" s="47" t="s">
        <v>723</v>
      </c>
      <c r="B372" s="47" t="s">
        <v>61</v>
      </c>
      <c r="C372" s="47" t="s">
        <v>116</v>
      </c>
      <c r="D372" t="s">
        <v>734</v>
      </c>
      <c r="E372" s="47" t="s">
        <v>156</v>
      </c>
      <c r="F372" s="47" t="s">
        <v>733</v>
      </c>
      <c r="G372" t="e">
        <f>VLOOKUP(A:A,INVENTÁRIO_07_2025!A:A,1,0)</f>
        <v>#N/A</v>
      </c>
    </row>
    <row r="373" spans="1:7">
      <c r="A373" s="47" t="s">
        <v>724</v>
      </c>
      <c r="B373" s="47" t="s">
        <v>61</v>
      </c>
      <c r="C373" s="47" t="s">
        <v>116</v>
      </c>
      <c r="D373" t="s">
        <v>734</v>
      </c>
      <c r="E373" s="47" t="s">
        <v>156</v>
      </c>
      <c r="F373" s="47" t="s">
        <v>733</v>
      </c>
      <c r="G373" t="e">
        <f>VLOOKUP(A:A,INVENTÁRIO_07_2025!A:A,1,0)</f>
        <v>#N/A</v>
      </c>
    </row>
    <row r="374" spans="1:7">
      <c r="A374" t="s">
        <v>74</v>
      </c>
      <c r="B374" t="s">
        <v>61</v>
      </c>
      <c r="C374" t="s">
        <v>51</v>
      </c>
      <c r="D374" t="s">
        <v>62</v>
      </c>
      <c r="E374" t="s">
        <v>53</v>
      </c>
      <c r="F374" t="s">
        <v>75</v>
      </c>
      <c r="G374" t="str">
        <f>VLOOKUP(A:A,INVENTÁRIO_07_2025!A:A,1,0)</f>
        <v>SPRDESXIGRU01</v>
      </c>
    </row>
    <row r="375" spans="1:7">
      <c r="A375" t="s">
        <v>76</v>
      </c>
      <c r="B375" t="s">
        <v>61</v>
      </c>
      <c r="C375" t="s">
        <v>51</v>
      </c>
      <c r="D375" t="s">
        <v>62</v>
      </c>
      <c r="E375" t="s">
        <v>53</v>
      </c>
      <c r="F375" t="s">
        <v>75</v>
      </c>
      <c r="G375" t="str">
        <f>VLOOKUP(A:A,INVENTÁRIO_07_2025!A:A,1,0)</f>
        <v>SPRDESXIGRU02</v>
      </c>
    </row>
    <row r="376" spans="1:7">
      <c r="A376" t="s">
        <v>77</v>
      </c>
      <c r="B376" t="s">
        <v>61</v>
      </c>
      <c r="C376" t="s">
        <v>51</v>
      </c>
      <c r="D376" t="s">
        <v>62</v>
      </c>
      <c r="E376" t="s">
        <v>53</v>
      </c>
      <c r="F376" t="s">
        <v>75</v>
      </c>
      <c r="G376" t="str">
        <f>VLOOKUP(A:A,INVENTÁRIO_07_2025!A:A,1,0)</f>
        <v>SPRDESXIGRU03</v>
      </c>
    </row>
    <row r="377" spans="1:7">
      <c r="A377" t="s">
        <v>78</v>
      </c>
      <c r="B377" t="s">
        <v>61</v>
      </c>
      <c r="C377" t="s">
        <v>51</v>
      </c>
      <c r="D377" t="s">
        <v>62</v>
      </c>
      <c r="E377" t="s">
        <v>53</v>
      </c>
      <c r="F377" t="s">
        <v>75</v>
      </c>
      <c r="G377" t="str">
        <f>VLOOKUP(A:A,INVENTÁRIO_07_2025!A:A,1,0)</f>
        <v>SPRDESXIGRU04</v>
      </c>
    </row>
    <row r="378" spans="1:7">
      <c r="A378" t="s">
        <v>79</v>
      </c>
      <c r="B378" t="s">
        <v>61</v>
      </c>
      <c r="C378" t="s">
        <v>51</v>
      </c>
      <c r="D378" t="s">
        <v>62</v>
      </c>
      <c r="E378" t="s">
        <v>53</v>
      </c>
      <c r="F378" t="s">
        <v>75</v>
      </c>
      <c r="G378" t="str">
        <f>VLOOKUP(A:A,INVENTÁRIO_07_2025!A:A,1,0)</f>
        <v>SPRDESXIGRU05</v>
      </c>
    </row>
    <row r="379" spans="1:7">
      <c r="A379" t="s">
        <v>80</v>
      </c>
      <c r="B379" t="s">
        <v>61</v>
      </c>
      <c r="C379" t="s">
        <v>51</v>
      </c>
      <c r="D379" t="s">
        <v>62</v>
      </c>
      <c r="E379" t="s">
        <v>53</v>
      </c>
      <c r="F379" t="s">
        <v>75</v>
      </c>
      <c r="G379" t="str">
        <f>VLOOKUP(A:A,INVENTÁRIO_07_2025!A:A,1,0)</f>
        <v>SPRDESXIGRU06</v>
      </c>
    </row>
    <row r="380" spans="1:7">
      <c r="A380" t="s">
        <v>81</v>
      </c>
      <c r="B380" t="s">
        <v>61</v>
      </c>
      <c r="C380" t="s">
        <v>51</v>
      </c>
      <c r="D380" t="s">
        <v>62</v>
      </c>
      <c r="E380" t="s">
        <v>53</v>
      </c>
      <c r="F380" t="s">
        <v>75</v>
      </c>
      <c r="G380" t="str">
        <f>VLOOKUP(A:A,INVENTÁRIO_07_2025!A:A,1,0)</f>
        <v>SPRDESXIGRU07</v>
      </c>
    </row>
    <row r="381" spans="1:7">
      <c r="A381" s="47" t="s">
        <v>616</v>
      </c>
      <c r="B381" s="47" t="s">
        <v>61</v>
      </c>
      <c r="C381" s="47" t="s">
        <v>116</v>
      </c>
      <c r="D381" t="s">
        <v>572</v>
      </c>
      <c r="E381" s="47" t="s">
        <v>156</v>
      </c>
      <c r="F381" s="47" t="s">
        <v>327</v>
      </c>
      <c r="G381" t="str">
        <f>VLOOKUP(A:A,INVENTÁRIO_07_2025!A:A,1,0)</f>
        <v>SPRDFSQUA01</v>
      </c>
    </row>
    <row r="382" spans="1:7">
      <c r="A382" s="47" t="s">
        <v>400</v>
      </c>
      <c r="B382" s="47" t="s">
        <v>61</v>
      </c>
      <c r="C382" s="47" t="s">
        <v>116</v>
      </c>
      <c r="D382" t="s">
        <v>122</v>
      </c>
      <c r="E382" s="47" t="s">
        <v>156</v>
      </c>
      <c r="F382" s="47" t="s">
        <v>327</v>
      </c>
      <c r="G382" t="str">
        <f>VLOOKUP(A:A,INVENTÁRIO_07_2025!A:A,1,0)</f>
        <v>SPRDIAMDATGRU01</v>
      </c>
    </row>
    <row r="383" spans="1:7">
      <c r="A383" s="47" t="s">
        <v>499</v>
      </c>
      <c r="B383" s="47" t="s">
        <v>61</v>
      </c>
      <c r="C383" s="47" t="s">
        <v>116</v>
      </c>
      <c r="D383" t="s">
        <v>425</v>
      </c>
      <c r="E383" s="47" t="s">
        <v>156</v>
      </c>
      <c r="F383" s="47" t="s">
        <v>327</v>
      </c>
      <c r="G383" t="str">
        <f>VLOOKUP(A:A,INVENTÁRIO_07_2025!A:A,1,0)</f>
        <v>SPRDIRGRU01</v>
      </c>
    </row>
    <row r="384" spans="1:7">
      <c r="A384" s="47" t="s">
        <v>500</v>
      </c>
      <c r="B384" s="47" t="s">
        <v>61</v>
      </c>
      <c r="C384" s="47" t="s">
        <v>116</v>
      </c>
      <c r="D384" t="s">
        <v>136</v>
      </c>
      <c r="E384" s="47" t="s">
        <v>156</v>
      </c>
      <c r="F384" s="47" t="s">
        <v>327</v>
      </c>
      <c r="G384" t="str">
        <f>VLOOKUP(A:A,INVENTÁRIO_07_2025!A:A,1,0)</f>
        <v>SPRDJPBEUMER-01</v>
      </c>
    </row>
    <row r="385" spans="1:7">
      <c r="A385" s="47" t="s">
        <v>552</v>
      </c>
      <c r="B385" s="47" t="s">
        <v>61</v>
      </c>
      <c r="C385" s="47" t="s">
        <v>51</v>
      </c>
      <c r="D385" t="s">
        <v>114</v>
      </c>
      <c r="E385" s="47" t="s">
        <v>156</v>
      </c>
      <c r="F385" s="47" t="s">
        <v>733</v>
      </c>
      <c r="G385" t="str">
        <f>VLOOKUP(A:A,INVENTÁRIO_07_2025!A:A,1,0)</f>
        <v>SPRDMONGRU01</v>
      </c>
    </row>
    <row r="386" spans="1:7">
      <c r="A386" s="47" t="s">
        <v>334</v>
      </c>
      <c r="B386" s="47" t="s">
        <v>61</v>
      </c>
      <c r="C386" s="47" t="s">
        <v>51</v>
      </c>
      <c r="D386" t="s">
        <v>329</v>
      </c>
      <c r="E386" s="47" t="s">
        <v>156</v>
      </c>
      <c r="F386" s="47" t="s">
        <v>733</v>
      </c>
      <c r="G386" t="str">
        <f>VLOOKUP(A:A,INVENTÁRIO_07_2025!A:A,1,0)</f>
        <v>SPRDMYSQLGRU02</v>
      </c>
    </row>
    <row r="387" spans="1:7">
      <c r="A387" s="47" t="s">
        <v>316</v>
      </c>
      <c r="B387" s="47" t="s">
        <v>61</v>
      </c>
      <c r="C387" s="47" t="s">
        <v>51</v>
      </c>
      <c r="D387" t="s">
        <v>114</v>
      </c>
      <c r="E387" s="47" t="s">
        <v>156</v>
      </c>
      <c r="F387" s="47" t="s">
        <v>733</v>
      </c>
      <c r="G387" t="str">
        <f>VLOOKUP(A:A,INVENTÁRIO_07_2025!A:A,1,0)</f>
        <v>SPRDMYSQLGRU03</v>
      </c>
    </row>
    <row r="388" spans="1:7">
      <c r="A388" s="47" t="s">
        <v>317</v>
      </c>
      <c r="B388" s="47" t="s">
        <v>61</v>
      </c>
      <c r="C388" s="47" t="s">
        <v>51</v>
      </c>
      <c r="D388" t="s">
        <v>114</v>
      </c>
      <c r="E388" s="47" t="s">
        <v>156</v>
      </c>
      <c r="F388" s="47" t="s">
        <v>733</v>
      </c>
      <c r="G388" t="str">
        <f>VLOOKUP(A:A,INVENTÁRIO_07_2025!A:A,1,0)</f>
        <v>SPRDNTDGRU03</v>
      </c>
    </row>
    <row r="389" spans="1:7">
      <c r="A389" s="47" t="s">
        <v>318</v>
      </c>
      <c r="B389" s="47" t="s">
        <v>61</v>
      </c>
      <c r="C389" s="47" t="s">
        <v>51</v>
      </c>
      <c r="D389" t="s">
        <v>114</v>
      </c>
      <c r="E389" s="47" t="s">
        <v>156</v>
      </c>
      <c r="F389" s="47" t="s">
        <v>733</v>
      </c>
      <c r="G389" t="str">
        <f>VLOOKUP(A:A,INVENTÁRIO_07_2025!A:A,1,0)</f>
        <v>SPRDOTRSGRU01</v>
      </c>
    </row>
    <row r="390" spans="1:7">
      <c r="A390" s="47" t="s">
        <v>401</v>
      </c>
      <c r="B390" s="47" t="s">
        <v>61</v>
      </c>
      <c r="C390" s="47" t="s">
        <v>116</v>
      </c>
      <c r="D390" t="s">
        <v>122</v>
      </c>
      <c r="E390" s="47" t="s">
        <v>156</v>
      </c>
      <c r="F390" s="47" t="s">
        <v>327</v>
      </c>
      <c r="G390" t="str">
        <f>VLOOKUP(A:A,INVENTÁRIO_07_2025!A:A,1,0)</f>
        <v>SPRDPRGGRU02</v>
      </c>
    </row>
    <row r="391" spans="1:7">
      <c r="A391" s="47" t="s">
        <v>725</v>
      </c>
      <c r="B391" s="47" t="s">
        <v>61</v>
      </c>
      <c r="C391" s="47" t="s">
        <v>51</v>
      </c>
      <c r="D391" t="s">
        <v>295</v>
      </c>
      <c r="E391" s="47" t="s">
        <v>156</v>
      </c>
      <c r="F391" s="47" t="s">
        <v>733</v>
      </c>
      <c r="G391" t="e">
        <f>VLOOKUP(A:A,INVENTÁRIO_07_2025!A:A,1,0)</f>
        <v>#N/A</v>
      </c>
    </row>
    <row r="392" spans="1:7">
      <c r="A392" s="47" t="s">
        <v>726</v>
      </c>
      <c r="B392" s="47" t="s">
        <v>61</v>
      </c>
      <c r="C392" s="47" t="s">
        <v>51</v>
      </c>
      <c r="D392" t="s">
        <v>295</v>
      </c>
      <c r="E392" s="47" t="s">
        <v>156</v>
      </c>
      <c r="F392" s="47" t="s">
        <v>733</v>
      </c>
      <c r="G392" t="e">
        <f>VLOOKUP(A:A,INVENTÁRIO_07_2025!A:A,1,0)</f>
        <v>#N/A</v>
      </c>
    </row>
    <row r="393" spans="1:7">
      <c r="A393" s="47" t="s">
        <v>448</v>
      </c>
      <c r="B393" s="47" t="s">
        <v>50</v>
      </c>
      <c r="C393" s="47" t="s">
        <v>116</v>
      </c>
      <c r="D393" t="s">
        <v>126</v>
      </c>
      <c r="E393" s="47" t="s">
        <v>156</v>
      </c>
      <c r="F393" s="47" t="s">
        <v>327</v>
      </c>
      <c r="G393" t="str">
        <f>VLOOKUP(A:A,INVENTÁRIO_07_2025!A:A,1,0)</f>
        <v>SPRDSAPECFGRU01</v>
      </c>
    </row>
    <row r="394" spans="1:7">
      <c r="A394" s="47" t="s">
        <v>290</v>
      </c>
      <c r="B394" s="47" t="s">
        <v>61</v>
      </c>
      <c r="C394" s="47" t="s">
        <v>51</v>
      </c>
      <c r="D394" t="s">
        <v>85</v>
      </c>
      <c r="E394" s="47" t="s">
        <v>156</v>
      </c>
      <c r="F394" s="47" t="s">
        <v>733</v>
      </c>
      <c r="G394" t="str">
        <f>VLOOKUP(A:A,INVENTÁRIO_07_2025!A:A,1,0)</f>
        <v>SPRDSAPNASGRU01</v>
      </c>
    </row>
    <row r="395" spans="1:7">
      <c r="A395" s="47" t="s">
        <v>518</v>
      </c>
      <c r="B395" s="47" t="s">
        <v>61</v>
      </c>
      <c r="C395" s="47" t="s">
        <v>51</v>
      </c>
      <c r="D395" t="s">
        <v>85</v>
      </c>
      <c r="E395" s="47" t="s">
        <v>156</v>
      </c>
      <c r="F395" s="47" t="s">
        <v>733</v>
      </c>
      <c r="G395" t="str">
        <f>VLOOKUP(A:A,INVENTÁRIO_07_2025!A:A,1,0)</f>
        <v>SPRDSCANVUL01</v>
      </c>
    </row>
    <row r="396" spans="1:7">
      <c r="A396" s="47" t="s">
        <v>449</v>
      </c>
      <c r="B396" s="47" t="s">
        <v>61</v>
      </c>
      <c r="C396" s="47" t="s">
        <v>116</v>
      </c>
      <c r="D396" t="s">
        <v>126</v>
      </c>
      <c r="E396" s="47" t="s">
        <v>156</v>
      </c>
      <c r="F396" s="47" t="s">
        <v>327</v>
      </c>
      <c r="G396" t="str">
        <f>VLOOKUP(A:A,INVENTÁRIO_07_2025!A:A,1,0)</f>
        <v>SPRDSHPINTGRU01</v>
      </c>
    </row>
    <row r="397" spans="1:7">
      <c r="A397" s="47" t="s">
        <v>450</v>
      </c>
      <c r="B397" s="47" t="s">
        <v>61</v>
      </c>
      <c r="C397" s="47" t="s">
        <v>116</v>
      </c>
      <c r="D397" t="s">
        <v>126</v>
      </c>
      <c r="E397" s="47" t="s">
        <v>156</v>
      </c>
      <c r="F397" s="47" t="s">
        <v>327</v>
      </c>
      <c r="G397" t="str">
        <f>VLOOKUP(A:A,INVENTÁRIO_07_2025!A:A,1,0)</f>
        <v>SPRDSHPINTGRU02</v>
      </c>
    </row>
    <row r="398" spans="1:7">
      <c r="A398" s="47" t="s">
        <v>451</v>
      </c>
      <c r="B398" s="47" t="s">
        <v>61</v>
      </c>
      <c r="C398" s="47" t="s">
        <v>116</v>
      </c>
      <c r="D398" t="s">
        <v>126</v>
      </c>
      <c r="E398" s="47" t="s">
        <v>156</v>
      </c>
      <c r="F398" s="47" t="s">
        <v>327</v>
      </c>
      <c r="G398" t="str">
        <f>VLOOKUP(A:A,INVENTÁRIO_07_2025!A:A,1,0)</f>
        <v>SPRDSHPINTGRU03</v>
      </c>
    </row>
    <row r="399" spans="1:7">
      <c r="A399" s="47" t="s">
        <v>452</v>
      </c>
      <c r="B399" s="47" t="s">
        <v>61</v>
      </c>
      <c r="C399" s="47" t="s">
        <v>116</v>
      </c>
      <c r="D399" t="s">
        <v>734</v>
      </c>
      <c r="E399" s="47" t="s">
        <v>156</v>
      </c>
      <c r="F399" s="47" t="s">
        <v>733</v>
      </c>
      <c r="G399" t="e">
        <f>VLOOKUP(A:A,INVENTÁRIO_07_2025!A:A,1,0)</f>
        <v>#N/A</v>
      </c>
    </row>
    <row r="400" spans="1:7">
      <c r="A400" s="47" t="s">
        <v>453</v>
      </c>
      <c r="B400" s="47" t="s">
        <v>61</v>
      </c>
      <c r="C400" s="47" t="s">
        <v>116</v>
      </c>
      <c r="D400" t="s">
        <v>126</v>
      </c>
      <c r="E400" s="47" t="s">
        <v>156</v>
      </c>
      <c r="F400" s="47" t="s">
        <v>733</v>
      </c>
      <c r="G400" t="str">
        <f>VLOOKUP(A:A,INVENTÁRIO_07_2025!A:A,1,0)</f>
        <v>SPRDSHPINTGRU05</v>
      </c>
    </row>
    <row r="401" spans="1:7">
      <c r="A401" s="47" t="s">
        <v>157</v>
      </c>
      <c r="B401" s="47" t="s">
        <v>61</v>
      </c>
      <c r="C401" s="47" t="s">
        <v>51</v>
      </c>
      <c r="D401" t="s">
        <v>158</v>
      </c>
      <c r="E401" s="47" t="s">
        <v>156</v>
      </c>
      <c r="F401" s="47" t="s">
        <v>733</v>
      </c>
      <c r="G401" t="str">
        <f>VLOOKUP(A:A,INVENTÁRIO_07_2025!A:A,1,0)</f>
        <v>SPRDSIEM01</v>
      </c>
    </row>
    <row r="402" spans="1:7">
      <c r="A402" s="47" t="s">
        <v>159</v>
      </c>
      <c r="B402" s="47" t="s">
        <v>61</v>
      </c>
      <c r="C402" s="47" t="s">
        <v>51</v>
      </c>
      <c r="D402" t="s">
        <v>158</v>
      </c>
      <c r="E402" s="47" t="s">
        <v>156</v>
      </c>
      <c r="F402" s="47" t="s">
        <v>733</v>
      </c>
      <c r="G402" t="str">
        <f>VLOOKUP(A:A,INVENTÁRIO_07_2025!A:A,1,0)</f>
        <v>SPRDSIEM02</v>
      </c>
    </row>
    <row r="403" spans="1:7">
      <c r="A403" s="47" t="s">
        <v>236</v>
      </c>
      <c r="B403" s="47" t="s">
        <v>61</v>
      </c>
      <c r="C403" s="47" t="s">
        <v>116</v>
      </c>
      <c r="D403" t="s">
        <v>188</v>
      </c>
      <c r="E403" s="47" t="s">
        <v>156</v>
      </c>
      <c r="F403" s="47" t="s">
        <v>733</v>
      </c>
      <c r="G403" t="str">
        <f>VLOOKUP(A:A,INVENTÁRIO_07_2025!A:A,1,0)</f>
        <v>SPRDSKDAUGRU02</v>
      </c>
    </row>
    <row r="404" spans="1:7">
      <c r="A404" s="47" t="s">
        <v>187</v>
      </c>
      <c r="B404" s="47" t="s">
        <v>61</v>
      </c>
      <c r="C404" s="47" t="s">
        <v>116</v>
      </c>
      <c r="D404" t="s">
        <v>188</v>
      </c>
      <c r="E404" s="47" t="s">
        <v>156</v>
      </c>
      <c r="F404" s="47" t="s">
        <v>733</v>
      </c>
      <c r="G404" t="str">
        <f>VLOOKUP(A:A,INVENTÁRIO_07_2025!A:A,1,0)</f>
        <v>SPRDSKDCGRU01</v>
      </c>
    </row>
    <row r="405" spans="1:7">
      <c r="A405" s="47" t="s">
        <v>641</v>
      </c>
      <c r="B405" s="47" t="s">
        <v>50</v>
      </c>
      <c r="C405" s="47" t="s">
        <v>116</v>
      </c>
      <c r="D405" t="s">
        <v>188</v>
      </c>
      <c r="E405" s="47" t="s">
        <v>156</v>
      </c>
      <c r="F405" s="47" t="s">
        <v>733</v>
      </c>
      <c r="G405" t="e">
        <f>VLOOKUP(A:A,INVENTÁRIO_07_2025!A:A,1,0)</f>
        <v>#N/A</v>
      </c>
    </row>
    <row r="406" spans="1:7">
      <c r="A406" s="47" t="s">
        <v>189</v>
      </c>
      <c r="B406" s="47" t="s">
        <v>61</v>
      </c>
      <c r="C406" s="47" t="s">
        <v>116</v>
      </c>
      <c r="D406" t="s">
        <v>188</v>
      </c>
      <c r="E406" s="47" t="s">
        <v>156</v>
      </c>
      <c r="F406" s="47" t="s">
        <v>733</v>
      </c>
      <c r="G406" t="str">
        <f>VLOOKUP(A:A,INVENTÁRIO_07_2025!A:A,1,0)</f>
        <v>SPRDSKDCGRU02</v>
      </c>
    </row>
    <row r="407" spans="1:7">
      <c r="A407" s="47" t="s">
        <v>643</v>
      </c>
      <c r="B407" s="47" t="s">
        <v>50</v>
      </c>
      <c r="C407" s="47" t="s">
        <v>116</v>
      </c>
      <c r="D407" t="s">
        <v>188</v>
      </c>
      <c r="E407" s="47" t="s">
        <v>156</v>
      </c>
      <c r="F407" s="47" t="s">
        <v>733</v>
      </c>
      <c r="G407" t="e">
        <f>VLOOKUP(A:A,INVENTÁRIO_07_2025!A:A,1,0)</f>
        <v>#N/A</v>
      </c>
    </row>
    <row r="408" spans="1:7">
      <c r="A408" s="47" t="s">
        <v>190</v>
      </c>
      <c r="B408" s="47" t="s">
        <v>61</v>
      </c>
      <c r="C408" s="47" t="s">
        <v>116</v>
      </c>
      <c r="D408" t="s">
        <v>191</v>
      </c>
      <c r="E408" s="47" t="s">
        <v>156</v>
      </c>
      <c r="F408" s="47" t="s">
        <v>733</v>
      </c>
      <c r="G408" t="str">
        <f>VLOOKUP(A:A,INVENTÁRIO_07_2025!A:A,1,0)</f>
        <v>SPRDSKESBGRU01</v>
      </c>
    </row>
    <row r="409" spans="1:7">
      <c r="A409" s="47" t="s">
        <v>512</v>
      </c>
      <c r="B409" s="47" t="s">
        <v>61</v>
      </c>
      <c r="C409" s="47" t="s">
        <v>51</v>
      </c>
      <c r="D409" t="s">
        <v>285</v>
      </c>
      <c r="E409" s="47" t="s">
        <v>156</v>
      </c>
      <c r="F409" s="47" t="s">
        <v>733</v>
      </c>
      <c r="G409" t="str">
        <f>VLOOKUP(A:A,INVENTÁRIO_07_2025!A:A,1,0)</f>
        <v>SPRDSKINTGRU01</v>
      </c>
    </row>
    <row r="410" spans="1:7">
      <c r="A410" s="47" t="s">
        <v>737</v>
      </c>
      <c r="B410" s="47" t="s">
        <v>50</v>
      </c>
      <c r="C410" s="47" t="s">
        <v>51</v>
      </c>
      <c r="D410" t="s">
        <v>285</v>
      </c>
      <c r="E410" s="47" t="s">
        <v>156</v>
      </c>
      <c r="F410" s="47" t="s">
        <v>327</v>
      </c>
      <c r="G410" t="e">
        <f>VLOOKUP(A:A,INVENTÁRIO_07_2025!A:A,1,0)</f>
        <v>#N/A</v>
      </c>
    </row>
    <row r="411" spans="1:7">
      <c r="A411" s="47" t="s">
        <v>192</v>
      </c>
      <c r="B411" s="47" t="s">
        <v>61</v>
      </c>
      <c r="C411" s="47" t="s">
        <v>116</v>
      </c>
      <c r="D411" t="s">
        <v>188</v>
      </c>
      <c r="E411" s="47" t="s">
        <v>156</v>
      </c>
      <c r="F411" s="47" t="s">
        <v>733</v>
      </c>
      <c r="G411" t="str">
        <f>VLOOKUP(A:A,INVENTÁRIO_07_2025!A:A,1,0)</f>
        <v>SPRDSKPPCGRU01</v>
      </c>
    </row>
    <row r="412" spans="1:7">
      <c r="A412" s="47" t="s">
        <v>193</v>
      </c>
      <c r="B412" s="47" t="s">
        <v>61</v>
      </c>
      <c r="C412" s="47" t="s">
        <v>116</v>
      </c>
      <c r="D412" t="s">
        <v>188</v>
      </c>
      <c r="E412" s="47" t="s">
        <v>156</v>
      </c>
      <c r="F412" s="47" t="s">
        <v>733</v>
      </c>
      <c r="G412" t="str">
        <f>VLOOKUP(A:A,INVENTÁRIO_07_2025!A:A,1,0)</f>
        <v>SPRDSKPPCGRU02</v>
      </c>
    </row>
    <row r="413" spans="1:7">
      <c r="A413" s="47" t="s">
        <v>194</v>
      </c>
      <c r="B413" s="47" t="s">
        <v>61</v>
      </c>
      <c r="C413" s="47" t="s">
        <v>116</v>
      </c>
      <c r="D413" t="s">
        <v>188</v>
      </c>
      <c r="E413" s="47" t="s">
        <v>156</v>
      </c>
      <c r="F413" s="47" t="s">
        <v>733</v>
      </c>
      <c r="G413" t="str">
        <f>VLOOKUP(A:A,INVENTÁRIO_07_2025!A:A,1,0)</f>
        <v>SPRDSKPPCGRU03</v>
      </c>
    </row>
    <row r="414" spans="1:7">
      <c r="A414" s="47" t="s">
        <v>195</v>
      </c>
      <c r="B414" s="47" t="s">
        <v>61</v>
      </c>
      <c r="C414" s="47" t="s">
        <v>116</v>
      </c>
      <c r="D414" t="s">
        <v>188</v>
      </c>
      <c r="E414" s="47" t="s">
        <v>156</v>
      </c>
      <c r="F414" s="47" t="s">
        <v>733</v>
      </c>
      <c r="G414" t="str">
        <f>VLOOKUP(A:A,INVENTÁRIO_07_2025!A:A,1,0)</f>
        <v>SPRDSKPPCGRU04</v>
      </c>
    </row>
    <row r="415" spans="1:7">
      <c r="A415" s="47" t="s">
        <v>196</v>
      </c>
      <c r="B415" s="47" t="s">
        <v>61</v>
      </c>
      <c r="C415" s="47" t="s">
        <v>116</v>
      </c>
      <c r="D415" t="s">
        <v>188</v>
      </c>
      <c r="E415" s="47" t="s">
        <v>156</v>
      </c>
      <c r="F415" s="47" t="s">
        <v>733</v>
      </c>
      <c r="G415" t="str">
        <f>VLOOKUP(A:A,INVENTÁRIO_07_2025!A:A,1,0)</f>
        <v>SPRDSKPPCGRU05</v>
      </c>
    </row>
    <row r="416" spans="1:7">
      <c r="A416" s="47" t="s">
        <v>197</v>
      </c>
      <c r="B416" s="47" t="s">
        <v>61</v>
      </c>
      <c r="C416" s="47" t="s">
        <v>116</v>
      </c>
      <c r="D416" t="s">
        <v>188</v>
      </c>
      <c r="E416" s="47" t="s">
        <v>156</v>
      </c>
      <c r="F416" s="47" t="s">
        <v>733</v>
      </c>
      <c r="G416" t="str">
        <f>VLOOKUP(A:A,INVENTÁRIO_07_2025!A:A,1,0)</f>
        <v>SPRDSKPPCGRU06</v>
      </c>
    </row>
    <row r="417" spans="1:7">
      <c r="A417" s="47" t="s">
        <v>727</v>
      </c>
      <c r="B417" s="47" t="s">
        <v>50</v>
      </c>
      <c r="C417" s="47" t="s">
        <v>116</v>
      </c>
      <c r="D417" t="s">
        <v>188</v>
      </c>
      <c r="E417" s="47" t="s">
        <v>156</v>
      </c>
      <c r="F417" s="47" t="s">
        <v>733</v>
      </c>
      <c r="G417" t="e">
        <f>VLOOKUP(A:A,INVENTÁRIO_07_2025!A:A,1,0)</f>
        <v>#N/A</v>
      </c>
    </row>
    <row r="418" spans="1:7">
      <c r="A418" s="47" t="s">
        <v>198</v>
      </c>
      <c r="B418" s="47" t="s">
        <v>61</v>
      </c>
      <c r="C418" s="47" t="s">
        <v>116</v>
      </c>
      <c r="D418" t="s">
        <v>188</v>
      </c>
      <c r="E418" s="47" t="s">
        <v>156</v>
      </c>
      <c r="F418" s="47" t="s">
        <v>733</v>
      </c>
      <c r="G418" t="str">
        <f>VLOOKUP(A:A,INVENTÁRIO_07_2025!A:A,1,0)</f>
        <v>SPRDSKPPCGRU07</v>
      </c>
    </row>
    <row r="419" spans="1:7">
      <c r="A419" s="47" t="s">
        <v>728</v>
      </c>
      <c r="B419" s="47" t="s">
        <v>50</v>
      </c>
      <c r="C419" s="47" t="s">
        <v>116</v>
      </c>
      <c r="D419" t="s">
        <v>188</v>
      </c>
      <c r="E419" s="47" t="s">
        <v>156</v>
      </c>
      <c r="F419" s="47" t="s">
        <v>733</v>
      </c>
      <c r="G419" t="e">
        <f>VLOOKUP(A:A,INVENTÁRIO_07_2025!A:A,1,0)</f>
        <v>#N/A</v>
      </c>
    </row>
    <row r="420" spans="1:7">
      <c r="A420" s="47" t="s">
        <v>237</v>
      </c>
      <c r="B420" s="47" t="s">
        <v>61</v>
      </c>
      <c r="C420" s="47" t="s">
        <v>116</v>
      </c>
      <c r="D420" t="s">
        <v>188</v>
      </c>
      <c r="E420" s="47" t="s">
        <v>156</v>
      </c>
      <c r="F420" s="47" t="s">
        <v>733</v>
      </c>
      <c r="G420" t="str">
        <f>VLOOKUP(A:A,INVENTÁRIO_07_2025!A:A,1,0)</f>
        <v>SPRDSKPPCGRU08</v>
      </c>
    </row>
    <row r="421" spans="1:7">
      <c r="A421" s="47" t="s">
        <v>729</v>
      </c>
      <c r="B421" s="47" t="s">
        <v>50</v>
      </c>
      <c r="C421" s="47" t="s">
        <v>116</v>
      </c>
      <c r="D421" t="s">
        <v>188</v>
      </c>
      <c r="E421" s="47" t="s">
        <v>156</v>
      </c>
      <c r="F421" s="47" t="s">
        <v>733</v>
      </c>
      <c r="G421" t="e">
        <f>VLOOKUP(A:A,INVENTÁRIO_07_2025!A:A,1,0)</f>
        <v>#N/A</v>
      </c>
    </row>
    <row r="422" spans="1:7">
      <c r="A422" s="47" t="s">
        <v>199</v>
      </c>
      <c r="B422" s="47" t="s">
        <v>61</v>
      </c>
      <c r="C422" s="47" t="s">
        <v>116</v>
      </c>
      <c r="D422" t="s">
        <v>188</v>
      </c>
      <c r="E422" s="47" t="s">
        <v>156</v>
      </c>
      <c r="F422" s="47" t="s">
        <v>733</v>
      </c>
      <c r="G422" t="str">
        <f>VLOOKUP(A:A,INVENTÁRIO_07_2025!A:A,1,0)</f>
        <v>SPRDSKPPCGRU09</v>
      </c>
    </row>
    <row r="423" spans="1:7">
      <c r="A423" s="47" t="s">
        <v>200</v>
      </c>
      <c r="B423" s="47" t="s">
        <v>61</v>
      </c>
      <c r="C423" s="47" t="s">
        <v>116</v>
      </c>
      <c r="D423" t="s">
        <v>188</v>
      </c>
      <c r="E423" s="47" t="s">
        <v>156</v>
      </c>
      <c r="F423" s="47" t="s">
        <v>733</v>
      </c>
      <c r="G423" t="str">
        <f>VLOOKUP(A:A,INVENTÁRIO_07_2025!A:A,1,0)</f>
        <v>SPRDSKPPCGRU10</v>
      </c>
    </row>
    <row r="424" spans="1:7">
      <c r="A424" s="47" t="s">
        <v>201</v>
      </c>
      <c r="B424" s="47" t="s">
        <v>61</v>
      </c>
      <c r="C424" s="47" t="s">
        <v>116</v>
      </c>
      <c r="D424" t="s">
        <v>188</v>
      </c>
      <c r="E424" s="47" t="s">
        <v>156</v>
      </c>
      <c r="F424" s="47" t="s">
        <v>733</v>
      </c>
      <c r="G424" t="str">
        <f>VLOOKUP(A:A,INVENTÁRIO_07_2025!A:A,1,0)</f>
        <v>SPRDSKPPCGRU11</v>
      </c>
    </row>
    <row r="425" spans="1:7">
      <c r="A425" s="47" t="s">
        <v>202</v>
      </c>
      <c r="B425" s="47" t="s">
        <v>61</v>
      </c>
      <c r="C425" s="47" t="s">
        <v>116</v>
      </c>
      <c r="D425" t="s">
        <v>188</v>
      </c>
      <c r="E425" s="47" t="s">
        <v>156</v>
      </c>
      <c r="F425" s="47" t="s">
        <v>733</v>
      </c>
      <c r="G425" t="str">
        <f>VLOOKUP(A:A,INVENTÁRIO_07_2025!A:A,1,0)</f>
        <v>SPRDSKPPCGRU12</v>
      </c>
    </row>
    <row r="426" spans="1:7">
      <c r="A426" s="47" t="s">
        <v>203</v>
      </c>
      <c r="B426" s="47" t="s">
        <v>61</v>
      </c>
      <c r="C426" s="47" t="s">
        <v>116</v>
      </c>
      <c r="D426" t="s">
        <v>188</v>
      </c>
      <c r="E426" s="47" t="s">
        <v>156</v>
      </c>
      <c r="F426" s="47" t="s">
        <v>733</v>
      </c>
      <c r="G426" t="str">
        <f>VLOOKUP(A:A,INVENTÁRIO_07_2025!A:A,1,0)</f>
        <v>SPRDSKPPCGRU13</v>
      </c>
    </row>
    <row r="427" spans="1:7">
      <c r="A427" s="47" t="s">
        <v>204</v>
      </c>
      <c r="B427" s="47" t="s">
        <v>61</v>
      </c>
      <c r="C427" s="47" t="s">
        <v>116</v>
      </c>
      <c r="D427" t="s">
        <v>188</v>
      </c>
      <c r="E427" s="47" t="s">
        <v>156</v>
      </c>
      <c r="F427" s="47" t="s">
        <v>733</v>
      </c>
      <c r="G427" t="str">
        <f>VLOOKUP(A:A,INVENTÁRIO_07_2025!A:A,1,0)</f>
        <v>SPRDSKPPCGRU14</v>
      </c>
    </row>
    <row r="428" spans="1:7">
      <c r="A428" s="47" t="s">
        <v>730</v>
      </c>
      <c r="B428" s="47" t="s">
        <v>50</v>
      </c>
      <c r="C428" s="47" t="s">
        <v>116</v>
      </c>
      <c r="D428" t="s">
        <v>188</v>
      </c>
      <c r="E428" s="47" t="s">
        <v>156</v>
      </c>
      <c r="F428" s="47" t="s">
        <v>733</v>
      </c>
      <c r="G428" t="e">
        <f>VLOOKUP(A:A,INVENTÁRIO_07_2025!A:A,1,0)</f>
        <v>#N/A</v>
      </c>
    </row>
    <row r="429" spans="1:7">
      <c r="A429" s="47" t="s">
        <v>205</v>
      </c>
      <c r="B429" s="47" t="s">
        <v>61</v>
      </c>
      <c r="C429" s="47" t="s">
        <v>116</v>
      </c>
      <c r="D429" t="s">
        <v>188</v>
      </c>
      <c r="E429" s="47" t="s">
        <v>156</v>
      </c>
      <c r="F429" s="47" t="s">
        <v>733</v>
      </c>
      <c r="G429" t="str">
        <f>VLOOKUP(A:A,INVENTÁRIO_07_2025!A:A,1,0)</f>
        <v>SPRDSKPPCGRU15</v>
      </c>
    </row>
    <row r="430" spans="1:7">
      <c r="A430" s="47" t="s">
        <v>731</v>
      </c>
      <c r="B430" s="47" t="s">
        <v>61</v>
      </c>
      <c r="C430" s="47" t="s">
        <v>116</v>
      </c>
      <c r="D430" t="s">
        <v>188</v>
      </c>
      <c r="E430" s="47" t="s">
        <v>156</v>
      </c>
      <c r="F430" s="47" t="s">
        <v>733</v>
      </c>
      <c r="G430" t="e">
        <f>VLOOKUP(A:A,INVENTÁRIO_07_2025!A:A,1,0)</f>
        <v>#N/A</v>
      </c>
    </row>
    <row r="431" spans="1:7">
      <c r="A431" s="47" t="s">
        <v>206</v>
      </c>
      <c r="B431" s="47" t="s">
        <v>61</v>
      </c>
      <c r="C431" s="47" t="s">
        <v>116</v>
      </c>
      <c r="D431" t="s">
        <v>188</v>
      </c>
      <c r="E431" s="47" t="s">
        <v>156</v>
      </c>
      <c r="F431" s="47" t="s">
        <v>733</v>
      </c>
      <c r="G431" t="str">
        <f>VLOOKUP(A:A,INVENTÁRIO_07_2025!A:A,1,0)</f>
        <v>SPRDSKPPCGRU16</v>
      </c>
    </row>
    <row r="432" spans="1:7">
      <c r="A432" s="47" t="s">
        <v>513</v>
      </c>
      <c r="B432" s="47" t="s">
        <v>61</v>
      </c>
      <c r="C432" s="47" t="s">
        <v>51</v>
      </c>
      <c r="D432" t="s">
        <v>278</v>
      </c>
      <c r="E432" s="47" t="s">
        <v>156</v>
      </c>
      <c r="F432" s="47" t="s">
        <v>733</v>
      </c>
      <c r="G432" t="str">
        <f>VLOOKUP(A:A,INVENTÁRIO_07_2025!A:A,1,0)</f>
        <v>SPRDSKQRCGRU01</v>
      </c>
    </row>
    <row r="433" spans="1:7">
      <c r="A433" s="47" t="s">
        <v>738</v>
      </c>
      <c r="B433" s="47" t="s">
        <v>50</v>
      </c>
      <c r="C433" s="47" t="s">
        <v>51</v>
      </c>
      <c r="D433" t="s">
        <v>278</v>
      </c>
      <c r="E433" s="47" t="s">
        <v>156</v>
      </c>
      <c r="F433" s="47" t="s">
        <v>327</v>
      </c>
      <c r="G433" t="e">
        <f>VLOOKUP(A:A,INVENTÁRIO_07_2025!A:A,1,0)</f>
        <v>#N/A</v>
      </c>
    </row>
    <row r="434" spans="1:7">
      <c r="A434" s="47" t="s">
        <v>257</v>
      </c>
      <c r="B434" s="47" t="s">
        <v>61</v>
      </c>
      <c r="C434" s="47" t="s">
        <v>116</v>
      </c>
      <c r="D434" t="s">
        <v>136</v>
      </c>
      <c r="E434" s="47" t="s">
        <v>156</v>
      </c>
      <c r="F434" s="47" t="s">
        <v>733</v>
      </c>
      <c r="G434" t="str">
        <f>VLOOKUP(A:A,INVENTÁRIO_07_2025!A:A,1,0)</f>
        <v>SPRDSKSQLGRU01</v>
      </c>
    </row>
    <row r="435" spans="1:7">
      <c r="A435" s="47" t="s">
        <v>258</v>
      </c>
      <c r="B435" s="47" t="s">
        <v>61</v>
      </c>
      <c r="C435" s="47" t="s">
        <v>116</v>
      </c>
      <c r="D435" t="s">
        <v>136</v>
      </c>
      <c r="E435" s="47" t="s">
        <v>156</v>
      </c>
      <c r="F435" s="47" t="s">
        <v>733</v>
      </c>
      <c r="G435" t="str">
        <f>VLOOKUP(A:A,INVENTÁRIO_07_2025!A:A,1,0)</f>
        <v>SPRDSQL021</v>
      </c>
    </row>
    <row r="436" spans="1:7">
      <c r="A436" s="47" t="s">
        <v>402</v>
      </c>
      <c r="B436" s="47" t="s">
        <v>50</v>
      </c>
      <c r="C436" s="47" t="s">
        <v>116</v>
      </c>
      <c r="D436" t="s">
        <v>163</v>
      </c>
      <c r="E436" s="47" t="s">
        <v>156</v>
      </c>
      <c r="F436" s="47" t="s">
        <v>327</v>
      </c>
      <c r="G436" t="str">
        <f>VLOOKUP(A:A,INVENTÁRIO_07_2025!A:A,1,0)</f>
        <v>SPRDSQLGRU01_NÂOLIGAR_2024071045001124</v>
      </c>
    </row>
    <row r="437" spans="1:7">
      <c r="A437" s="47" t="s">
        <v>403</v>
      </c>
      <c r="B437" s="47" t="s">
        <v>61</v>
      </c>
      <c r="C437" s="47" t="s">
        <v>116</v>
      </c>
      <c r="D437" t="s">
        <v>117</v>
      </c>
      <c r="E437" s="47" t="s">
        <v>156</v>
      </c>
      <c r="F437" s="47" t="s">
        <v>327</v>
      </c>
      <c r="G437" t="str">
        <f>VLOOKUP(A:A,INVENTÁRIO_07_2025!A:A,1,0)</f>
        <v>SPRDSQLGRU02</v>
      </c>
    </row>
    <row r="438" spans="1:7">
      <c r="A438" s="47" t="s">
        <v>404</v>
      </c>
      <c r="B438" s="47" t="s">
        <v>61</v>
      </c>
      <c r="C438" s="47" t="s">
        <v>116</v>
      </c>
      <c r="D438" t="s">
        <v>117</v>
      </c>
      <c r="E438" s="47" t="s">
        <v>156</v>
      </c>
      <c r="F438" s="47" t="s">
        <v>327</v>
      </c>
      <c r="G438" t="str">
        <f>VLOOKUP(A:A,INVENTÁRIO_07_2025!A:A,1,0)</f>
        <v>SPRDSQLGRU07</v>
      </c>
    </row>
    <row r="439" spans="1:7">
      <c r="A439" t="s">
        <v>125</v>
      </c>
      <c r="B439" t="s">
        <v>61</v>
      </c>
      <c r="C439" t="s">
        <v>116</v>
      </c>
      <c r="D439" t="s">
        <v>126</v>
      </c>
      <c r="E439" t="s">
        <v>53</v>
      </c>
      <c r="F439" t="s">
        <v>63</v>
      </c>
      <c r="G439" t="str">
        <f>VLOOKUP(A:A,INVENTÁRIO_07_2025!A:A,1,0)</f>
        <v>SPRDSQLGRU10</v>
      </c>
    </row>
    <row r="440" spans="1:7">
      <c r="A440" t="s">
        <v>127</v>
      </c>
      <c r="B440" t="s">
        <v>50</v>
      </c>
      <c r="C440" t="s">
        <v>116</v>
      </c>
      <c r="D440" t="s">
        <v>126</v>
      </c>
      <c r="E440" t="s">
        <v>53</v>
      </c>
      <c r="F440" t="s">
        <v>67</v>
      </c>
      <c r="G440" t="str">
        <f>VLOOKUP(A:A,INVENTÁRIO_07_2025!A:A,1,0)</f>
        <v>SPRDSQLGRU11</v>
      </c>
    </row>
    <row r="441" spans="1:7">
      <c r="A441" s="47" t="s">
        <v>260</v>
      </c>
      <c r="B441" s="47" t="s">
        <v>61</v>
      </c>
      <c r="C441" s="47" t="s">
        <v>116</v>
      </c>
      <c r="D441" t="s">
        <v>136</v>
      </c>
      <c r="E441" s="47" t="s">
        <v>156</v>
      </c>
      <c r="F441" s="47" t="s">
        <v>733</v>
      </c>
      <c r="G441" t="str">
        <f>VLOOKUP(A:A,INVENTÁRIO_07_2025!A:A,1,0)</f>
        <v>SPRDSQLLGGRU02</v>
      </c>
    </row>
    <row r="442" spans="1:7">
      <c r="A442" t="s">
        <v>152</v>
      </c>
      <c r="B442" t="s">
        <v>61</v>
      </c>
      <c r="C442" t="s">
        <v>116</v>
      </c>
      <c r="D442" t="s">
        <v>153</v>
      </c>
      <c r="E442" t="s">
        <v>53</v>
      </c>
      <c r="F442" t="s">
        <v>56</v>
      </c>
      <c r="G442" t="str">
        <f>VLOOKUP(A:A,INVENTÁRIO_07_2025!A:A,1,0)</f>
        <v>SPRDTSQGRU01</v>
      </c>
    </row>
    <row r="443" spans="1:7">
      <c r="A443" s="47" t="s">
        <v>152</v>
      </c>
      <c r="B443" s="47" t="s">
        <v>61</v>
      </c>
      <c r="C443" s="47" t="s">
        <v>116</v>
      </c>
      <c r="D443" t="s">
        <v>153</v>
      </c>
      <c r="E443" s="47" t="s">
        <v>156</v>
      </c>
      <c r="F443" s="47" t="s">
        <v>733</v>
      </c>
      <c r="G443" t="str">
        <f>VLOOKUP(A:A,INVENTÁRIO_07_2025!A:A,1,0)</f>
        <v>SPRDTSQGRU01</v>
      </c>
    </row>
    <row r="444" spans="1:7">
      <c r="A444" s="47" t="s">
        <v>508</v>
      </c>
      <c r="B444" s="47" t="s">
        <v>61</v>
      </c>
      <c r="C444" s="47" t="s">
        <v>116</v>
      </c>
      <c r="D444" t="s">
        <v>153</v>
      </c>
      <c r="E444" s="47" t="s">
        <v>156</v>
      </c>
      <c r="F444" s="47" t="s">
        <v>733</v>
      </c>
      <c r="G444" t="str">
        <f>VLOOKUP(A:A,INVENTÁRIO_07_2025!A:A,1,0)</f>
        <v>SPRDTSQGRU02</v>
      </c>
    </row>
    <row r="445" spans="1:7">
      <c r="A445" s="47" t="s">
        <v>261</v>
      </c>
      <c r="B445" s="47" t="s">
        <v>61</v>
      </c>
      <c r="C445" s="47" t="s">
        <v>116</v>
      </c>
      <c r="D445" t="s">
        <v>136</v>
      </c>
      <c r="E445" s="47" t="s">
        <v>156</v>
      </c>
      <c r="F445" s="47" t="s">
        <v>733</v>
      </c>
      <c r="G445" t="str">
        <f>VLOOKUP(A:A,INVENTÁRIO_07_2025!A:A,1,0)</f>
        <v>SPRDVCAMSGRU01</v>
      </c>
    </row>
    <row r="446" spans="1:7">
      <c r="A446" s="47" t="s">
        <v>262</v>
      </c>
      <c r="B446" s="47" t="s">
        <v>61</v>
      </c>
      <c r="C446" s="47" t="s">
        <v>116</v>
      </c>
      <c r="D446" t="s">
        <v>136</v>
      </c>
      <c r="E446" s="47" t="s">
        <v>156</v>
      </c>
      <c r="F446" s="47" t="s">
        <v>733</v>
      </c>
      <c r="G446" t="str">
        <f>VLOOKUP(A:A,INVENTÁRIO_07_2025!A:A,1,0)</f>
        <v>SPRDVCAMSGRU02</v>
      </c>
    </row>
    <row r="447" spans="1:7">
      <c r="A447" s="47" t="s">
        <v>263</v>
      </c>
      <c r="B447" s="47" t="s">
        <v>61</v>
      </c>
      <c r="C447" s="47" t="s">
        <v>116</v>
      </c>
      <c r="D447" t="s">
        <v>136</v>
      </c>
      <c r="E447" s="47" t="s">
        <v>156</v>
      </c>
      <c r="F447" s="47" t="s">
        <v>733</v>
      </c>
      <c r="G447" t="str">
        <f>VLOOKUP(A:A,INVENTÁRIO_07_2025!A:A,1,0)</f>
        <v>SPRDVCAPVGRU01</v>
      </c>
    </row>
    <row r="448" spans="1:7">
      <c r="A448" s="47" t="s">
        <v>238</v>
      </c>
      <c r="B448" s="47" t="s">
        <v>61</v>
      </c>
      <c r="C448" s="47" t="s">
        <v>116</v>
      </c>
      <c r="D448" t="s">
        <v>136</v>
      </c>
      <c r="E448" s="47" t="s">
        <v>156</v>
      </c>
      <c r="F448" s="47" t="s">
        <v>733</v>
      </c>
      <c r="G448" t="str">
        <f>VLOOKUP(A:A,INVENTÁRIO_07_2025!A:A,1,0)</f>
        <v>SPRDVCBKPGRU01</v>
      </c>
    </row>
    <row r="449" spans="1:7">
      <c r="A449" s="47" t="s">
        <v>275</v>
      </c>
      <c r="B449" s="47" t="s">
        <v>61</v>
      </c>
      <c r="C449" s="47" t="s">
        <v>51</v>
      </c>
      <c r="D449" t="s">
        <v>276</v>
      </c>
      <c r="E449" s="47" t="s">
        <v>156</v>
      </c>
      <c r="F449" s="47" t="s">
        <v>733</v>
      </c>
      <c r="G449" t="str">
        <f>VLOOKUP(A:A,INVENTÁRIO_07_2025!A:A,1,0)</f>
        <v>SPRDVCCHOGRU01</v>
      </c>
    </row>
    <row r="450" spans="1:7">
      <c r="A450" s="47" t="s">
        <v>239</v>
      </c>
      <c r="B450" s="47" t="s">
        <v>61</v>
      </c>
      <c r="C450" s="47" t="s">
        <v>116</v>
      </c>
      <c r="D450" t="s">
        <v>136</v>
      </c>
      <c r="E450" s="47" t="s">
        <v>156</v>
      </c>
      <c r="F450" s="47" t="s">
        <v>733</v>
      </c>
      <c r="G450" t="str">
        <f>VLOOKUP(A:A,INVENTÁRIO_07_2025!A:A,1,0)</f>
        <v>SPRDVCHSEGRU03</v>
      </c>
    </row>
    <row r="451" spans="1:7">
      <c r="A451" s="47" t="s">
        <v>510</v>
      </c>
      <c r="B451" s="47" t="s">
        <v>61</v>
      </c>
      <c r="C451" s="47" t="s">
        <v>116</v>
      </c>
      <c r="D451" t="s">
        <v>136</v>
      </c>
      <c r="E451" s="47" t="s">
        <v>156</v>
      </c>
      <c r="F451" s="47" t="s">
        <v>327</v>
      </c>
      <c r="G451" t="str">
        <f>VLOOKUP(A:A,INVENTÁRIO_07_2025!A:A,1,0)</f>
        <v>SPRDVCHSEGRU04</v>
      </c>
    </row>
    <row r="452" spans="1:7">
      <c r="A452" s="47" t="s">
        <v>511</v>
      </c>
      <c r="B452" s="47" t="s">
        <v>61</v>
      </c>
      <c r="C452" s="47" t="s">
        <v>116</v>
      </c>
      <c r="D452" t="s">
        <v>136</v>
      </c>
      <c r="E452" s="47" t="s">
        <v>156</v>
      </c>
      <c r="F452" s="47" t="s">
        <v>327</v>
      </c>
      <c r="G452" t="str">
        <f>VLOOKUP(A:A,INVENTÁRIO_07_2025!A:A,1,0)</f>
        <v>SPRDVCHSEGRU05</v>
      </c>
    </row>
    <row r="453" spans="1:7">
      <c r="A453" s="47" t="s">
        <v>264</v>
      </c>
      <c r="B453" s="47" t="s">
        <v>61</v>
      </c>
      <c r="C453" s="47" t="s">
        <v>116</v>
      </c>
      <c r="D453" t="s">
        <v>136</v>
      </c>
      <c r="E453" s="47" t="s">
        <v>156</v>
      </c>
      <c r="F453" s="47" t="s">
        <v>733</v>
      </c>
      <c r="G453" t="str">
        <f>VLOOKUP(A:A,INVENTÁRIO_07_2025!A:A,1,0)</f>
        <v>SPRDVCRMQGRU01</v>
      </c>
    </row>
    <row r="454" spans="1:7">
      <c r="A454" s="47" t="s">
        <v>265</v>
      </c>
      <c r="B454" s="47" t="s">
        <v>61</v>
      </c>
      <c r="C454" s="47" t="s">
        <v>116</v>
      </c>
      <c r="D454" t="s">
        <v>136</v>
      </c>
      <c r="E454" s="47" t="s">
        <v>156</v>
      </c>
      <c r="F454" s="47" t="s">
        <v>733</v>
      </c>
      <c r="G454" t="str">
        <f>VLOOKUP(A:A,INVENTÁRIO_07_2025!A:A,1,0)</f>
        <v>SPRDVCRPTGRU01</v>
      </c>
    </row>
    <row r="455" spans="1:7">
      <c r="A455" s="47" t="s">
        <v>282</v>
      </c>
      <c r="B455" s="47" t="s">
        <v>61</v>
      </c>
      <c r="C455" s="47" t="s">
        <v>51</v>
      </c>
      <c r="D455" t="s">
        <v>283</v>
      </c>
      <c r="E455" s="47" t="s">
        <v>156</v>
      </c>
      <c r="F455" s="47" t="s">
        <v>733</v>
      </c>
      <c r="G455" t="str">
        <f>VLOOKUP(A:A,INVENTÁRIO_07_2025!A:A,1,0)</f>
        <v>sprdvcsagru01</v>
      </c>
    </row>
    <row r="456" spans="1:7">
      <c r="A456" s="47" t="s">
        <v>266</v>
      </c>
      <c r="B456" s="47" t="s">
        <v>50</v>
      </c>
      <c r="C456" s="47" t="s">
        <v>116</v>
      </c>
      <c r="D456" t="s">
        <v>247</v>
      </c>
      <c r="E456" s="47" t="s">
        <v>156</v>
      </c>
      <c r="F456" s="47" t="s">
        <v>733</v>
      </c>
      <c r="G456" t="str">
        <f>VLOOKUP(A:A,INVENTÁRIO_07_2025!A:A,1,0)</f>
        <v>SPRDVCSQLGRU06</v>
      </c>
    </row>
    <row r="457" spans="1:7">
      <c r="A457" s="47" t="s">
        <v>267</v>
      </c>
      <c r="B457" s="47" t="s">
        <v>61</v>
      </c>
      <c r="C457" s="47" t="s">
        <v>116</v>
      </c>
      <c r="D457" t="s">
        <v>136</v>
      </c>
      <c r="E457" s="47" t="s">
        <v>156</v>
      </c>
      <c r="F457" s="47" t="s">
        <v>733</v>
      </c>
      <c r="G457" t="str">
        <f>VLOOKUP(A:A,INVENTÁRIO_07_2025!A:A,1,0)</f>
        <v>SPRDVCSQLGRU07</v>
      </c>
    </row>
    <row r="458" spans="1:7">
      <c r="A458" s="47" t="s">
        <v>268</v>
      </c>
      <c r="B458" s="47" t="s">
        <v>61</v>
      </c>
      <c r="C458" s="47" t="s">
        <v>116</v>
      </c>
      <c r="D458" t="s">
        <v>136</v>
      </c>
      <c r="E458" s="47" t="s">
        <v>156</v>
      </c>
      <c r="F458" s="47" t="s">
        <v>733</v>
      </c>
      <c r="G458" t="str">
        <f>VLOOKUP(A:A,INVENTÁRIO_07_2025!A:A,1,0)</f>
        <v>SPRDVCWEBGRU01</v>
      </c>
    </row>
    <row r="459" spans="1:7">
      <c r="A459" s="47" t="s">
        <v>269</v>
      </c>
      <c r="B459" s="47" t="s">
        <v>61</v>
      </c>
      <c r="C459" s="47" t="s">
        <v>116</v>
      </c>
      <c r="D459" t="s">
        <v>136</v>
      </c>
      <c r="E459" s="47" t="s">
        <v>156</v>
      </c>
      <c r="F459" s="47" t="s">
        <v>733</v>
      </c>
      <c r="G459" t="str">
        <f>VLOOKUP(A:A,INVENTÁRIO_07_2025!A:A,1,0)</f>
        <v>SPRDVCWEBGRU02</v>
      </c>
    </row>
    <row r="460" spans="1:7">
      <c r="A460" t="s">
        <v>60</v>
      </c>
      <c r="B460" t="s">
        <v>61</v>
      </c>
      <c r="C460" t="s">
        <v>51</v>
      </c>
      <c r="D460" t="s">
        <v>62</v>
      </c>
      <c r="E460" t="s">
        <v>53</v>
      </c>
      <c r="F460" t="s">
        <v>63</v>
      </c>
      <c r="G460" t="str">
        <f>VLOOKUP(A:A,INVENTÁRIO_07_2025!A:A,1,0)</f>
        <v>SPRDVMGRU01</v>
      </c>
    </row>
    <row r="461" spans="1:7">
      <c r="A461" t="s">
        <v>64</v>
      </c>
      <c r="B461" t="s">
        <v>61</v>
      </c>
      <c r="C461" t="s">
        <v>51</v>
      </c>
      <c r="D461" t="s">
        <v>62</v>
      </c>
      <c r="E461" t="s">
        <v>53</v>
      </c>
      <c r="F461" t="s">
        <v>63</v>
      </c>
      <c r="G461" t="str">
        <f>VLOOKUP(A:A,INVENTÁRIO_07_2025!A:A,1,0)</f>
        <v>SPRDVMGRU02</v>
      </c>
    </row>
    <row r="462" spans="1:7">
      <c r="A462" t="s">
        <v>66</v>
      </c>
      <c r="B462" t="s">
        <v>61</v>
      </c>
      <c r="C462" t="s">
        <v>51</v>
      </c>
      <c r="D462" t="s">
        <v>62</v>
      </c>
      <c r="E462" t="s">
        <v>53</v>
      </c>
      <c r="F462" t="s">
        <v>67</v>
      </c>
      <c r="G462" t="str">
        <f>VLOOKUP(A:A,INVENTÁRIO_07_2025!A:A,1,0)</f>
        <v>SPRDVMGRU03</v>
      </c>
    </row>
    <row r="463" spans="1:7">
      <c r="A463" t="s">
        <v>68</v>
      </c>
      <c r="B463" t="s">
        <v>61</v>
      </c>
      <c r="C463" t="s">
        <v>51</v>
      </c>
      <c r="D463" t="s">
        <v>62</v>
      </c>
      <c r="E463" t="s">
        <v>53</v>
      </c>
      <c r="F463" t="s">
        <v>67</v>
      </c>
      <c r="G463" t="str">
        <f>VLOOKUP(A:A,INVENTÁRIO_07_2025!A:A,1,0)</f>
        <v>SPRDVMGRU04</v>
      </c>
    </row>
    <row r="464" spans="1:7">
      <c r="A464" t="s">
        <v>65</v>
      </c>
      <c r="B464" t="s">
        <v>61</v>
      </c>
      <c r="C464" t="s">
        <v>51</v>
      </c>
      <c r="D464" t="s">
        <v>62</v>
      </c>
      <c r="E464" t="s">
        <v>53</v>
      </c>
      <c r="F464" t="s">
        <v>63</v>
      </c>
      <c r="G464" t="str">
        <f>VLOOKUP(A:A,INVENTÁRIO_07_2025!A:A,1,0)</f>
        <v>SPRDVMGRU05</v>
      </c>
    </row>
    <row r="465" spans="1:7">
      <c r="A465" t="s">
        <v>69</v>
      </c>
      <c r="B465" t="s">
        <v>61</v>
      </c>
      <c r="C465" t="s">
        <v>51</v>
      </c>
      <c r="D465" t="s">
        <v>62</v>
      </c>
      <c r="E465" t="s">
        <v>53</v>
      </c>
      <c r="F465" t="s">
        <v>67</v>
      </c>
      <c r="G465" t="str">
        <f>VLOOKUP(A:A,INVENTÁRIO_07_2025!A:A,1,0)</f>
        <v>SPRDVMGRU06</v>
      </c>
    </row>
    <row r="466" spans="1:7">
      <c r="A466" t="s">
        <v>70</v>
      </c>
      <c r="B466" t="s">
        <v>61</v>
      </c>
      <c r="C466" t="s">
        <v>51</v>
      </c>
      <c r="D466" t="s">
        <v>62</v>
      </c>
      <c r="E466" t="s">
        <v>53</v>
      </c>
      <c r="F466" t="s">
        <v>56</v>
      </c>
      <c r="G466" t="str">
        <f>VLOOKUP(A:A,INVENTÁRIO_07_2025!A:A,1,0)</f>
        <v>SPRDVMSAPGRU01</v>
      </c>
    </row>
    <row r="467" spans="1:7">
      <c r="A467" t="s">
        <v>71</v>
      </c>
      <c r="B467" t="s">
        <v>61</v>
      </c>
      <c r="C467" t="s">
        <v>51</v>
      </c>
      <c r="D467" t="s">
        <v>62</v>
      </c>
      <c r="E467" t="s">
        <v>53</v>
      </c>
      <c r="F467" t="s">
        <v>56</v>
      </c>
      <c r="G467" t="str">
        <f>VLOOKUP(A:A,INVENTÁRIO_07_2025!A:A,1,0)</f>
        <v>SPRDVMSAPGRU02</v>
      </c>
    </row>
    <row r="468" spans="1:7">
      <c r="A468" t="s">
        <v>72</v>
      </c>
      <c r="B468" t="s">
        <v>61</v>
      </c>
      <c r="C468" t="s">
        <v>51</v>
      </c>
      <c r="D468" t="s">
        <v>62</v>
      </c>
      <c r="E468" t="s">
        <v>53</v>
      </c>
      <c r="F468" t="s">
        <v>58</v>
      </c>
      <c r="G468" t="str">
        <f>VLOOKUP(A:A,INVENTÁRIO_07_2025!A:A,1,0)</f>
        <v>SPRDVMSAPGRU03</v>
      </c>
    </row>
    <row r="469" spans="1:7">
      <c r="A469" t="s">
        <v>73</v>
      </c>
      <c r="B469" t="s">
        <v>61</v>
      </c>
      <c r="C469" t="s">
        <v>51</v>
      </c>
      <c r="D469" t="s">
        <v>62</v>
      </c>
      <c r="E469" t="s">
        <v>53</v>
      </c>
      <c r="F469" t="s">
        <v>58</v>
      </c>
      <c r="G469" t="str">
        <f>VLOOKUP(A:A,INVENTÁRIO_07_2025!A:A,1,0)</f>
        <v>SPRDVMSAPGRU04</v>
      </c>
    </row>
    <row r="470" spans="1:7">
      <c r="A470" s="47" t="s">
        <v>287</v>
      </c>
      <c r="B470" s="47" t="s">
        <v>61</v>
      </c>
      <c r="C470" s="47" t="s">
        <v>51</v>
      </c>
      <c r="D470" t="s">
        <v>288</v>
      </c>
      <c r="E470" s="47" t="s">
        <v>156</v>
      </c>
      <c r="F470" s="47" t="s">
        <v>733</v>
      </c>
      <c r="G470" t="str">
        <f>VLOOKUP(A:A,INVENTÁRIO_07_2025!A:A,1,0)</f>
        <v>sprdvxrmgru01</v>
      </c>
    </row>
    <row r="471" spans="1:7">
      <c r="A471" s="47" t="s">
        <v>240</v>
      </c>
      <c r="B471" s="47" t="s">
        <v>61</v>
      </c>
      <c r="C471" s="47" t="s">
        <v>116</v>
      </c>
      <c r="D471" t="s">
        <v>136</v>
      </c>
      <c r="E471" s="47" t="s">
        <v>156</v>
      </c>
      <c r="F471" s="47" t="s">
        <v>733</v>
      </c>
      <c r="G471" t="str">
        <f>VLOOKUP(A:A,INVENTÁRIO_07_2025!A:A,1,0)</f>
        <v>SPRDWBBENGRU01</v>
      </c>
    </row>
    <row r="472" spans="1:7">
      <c r="A472" s="47" t="s">
        <v>684</v>
      </c>
      <c r="B472" s="47" t="s">
        <v>61</v>
      </c>
      <c r="C472" s="47" t="s">
        <v>116</v>
      </c>
      <c r="D472" t="s">
        <v>572</v>
      </c>
      <c r="E472" s="47" t="s">
        <v>156</v>
      </c>
      <c r="F472" s="47" t="s">
        <v>733</v>
      </c>
      <c r="G472" t="str">
        <f>VLOOKUP(A:A,INVENTÁRIO_07_2025!A:A,1,0)</f>
        <v>SPRDWSUSGRU01</v>
      </c>
    </row>
    <row r="473" spans="1:7">
      <c r="A473" s="47" t="s">
        <v>320</v>
      </c>
      <c r="B473" s="47" t="s">
        <v>61</v>
      </c>
      <c r="C473" s="47" t="s">
        <v>51</v>
      </c>
      <c r="D473" t="s">
        <v>114</v>
      </c>
      <c r="E473" s="47" t="s">
        <v>156</v>
      </c>
      <c r="F473" s="47" t="s">
        <v>733</v>
      </c>
      <c r="G473" t="str">
        <f>VLOOKUP(A:A,INVENTÁRIO_07_2025!A:A,1,0)</f>
        <v>SPRDZBGRU01</v>
      </c>
    </row>
    <row r="474" spans="1:7">
      <c r="A474" s="47" t="s">
        <v>321</v>
      </c>
      <c r="B474" s="47" t="s">
        <v>61</v>
      </c>
      <c r="C474" s="47" t="s">
        <v>51</v>
      </c>
      <c r="D474" t="s">
        <v>114</v>
      </c>
      <c r="E474" s="47" t="s">
        <v>156</v>
      </c>
      <c r="F474" s="47" t="s">
        <v>733</v>
      </c>
      <c r="G474" t="str">
        <f>VLOOKUP(A:A,INVENTÁRIO_07_2025!A:A,1,0)</f>
        <v>SPRDZBGRU02</v>
      </c>
    </row>
    <row r="475" spans="1:7">
      <c r="A475" s="47" t="s">
        <v>322</v>
      </c>
      <c r="B475" s="47" t="s">
        <v>61</v>
      </c>
      <c r="C475" s="47" t="s">
        <v>51</v>
      </c>
      <c r="D475" t="s">
        <v>114</v>
      </c>
      <c r="E475" s="47" t="s">
        <v>156</v>
      </c>
      <c r="F475" s="47" t="s">
        <v>733</v>
      </c>
      <c r="G475" t="str">
        <f>VLOOKUP(A:A,INVENTÁRIO_07_2025!A:A,1,0)</f>
        <v>SPRDZBGRU03</v>
      </c>
    </row>
    <row r="476" spans="1:7">
      <c r="A476" s="47" t="s">
        <v>732</v>
      </c>
      <c r="B476" s="47" t="s">
        <v>61</v>
      </c>
      <c r="C476" s="47" t="s">
        <v>51</v>
      </c>
      <c r="D476" t="s">
        <v>114</v>
      </c>
      <c r="E476" s="47" t="s">
        <v>156</v>
      </c>
      <c r="F476" s="47" t="s">
        <v>733</v>
      </c>
      <c r="G476" t="e">
        <f>VLOOKUP(A:A,INVENTÁRIO_07_2025!A:A,1,0)</f>
        <v>#N/A</v>
      </c>
    </row>
    <row r="477" spans="1:7">
      <c r="A477" s="47" t="s">
        <v>323</v>
      </c>
      <c r="B477" s="47" t="s">
        <v>61</v>
      </c>
      <c r="C477" s="47" t="s">
        <v>51</v>
      </c>
      <c r="D477" t="s">
        <v>114</v>
      </c>
      <c r="E477" s="47" t="s">
        <v>156</v>
      </c>
      <c r="F477" s="47" t="s">
        <v>733</v>
      </c>
      <c r="G477" t="str">
        <f>VLOOKUP(A:A,INVENTÁRIO_07_2025!A:A,1,0)</f>
        <v>SPRDZBGRU04</v>
      </c>
    </row>
    <row r="478" spans="1:7">
      <c r="A478" s="47" t="s">
        <v>324</v>
      </c>
      <c r="B478" s="47" t="s">
        <v>61</v>
      </c>
      <c r="C478" s="47" t="s">
        <v>51</v>
      </c>
      <c r="D478" t="s">
        <v>114</v>
      </c>
      <c r="E478" s="47" t="s">
        <v>156</v>
      </c>
      <c r="F478" s="47" t="s">
        <v>733</v>
      </c>
      <c r="G478" t="str">
        <f>VLOOKUP(A:A,INVENTÁRIO_07_2025!A:A,1,0)</f>
        <v>SPRDZBGRU05</v>
      </c>
    </row>
    <row r="479" spans="1:7">
      <c r="A479" s="47" t="s">
        <v>527</v>
      </c>
      <c r="B479" s="47" t="s">
        <v>61</v>
      </c>
      <c r="C479" s="47" t="s">
        <v>51</v>
      </c>
      <c r="D479" t="s">
        <v>85</v>
      </c>
      <c r="E479" s="47" t="s">
        <v>156</v>
      </c>
      <c r="F479" s="47" t="s">
        <v>327</v>
      </c>
      <c r="G479" t="str">
        <f>VLOOKUP(A:A,INVENTÁRIO_07_2025!A:A,1,0)</f>
        <v>SQASAPECGRU01</v>
      </c>
    </row>
    <row r="480" spans="1:7">
      <c r="A480" s="47" t="s">
        <v>171</v>
      </c>
      <c r="B480" s="47" t="s">
        <v>61</v>
      </c>
      <c r="C480" s="47" t="s">
        <v>116</v>
      </c>
      <c r="D480" t="s">
        <v>122</v>
      </c>
      <c r="E480" s="47" t="s">
        <v>156</v>
      </c>
      <c r="F480" s="47" t="s">
        <v>733</v>
      </c>
      <c r="G480" t="str">
        <f>VLOOKUP(A:A,INVENTÁRIO_07_2025!A:A,1,0)</f>
        <v>SSERV1-GRU</v>
      </c>
    </row>
    <row r="481" spans="1:7">
      <c r="A481" s="47" t="s">
        <v>407</v>
      </c>
      <c r="B481" s="47" t="s">
        <v>61</v>
      </c>
      <c r="C481" s="47" t="s">
        <v>116</v>
      </c>
      <c r="D481" t="s">
        <v>163</v>
      </c>
      <c r="E481" s="47" t="s">
        <v>156</v>
      </c>
      <c r="F481" s="47" t="s">
        <v>327</v>
      </c>
      <c r="G481" t="str">
        <f>VLOOKUP(A:A,INVENTÁRIO_07_2025!A:A,1,0)</f>
        <v>SSHAREPOINT2-GRU</v>
      </c>
    </row>
    <row r="482" spans="1:7">
      <c r="A482" s="47" t="s">
        <v>454</v>
      </c>
      <c r="B482" s="47" t="s">
        <v>61</v>
      </c>
      <c r="C482" s="47" t="s">
        <v>116</v>
      </c>
      <c r="D482" t="s">
        <v>126</v>
      </c>
      <c r="E482" s="47" t="s">
        <v>156</v>
      </c>
      <c r="F482" s="47" t="s">
        <v>327</v>
      </c>
      <c r="G482" t="str">
        <f>VLOOKUP(A:A,INVENTÁRIO_07_2025!A:A,1,0)</f>
        <v>STESAPCLLGRU01</v>
      </c>
    </row>
    <row r="483" spans="1:7">
      <c r="A483" s="47" t="s">
        <v>408</v>
      </c>
      <c r="B483" s="47" t="s">
        <v>61</v>
      </c>
      <c r="C483" s="47" t="s">
        <v>116</v>
      </c>
      <c r="D483" t="s">
        <v>117</v>
      </c>
      <c r="E483" s="47" t="s">
        <v>156</v>
      </c>
      <c r="F483" s="47" t="s">
        <v>327</v>
      </c>
      <c r="G483" t="str">
        <f>VLOOKUP(A:A,INVENTÁRIO_07_2025!A:A,1,0)</f>
        <v>STESAPPVGRU01</v>
      </c>
    </row>
    <row r="484" spans="1:7">
      <c r="A484" s="47" t="s">
        <v>343</v>
      </c>
      <c r="B484" s="47" t="s">
        <v>61</v>
      </c>
      <c r="C484" s="47" t="s">
        <v>116</v>
      </c>
      <c r="D484" t="s">
        <v>341</v>
      </c>
      <c r="E484" s="47" t="s">
        <v>156</v>
      </c>
      <c r="F484" s="47" t="s">
        <v>327</v>
      </c>
      <c r="G484" t="str">
        <f>VLOOKUP(A:A,INVENTÁRIO_07_2025!A:A,1,0)</f>
        <v>SVEDI2-GRU</v>
      </c>
    </row>
  </sheetData>
  <autoFilter ref="A1:G484">
    <sortState ref="A2:G484">
      <sortCondition ref="D1:D484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N63"/>
  <sheetViews>
    <sheetView showGridLines="0" showRowColHeaders="0" zoomScale="85" zoomScaleNormal="85" workbookViewId="0"/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49" t="s">
        <v>698</v>
      </c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2" t="s">
        <v>1</v>
      </c>
      <c r="C4" s="53"/>
      <c r="D4" s="4"/>
      <c r="E4" s="52" t="s">
        <v>2</v>
      </c>
      <c r="F4" s="53"/>
      <c r="G4" s="4"/>
      <c r="H4" s="52" t="s">
        <v>3</v>
      </c>
      <c r="I4" s="53"/>
      <c r="K4" s="52" t="s">
        <v>4</v>
      </c>
      <c r="L4" s="53"/>
    </row>
    <row r="5" spans="2:12">
      <c r="B5" s="5" t="s">
        <v>5</v>
      </c>
      <c r="C5" s="6">
        <f>COUNTIFS(INVENTÁRIO_08_2025!C:C,"Linux",INVENTÁRIO_08_2025!E:E,"Virtual")</f>
        <v>107</v>
      </c>
      <c r="D5" s="7"/>
      <c r="E5" s="5" t="s">
        <v>6</v>
      </c>
      <c r="F5" s="6">
        <f>COUNTIFS(INVENTÁRIO_08_2025!C:C,"Linux",INVENTÁRIO_08_2025!E:E,"Fisico")</f>
        <v>50</v>
      </c>
      <c r="G5" s="7"/>
      <c r="H5" s="5" t="s">
        <v>5</v>
      </c>
      <c r="I5" s="6">
        <f>COUNTIFS(INVENTÁRIO_08_2025!C:C,"Windows",INVENTÁRIO_08_2025!E:E,"Virtual")</f>
        <v>277</v>
      </c>
      <c r="K5" s="5" t="s">
        <v>6</v>
      </c>
      <c r="L5" s="6">
        <f>COUNTIFS(INVENTÁRIO_08_2025!C:C,"Windows",INVENTÁRIO_08_2025!E:E,"Fisico")</f>
        <v>49</v>
      </c>
    </row>
    <row r="6" spans="2:12">
      <c r="B6" s="5" t="s">
        <v>7</v>
      </c>
      <c r="C6" s="6">
        <f>COUNTIFS(INVENTÁRIO_08_2025!B:B,"poweredOff",INVENTÁRIO_08_2025!C:C,"Linux",INVENTÁRIO_08_2025!E:E,"Virtual")</f>
        <v>3</v>
      </c>
      <c r="D6" s="7"/>
      <c r="E6" s="5" t="s">
        <v>7</v>
      </c>
      <c r="F6" s="6">
        <f>COUNTIFS(INVENTÁRIO_08_2025!B:B,"poweredOff",INVENTÁRIO_08_2025!C:C,"Linux",INVENTÁRIO_08_2025!E:E,"Fisico")</f>
        <v>5</v>
      </c>
      <c r="G6" s="7"/>
      <c r="H6" s="5" t="s">
        <v>7</v>
      </c>
      <c r="I6" s="6">
        <f>COUNTIFS(INVENTÁRIO_08_2025!B:B,"poweredOff",INVENTÁRIO_08_2025!C:C,"Windows",INVENTÁRIO_08_2025!E:E,"Virtual")</f>
        <v>20</v>
      </c>
      <c r="K6" s="5" t="s">
        <v>7</v>
      </c>
      <c r="L6" s="6">
        <f>COUNTIFS(INVENTÁRIO_08_2025!B:B,"poweredOff",INVENTÁRIO_08_2025!C:C,"Windows",INVENTÁRIO_08_2025!E:E,"Fisico")</f>
        <v>28</v>
      </c>
    </row>
    <row r="7" spans="2:12">
      <c r="B7" s="5" t="s">
        <v>8</v>
      </c>
      <c r="C7" s="6">
        <f>COUNTIFS(INVENTÁRIO_08_2025!B:B,"poweredOn",INVENTÁRIO_08_2025!C:C,"Linux",INVENTÁRIO_08_2025!E:E,"Virtual")</f>
        <v>104</v>
      </c>
      <c r="D7" s="7"/>
      <c r="E7" s="5" t="s">
        <v>8</v>
      </c>
      <c r="F7" s="6">
        <f>COUNTIFS(INVENTÁRIO_08_2025!B:B,"poweredOn",INVENTÁRIO_08_2025!C:C,"Linux",INVENTÁRIO_08_2025!E:E,"Fisico")</f>
        <v>45</v>
      </c>
      <c r="G7" s="7"/>
      <c r="H7" s="5" t="s">
        <v>8</v>
      </c>
      <c r="I7" s="6">
        <f>COUNTIFS(INVENTÁRIO_08_2025!B:B,"poweredOn",INVENTÁRIO_08_2025!C:C,"Windows",INVENTÁRIO_08_2025!E:E,"Virtual")</f>
        <v>257</v>
      </c>
      <c r="K7" s="5" t="s">
        <v>8</v>
      </c>
      <c r="L7" s="6">
        <f>COUNTIFS(INVENTÁRIO_08_2025!B:B,"poweredOn",INVENTÁRIO_08_2025!C:C,"Windows",INVENTÁRIO_08_2025!E:E,"Fisico")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COUNTIFS(INVENTÁRIO_08_2025!C:C,"Linux",INVENTÁRIO_08_2025!D:D,"*RedHat 9*",INVENTÁRIO_08_2025!E:E,"Virtual")</f>
        <v>22</v>
      </c>
      <c r="D9" s="7"/>
      <c r="E9" s="5" t="s">
        <v>9</v>
      </c>
      <c r="F9" s="6">
        <f>COUNTIFS(INVENTÁRIO_08_2025!C:C,"Linux",INVENTÁRIO_08_2025!D:D,"*RedHat 9*",INVENTÁRIO_08_2025!E:E,"Fisico")</f>
        <v>0</v>
      </c>
      <c r="G9" s="7"/>
      <c r="H9" s="5" t="s">
        <v>10</v>
      </c>
      <c r="I9" s="6">
        <f>COUNTIFS(INVENTÁRIO_08_2025!C:C,"Windows",INVENTÁRIO_08_2025!D:D,"*2022*",INVENTÁRIO_08_2025!E:E,"Virtual")</f>
        <v>42</v>
      </c>
      <c r="K9" s="5" t="s">
        <v>10</v>
      </c>
      <c r="L9" s="6">
        <f>COUNTIFS(INVENTÁRIO_08_2025!C:C,"Windows",INVENTÁRIO_08_2025!D:D,"*2022*",INVENTÁRIO_08_2025!E:E,"Fisico")</f>
        <v>22</v>
      </c>
    </row>
    <row r="10" spans="2:12">
      <c r="B10" s="5" t="s">
        <v>11</v>
      </c>
      <c r="C10" s="6">
        <f>COUNTIFS(INVENTÁRIO_08_2025!C:C,"Linux",INVENTÁRIO_08_2025!D:D,"*RedHat 8*",INVENTÁRIO_08_2025!E:E,"Virtual")</f>
        <v>9</v>
      </c>
      <c r="D10" s="7"/>
      <c r="E10" s="5" t="s">
        <v>11</v>
      </c>
      <c r="F10" s="6">
        <f>COUNTIFS(INVENTÁRIO_08_2025!C:C,"Linux",INVENTÁRIO_08_2025!D:D,"*RedHat 8*",INVENTÁRIO_08_2025!E:E,"Fisico")</f>
        <v>2</v>
      </c>
      <c r="G10" s="7"/>
      <c r="H10" s="5" t="s">
        <v>12</v>
      </c>
      <c r="I10" s="6">
        <f>COUNTIFS(INVENTÁRIO_08_2025!C:C,"Windows",INVENTÁRIO_08_2025!D:D,"*2019*",INVENTÁRIO_08_2025!E:E,"Virtual")</f>
        <v>51</v>
      </c>
      <c r="K10" s="5" t="s">
        <v>12</v>
      </c>
      <c r="L10" s="6">
        <f>COUNTIFS(INVENTÁRIO_08_2025!C:C,"Windows",INVENTÁRIO_08_2025!D:D,"*2019*",INVENTÁRIO_08_2025!E:E,"Fisico")</f>
        <v>14</v>
      </c>
    </row>
    <row r="11" spans="2:12">
      <c r="B11" s="5" t="s">
        <v>13</v>
      </c>
      <c r="C11" s="6">
        <f>COUNTIFS(INVENTÁRIO_08_2025!C:C,"Linux",INVENTÁRIO_08_2025!D:D,"*RedHat 7*",INVENTÁRIO_08_2025!E:E,"Virtual")</f>
        <v>6</v>
      </c>
      <c r="D11" s="7"/>
      <c r="E11" s="5" t="s">
        <v>13</v>
      </c>
      <c r="F11" s="6">
        <f>COUNTIFS(INVENTÁRIO_08_2025!C:C,"Linux",INVENTÁRIO_08_2025!D:D,"*RedHat 7*",INVENTÁRIO_08_2025!E:E,"Fisico")</f>
        <v>1</v>
      </c>
      <c r="G11" s="7"/>
      <c r="H11" s="5" t="s">
        <v>14</v>
      </c>
      <c r="I11" s="6">
        <f>COUNTIFS(INVENTÁRIO_08_2025!C:C,"Windows",INVENTÁRIO_08_2025!D:D,"*2016*",INVENTÁRIO_08_2025!E:E,"Virtual")</f>
        <v>77</v>
      </c>
      <c r="K11" s="5" t="s">
        <v>14</v>
      </c>
      <c r="L11" s="6">
        <f>COUNTIFS(INVENTÁRIO_08_2025!C:C,"Windows",INVENTÁRIO_08_2025!D:D,"*2016*",INVENTÁRIO_08_2025!E:E,"Fisico")</f>
        <v>0</v>
      </c>
    </row>
    <row r="12" spans="2:12">
      <c r="B12" s="5" t="s">
        <v>15</v>
      </c>
      <c r="C12" s="6">
        <f>COUNTIFS(INVENTÁRIO_08_2025!C:C,"Linux",INVENTÁRIO_08_2025!D:D,"*RedHat 6*",INVENTÁRIO_08_2025!E:E,"Virtual")</f>
        <v>9</v>
      </c>
      <c r="D12" s="7"/>
      <c r="E12" s="5" t="s">
        <v>15</v>
      </c>
      <c r="F12" s="6">
        <f>COUNTIFS(INVENTÁRIO_08_2025!C:C,"Linux",INVENTÁRIO_08_2025!D:D,"*RedHat 6*",INVENTÁRIO_08_2025!E:E,"Fisico")</f>
        <v>23</v>
      </c>
      <c r="G12" s="7"/>
      <c r="H12" s="5" t="s">
        <v>16</v>
      </c>
      <c r="I12" s="6">
        <f>COUNTIFS(INVENTÁRIO_08_2025!C:C,"Windows",INVENTÁRIO_08_2025!D:D,"*2012*",INVENTÁRIO_08_2025!E:E,"Virtual")</f>
        <v>49</v>
      </c>
      <c r="K12" s="5" t="s">
        <v>16</v>
      </c>
      <c r="L12" s="6">
        <f>COUNTIFS(INVENTÁRIO_08_2025!C:C,"Windows",INVENTÁRIO_08_2025!D:D,"*2012*",INVENTÁRIO_08_2025!E:E,"Fisico")</f>
        <v>7</v>
      </c>
    </row>
    <row r="13" spans="2:12">
      <c r="B13" s="5" t="s">
        <v>17</v>
      </c>
      <c r="C13" s="6">
        <f>COUNTIFS(INVENTÁRIO_08_2025!C:C,"Linux",INVENTÁRIO_08_2025!D:D,"*RedHat 5*",INVENTÁRIO_08_2025!E:E,"Virtual")</f>
        <v>0</v>
      </c>
      <c r="D13" s="7"/>
      <c r="E13" s="5" t="s">
        <v>17</v>
      </c>
      <c r="F13" s="6">
        <f>COUNTIFS(INVENTÁRIO_08_2025!C:C,"Linux",INVENTÁRIO_08_2025!D:D,"*RedHat 5*",INVENTÁRIO_08_2025!E:E,"Fisico")</f>
        <v>1</v>
      </c>
      <c r="G13" s="7"/>
      <c r="H13" s="5" t="s">
        <v>18</v>
      </c>
      <c r="I13" s="6">
        <f>COUNTIFS(INVENTÁRIO_08_2025!C:C,"Windows",INVENTÁRIO_08_2025!D:D,"*2008*",INVENTÁRIO_08_2025!E:E,"Virtual")</f>
        <v>54</v>
      </c>
      <c r="K13" s="5" t="s">
        <v>18</v>
      </c>
      <c r="L13" s="6">
        <f>COUNTIFS(INVENTÁRIO_08_2025!C:C,"Windows",INVENTÁRIO_08_2025!D:D,"*2008*",INVENTÁRIO_08_2025!E:E,"Fisico")</f>
        <v>6</v>
      </c>
    </row>
    <row r="14" spans="2:12">
      <c r="B14" s="5" t="s">
        <v>19</v>
      </c>
      <c r="C14" s="6">
        <f>COUNTIFS(INVENTÁRIO_08_2025!C:C,"Linux",INVENTÁRIO_08_2025!D:D,"*Ubuntu*",INVENTÁRIO_08_2025!E:E,"Virtual")</f>
        <v>30</v>
      </c>
      <c r="D14" s="7"/>
      <c r="E14" s="5" t="s">
        <v>19</v>
      </c>
      <c r="F14" s="6">
        <f>COUNTIFS(INVENTÁRIO_08_2025!C:C,"Linux",INVENTÁRIO_08_2025!D:D,"*Ubuntu*",INVENTÁRIO_08_2025!E:E,"Fisico")</f>
        <v>1</v>
      </c>
      <c r="G14" s="7"/>
      <c r="H14" s="5" t="s">
        <v>20</v>
      </c>
      <c r="I14" s="6">
        <f>COUNTIFS(INVENTÁRIO_08_2025!C:C,"Windows",INVENTÁRIO_08_2025!D:D,"*10*",INVENTÁRIO_08_2025!E:E,"Virtual")</f>
        <v>2</v>
      </c>
      <c r="K14" s="5" t="s">
        <v>20</v>
      </c>
      <c r="L14" s="6">
        <f>COUNTIFS(INVENTÁRIO_08_2025!C:C,"Windows",INVENTÁRIO_08_2025!D:D,"*10*",INVENTÁRIO_08_2025!E:E,"Fisico")</f>
        <v>0</v>
      </c>
    </row>
    <row r="15" spans="2:12">
      <c r="B15" s="5" t="s">
        <v>21</v>
      </c>
      <c r="C15" s="6">
        <f>COUNTIFS(INVENTÁRIO_08_2025!C:C,"Linux",INVENTÁRIO_08_2025!D:D,"*Centos*",INVENTÁRIO_08_2025!E:E,"Virtual")</f>
        <v>4</v>
      </c>
      <c r="D15" s="7"/>
      <c r="E15" s="5" t="s">
        <v>21</v>
      </c>
      <c r="F15" s="6">
        <f>COUNTIFS(INVENTÁRIO_08_2025!C:C,"Linux",INVENTÁRIO_08_2025!D:D,"*Centos*",INVENTÁRIO_08_2025!E:E,"Fisico")</f>
        <v>0</v>
      </c>
      <c r="G15" s="7"/>
      <c r="H15" s="5" t="s">
        <v>22</v>
      </c>
      <c r="I15" s="6">
        <f>COUNTIFS(INVENTÁRIO_08_2025!C:C,"Windows",INVENTÁRIO_08_2025!D:D,"*Windows 8*",INVENTÁRIO_08_2025!E:E,"Virtual")</f>
        <v>0</v>
      </c>
      <c r="K15" s="5" t="s">
        <v>22</v>
      </c>
      <c r="L15" s="6">
        <f>COUNTIFS(INVENTÁRIO_08_2025!C:C,"Windows",INVENTÁRIO_08_2025!D:D,"*Windows 8*",INVENTÁRIO_08_2025!E:E,"Fisico")</f>
        <v>0</v>
      </c>
    </row>
    <row r="16" spans="2:12">
      <c r="B16" s="5" t="s">
        <v>23</v>
      </c>
      <c r="C16" s="6">
        <f>COUNTIFS(INVENTÁRIO_08_2025!C:C,"Linux",INVENTÁRIO_08_2025!D:D,"*Debian*",INVENTÁRIO_08_2025!E:E,"Virtual")</f>
        <v>7</v>
      </c>
      <c r="D16" s="7"/>
      <c r="E16" s="5" t="s">
        <v>23</v>
      </c>
      <c r="F16" s="6">
        <f>COUNTIFS(INVENTÁRIO_08_2025!C:C,"Linux",INVENTÁRIO_08_2025!D:D,"*Debian*",INVENTÁRIO_08_2025!E:E,"Fisico")</f>
        <v>0</v>
      </c>
      <c r="G16" s="7"/>
      <c r="H16" s="12" t="s">
        <v>24</v>
      </c>
      <c r="I16" s="13">
        <f>COUNTIFS(INVENTÁRIO_08_2025!C:C,"Windows",INVENTÁRIO_08_2025!D:D,"*7*",INVENTÁRIO_08_2025!E:E,"Virtual")</f>
        <v>2</v>
      </c>
      <c r="K16" s="12" t="s">
        <v>24</v>
      </c>
      <c r="L16" s="13">
        <f>COUNTIFS(INVENTÁRIO_08_2025!C:C,"Windows",INVENTÁRIO_08_2025!D:D,"*7*",INVENTÁRIO_08_2025!E:E,"Fisico")</f>
        <v>0</v>
      </c>
    </row>
    <row r="17" spans="2:12">
      <c r="B17" s="5" t="s">
        <v>25</v>
      </c>
      <c r="C17" s="6">
        <f>COUNTIFS(INVENTÁRIO_08_2025!C:C,"Linux",INVENTÁRIO_08_2025!D:D,"*Suse*",INVENTÁRIO_08_2025!E:E,"Virtual")</f>
        <v>10</v>
      </c>
      <c r="D17" s="7"/>
      <c r="E17" s="5" t="s">
        <v>25</v>
      </c>
      <c r="F17" s="6">
        <f>COUNTIFS(INVENTÁRIO_08_2025!C:C,"Linux",INVENTÁRIO_08_2025!D:D,"*Suse*",INVENTÁRIO_08_2025!E:E,"Fisico")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97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2" t="s">
        <v>28</v>
      </c>
      <c r="C22" s="53"/>
      <c r="E22" s="52" t="s">
        <v>611</v>
      </c>
      <c r="F22" s="53"/>
      <c r="H22" s="52" t="s">
        <v>30</v>
      </c>
      <c r="I22" s="53"/>
      <c r="K22" s="52" t="s">
        <v>612</v>
      </c>
      <c r="L22" s="53"/>
    </row>
    <row r="23" spans="2:12">
      <c r="B23" s="8" t="s">
        <v>10</v>
      </c>
      <c r="C23" s="9">
        <f>I9+L9</f>
        <v>64</v>
      </c>
      <c r="E23" s="36" t="s">
        <v>699</v>
      </c>
      <c r="F23" s="37"/>
      <c r="H23" s="36" t="s">
        <v>688</v>
      </c>
      <c r="I23" s="37"/>
      <c r="K23" s="8" t="s">
        <v>32</v>
      </c>
      <c r="L23" s="9">
        <f>L25+L24</f>
        <v>483</v>
      </c>
    </row>
    <row r="24" spans="2:12">
      <c r="B24" s="8" t="s">
        <v>12</v>
      </c>
      <c r="C24" s="9">
        <f>I10+L10</f>
        <v>65</v>
      </c>
      <c r="E24" s="24" t="s">
        <v>700</v>
      </c>
      <c r="F24" s="41" t="s">
        <v>676</v>
      </c>
      <c r="H24" s="24" t="s">
        <v>619</v>
      </c>
      <c r="I24" s="41" t="s">
        <v>676</v>
      </c>
      <c r="K24" s="8" t="s">
        <v>33</v>
      </c>
      <c r="L24" s="9">
        <f>C5+F5</f>
        <v>157</v>
      </c>
    </row>
    <row r="25" spans="2:12">
      <c r="B25" s="8" t="s">
        <v>14</v>
      </c>
      <c r="C25" s="9">
        <f>I11</f>
        <v>77</v>
      </c>
      <c r="E25" s="24" t="s">
        <v>701</v>
      </c>
      <c r="F25" s="41" t="s">
        <v>676</v>
      </c>
      <c r="H25" s="24" t="s">
        <v>442</v>
      </c>
      <c r="I25" s="41" t="s">
        <v>676</v>
      </c>
      <c r="K25" s="8" t="s">
        <v>34</v>
      </c>
      <c r="L25" s="9">
        <f>L5+I5</f>
        <v>326</v>
      </c>
    </row>
    <row r="26" spans="2:12">
      <c r="B26" s="8" t="s">
        <v>18</v>
      </c>
      <c r="C26" s="9">
        <f>I13+L13</f>
        <v>60</v>
      </c>
      <c r="E26" s="24" t="s">
        <v>702</v>
      </c>
      <c r="F26" s="41" t="s">
        <v>676</v>
      </c>
      <c r="H26" s="24" t="s">
        <v>580</v>
      </c>
      <c r="I26" s="41" t="s">
        <v>676</v>
      </c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56</v>
      </c>
      <c r="E27" s="24" t="s">
        <v>703</v>
      </c>
      <c r="F27" s="41" t="s">
        <v>676</v>
      </c>
      <c r="H27" s="39" t="s">
        <v>551</v>
      </c>
      <c r="I27" s="48" t="s">
        <v>676</v>
      </c>
      <c r="K27" s="8" t="s">
        <v>5</v>
      </c>
      <c r="L27" s="9">
        <f>C5+I5</f>
        <v>384</v>
      </c>
    </row>
    <row r="28" spans="2:12">
      <c r="B28" s="8" t="s">
        <v>35</v>
      </c>
      <c r="C28" s="9">
        <f>C9+C10+C11+C12+C13+F9+F10+F11+F12+F13</f>
        <v>73</v>
      </c>
      <c r="E28" s="24" t="s">
        <v>704</v>
      </c>
      <c r="F28" s="41" t="s">
        <v>676</v>
      </c>
      <c r="H28"/>
      <c r="K28" s="8" t="s">
        <v>37</v>
      </c>
      <c r="L28" s="9">
        <f>C7+F7+I7+L7</f>
        <v>427</v>
      </c>
    </row>
    <row r="29" spans="2:12">
      <c r="B29" s="8" t="s">
        <v>36</v>
      </c>
      <c r="C29" s="9">
        <f>C14+F14</f>
        <v>31</v>
      </c>
      <c r="E29" s="24" t="s">
        <v>705</v>
      </c>
      <c r="F29" s="41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4</v>
      </c>
      <c r="E30" s="24" t="s">
        <v>706</v>
      </c>
      <c r="F30" s="41"/>
      <c r="K30" s="8" t="s">
        <v>621</v>
      </c>
      <c r="L30" s="9">
        <v>41</v>
      </c>
    </row>
    <row r="31" spans="2:12">
      <c r="B31" s="8" t="s">
        <v>40</v>
      </c>
      <c r="C31" s="9">
        <f>C17+F17</f>
        <v>10</v>
      </c>
      <c r="E31" s="24" t="s">
        <v>707</v>
      </c>
      <c r="F31" s="41"/>
      <c r="K31" s="8" t="s">
        <v>623</v>
      </c>
      <c r="L31" s="9">
        <v>5</v>
      </c>
    </row>
    <row r="32" spans="2:12">
      <c r="B32" s="14" t="s">
        <v>654</v>
      </c>
      <c r="C32" s="11">
        <f>C19+F19+I14+I15+I16+C16+F16</f>
        <v>43</v>
      </c>
      <c r="E32" s="24" t="s">
        <v>708</v>
      </c>
      <c r="F32" s="41" t="s">
        <v>685</v>
      </c>
    </row>
    <row r="33" spans="5:14">
      <c r="E33" s="24" t="s">
        <v>709</v>
      </c>
      <c r="F33" s="41"/>
    </row>
    <row r="34" spans="5:14">
      <c r="E34" s="24" t="s">
        <v>710</v>
      </c>
      <c r="F34" s="41"/>
    </row>
    <row r="35" spans="5:14">
      <c r="E35" s="24" t="s">
        <v>711</v>
      </c>
      <c r="F35" s="41"/>
    </row>
    <row r="36" spans="5:14">
      <c r="E36" s="24" t="s">
        <v>712</v>
      </c>
      <c r="F36" s="41"/>
    </row>
    <row r="37" spans="5:14">
      <c r="E37" s="24" t="s">
        <v>713</v>
      </c>
      <c r="F37" s="41"/>
      <c r="M37" s="7"/>
      <c r="N37" s="7"/>
    </row>
    <row r="38" spans="5:14">
      <c r="E38" s="24" t="s">
        <v>714</v>
      </c>
      <c r="F38" s="41"/>
      <c r="M38" s="7"/>
      <c r="N38" s="7"/>
    </row>
    <row r="39" spans="5:14">
      <c r="E39" s="24" t="s">
        <v>715</v>
      </c>
      <c r="F39" s="41"/>
    </row>
    <row r="40" spans="5:14">
      <c r="E40" s="24" t="s">
        <v>716</v>
      </c>
      <c r="F40" s="41"/>
    </row>
    <row r="41" spans="5:14">
      <c r="E41" s="24" t="s">
        <v>717</v>
      </c>
      <c r="F41" s="41"/>
    </row>
    <row r="42" spans="5:14">
      <c r="E42" s="24" t="s">
        <v>718</v>
      </c>
      <c r="F42" s="41"/>
    </row>
    <row r="43" spans="5:14">
      <c r="E43" s="24" t="s">
        <v>719</v>
      </c>
      <c r="F43" s="41"/>
    </row>
    <row r="44" spans="5:14">
      <c r="E44" s="24" t="s">
        <v>581</v>
      </c>
      <c r="F44" s="41"/>
    </row>
    <row r="45" spans="5:14">
      <c r="E45" s="24" t="s">
        <v>720</v>
      </c>
      <c r="F45" s="41"/>
    </row>
    <row r="46" spans="5:14">
      <c r="E46" s="24" t="s">
        <v>721</v>
      </c>
      <c r="F46" s="41"/>
    </row>
    <row r="47" spans="5:14">
      <c r="E47" s="24" t="s">
        <v>722</v>
      </c>
      <c r="F47" s="41"/>
    </row>
    <row r="48" spans="5:14">
      <c r="E48" s="24" t="s">
        <v>723</v>
      </c>
      <c r="F48" s="41"/>
    </row>
    <row r="49" spans="5:6">
      <c r="E49" s="24" t="s">
        <v>724</v>
      </c>
      <c r="F49" s="41"/>
    </row>
    <row r="50" spans="5:6">
      <c r="E50" s="24" t="s">
        <v>725</v>
      </c>
      <c r="F50" s="41"/>
    </row>
    <row r="51" spans="5:6">
      <c r="E51" s="24" t="s">
        <v>726</v>
      </c>
      <c r="F51" s="41"/>
    </row>
    <row r="52" spans="5:6">
      <c r="E52" s="24" t="s">
        <v>452</v>
      </c>
      <c r="F52" s="41"/>
    </row>
    <row r="53" spans="5:6">
      <c r="E53" s="24" t="s">
        <v>641</v>
      </c>
      <c r="F53" s="41"/>
    </row>
    <row r="54" spans="5:6">
      <c r="E54" s="24" t="s">
        <v>643</v>
      </c>
      <c r="F54" s="41"/>
    </row>
    <row r="55" spans="5:6">
      <c r="E55" s="24" t="s">
        <v>727</v>
      </c>
      <c r="F55" s="41"/>
    </row>
    <row r="56" spans="5:6">
      <c r="E56" s="24" t="s">
        <v>728</v>
      </c>
      <c r="F56" s="41"/>
    </row>
    <row r="57" spans="5:6">
      <c r="E57" s="24" t="s">
        <v>729</v>
      </c>
      <c r="F57" s="41"/>
    </row>
    <row r="58" spans="5:6">
      <c r="E58" s="24" t="s">
        <v>730</v>
      </c>
      <c r="F58" s="41"/>
    </row>
    <row r="59" spans="5:6">
      <c r="E59" s="24" t="s">
        <v>731</v>
      </c>
      <c r="F59" s="41"/>
    </row>
    <row r="60" spans="5:6">
      <c r="E60" s="24" t="s">
        <v>732</v>
      </c>
      <c r="F60" s="41"/>
    </row>
    <row r="61" spans="5:6">
      <c r="E61" s="24" t="s">
        <v>461</v>
      </c>
      <c r="F61" s="41"/>
    </row>
    <row r="62" spans="5:6">
      <c r="E62" s="24" t="s">
        <v>482</v>
      </c>
      <c r="F62" s="41"/>
    </row>
    <row r="63" spans="5:6">
      <c r="E63" s="39" t="s">
        <v>431</v>
      </c>
      <c r="F63" s="48"/>
    </row>
  </sheetData>
  <sheetProtection algorithmName="SHA-512" hashValue="KtJ6XcP7uDqOcatJT7ij0384Bmrh9Yy/ZCZ5r98O85uFeW28L2KrFZC7N8yf+LwpYkyuNyNO9a+Hs32SOOsKgQ==" saltValue="4Icy0gidvUTdr1PTR2or2g==" spinCount="100000" sheet="1" objects="1" scenarios="1"/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7030A0"/>
  </sheetPr>
  <dimension ref="A1:G485"/>
  <sheetViews>
    <sheetView tabSelected="1" zoomScaleNormal="100" workbookViewId="0">
      <pane ySplit="1" topLeftCell="A347" activePane="bottomLeft" state="frozen"/>
      <selection pane="bottomLeft" activeCell="A53" sqref="A53:A485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37" customWidth="1"/>
    <col min="8" max="8" width="44.8984375" bestFit="1" customWidth="1"/>
  </cols>
  <sheetData>
    <row r="1" spans="1:7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</row>
    <row r="2" spans="1:7" hidden="1">
      <c r="A2" t="s">
        <v>162</v>
      </c>
      <c r="B2" t="s">
        <v>61</v>
      </c>
      <c r="C2" t="s">
        <v>116</v>
      </c>
      <c r="D2" t="s">
        <v>117</v>
      </c>
      <c r="E2" t="s">
        <v>156</v>
      </c>
      <c r="F2" t="s">
        <v>733</v>
      </c>
      <c r="G2" t="str">
        <f>VLOOKUP(A:A,INVENTÁRIO_07_2025!A:A,1,0)</f>
        <v>CCTVGRU20</v>
      </c>
    </row>
    <row r="3" spans="1:7" hidden="1">
      <c r="A3" t="s">
        <v>589</v>
      </c>
      <c r="B3" t="s">
        <v>50</v>
      </c>
      <c r="C3" t="s">
        <v>116</v>
      </c>
      <c r="D3" t="s">
        <v>153</v>
      </c>
      <c r="E3" t="s">
        <v>53</v>
      </c>
      <c r="F3" t="s">
        <v>133</v>
      </c>
      <c r="G3" t="str">
        <f>VLOOKUP(A:A,INVENTÁRIO_07_2025!A:A,1,0)</f>
        <v>GRUSPRDCFTV200</v>
      </c>
    </row>
    <row r="4" spans="1:7" hidden="1">
      <c r="A4" t="s">
        <v>590</v>
      </c>
      <c r="B4" t="s">
        <v>50</v>
      </c>
      <c r="C4" t="s">
        <v>116</v>
      </c>
      <c r="D4" t="s">
        <v>153</v>
      </c>
      <c r="E4" t="s">
        <v>53</v>
      </c>
      <c r="F4" t="s">
        <v>133</v>
      </c>
      <c r="G4" t="str">
        <f>VLOOKUP(A:A,INVENTÁRIO_07_2025!A:A,1,0)</f>
        <v>GRUSPRDCFTV201</v>
      </c>
    </row>
    <row r="5" spans="1:7" hidden="1">
      <c r="A5" t="s">
        <v>591</v>
      </c>
      <c r="B5" t="s">
        <v>50</v>
      </c>
      <c r="C5" t="s">
        <v>116</v>
      </c>
      <c r="D5" t="s">
        <v>153</v>
      </c>
      <c r="E5" t="s">
        <v>53</v>
      </c>
      <c r="F5" t="s">
        <v>133</v>
      </c>
      <c r="G5" t="str">
        <f>VLOOKUP(A:A,INVENTÁRIO_07_2025!A:A,1,0)</f>
        <v>GRUSPRDCFTV202</v>
      </c>
    </row>
    <row r="6" spans="1:7" hidden="1">
      <c r="A6" t="s">
        <v>592</v>
      </c>
      <c r="B6" t="s">
        <v>50</v>
      </c>
      <c r="C6" t="s">
        <v>116</v>
      </c>
      <c r="D6" t="s">
        <v>153</v>
      </c>
      <c r="E6" t="s">
        <v>53</v>
      </c>
      <c r="F6" t="s">
        <v>133</v>
      </c>
      <c r="G6" t="str">
        <f>VLOOKUP(A:A,INVENTÁRIO_07_2025!A:A,1,0)</f>
        <v>GRUSPRDCFTV203</v>
      </c>
    </row>
    <row r="7" spans="1:7" hidden="1">
      <c r="A7" t="s">
        <v>593</v>
      </c>
      <c r="B7" t="s">
        <v>50</v>
      </c>
      <c r="C7" t="s">
        <v>116</v>
      </c>
      <c r="D7" t="s">
        <v>153</v>
      </c>
      <c r="E7" t="s">
        <v>53</v>
      </c>
      <c r="F7" t="s">
        <v>133</v>
      </c>
      <c r="G7" t="str">
        <f>VLOOKUP(A:A,INVENTÁRIO_07_2025!A:A,1,0)</f>
        <v>GRUSPRDCFTV204</v>
      </c>
    </row>
    <row r="8" spans="1:7" hidden="1">
      <c r="A8" t="s">
        <v>594</v>
      </c>
      <c r="B8" t="s">
        <v>50</v>
      </c>
      <c r="C8" t="s">
        <v>116</v>
      </c>
      <c r="D8" t="s">
        <v>153</v>
      </c>
      <c r="E8" t="s">
        <v>53</v>
      </c>
      <c r="F8" t="s">
        <v>133</v>
      </c>
      <c r="G8" t="str">
        <f>VLOOKUP(A:A,INVENTÁRIO_07_2025!A:A,1,0)</f>
        <v>GRUSPRDCFTV205</v>
      </c>
    </row>
    <row r="9" spans="1:7" hidden="1">
      <c r="A9" t="s">
        <v>595</v>
      </c>
      <c r="B9" t="s">
        <v>50</v>
      </c>
      <c r="C9" t="s">
        <v>116</v>
      </c>
      <c r="D9" t="s">
        <v>153</v>
      </c>
      <c r="E9" t="s">
        <v>53</v>
      </c>
      <c r="F9" t="s">
        <v>133</v>
      </c>
      <c r="G9" t="str">
        <f>VLOOKUP(A:A,INVENTÁRIO_07_2025!A:A,1,0)</f>
        <v>GRUSPRDCFTV206</v>
      </c>
    </row>
    <row r="10" spans="1:7" hidden="1">
      <c r="A10" t="s">
        <v>596</v>
      </c>
      <c r="B10" t="s">
        <v>50</v>
      </c>
      <c r="C10" t="s">
        <v>116</v>
      </c>
      <c r="D10" t="s">
        <v>153</v>
      </c>
      <c r="E10" t="s">
        <v>53</v>
      </c>
      <c r="F10" t="s">
        <v>133</v>
      </c>
      <c r="G10" t="str">
        <f>VLOOKUP(A:A,INVENTÁRIO_07_2025!A:A,1,0)</f>
        <v>GRUSPRDCFTV207</v>
      </c>
    </row>
    <row r="11" spans="1:7" hidden="1">
      <c r="A11" t="s">
        <v>597</v>
      </c>
      <c r="B11" t="s">
        <v>50</v>
      </c>
      <c r="C11" t="s">
        <v>116</v>
      </c>
      <c r="D11" t="s">
        <v>153</v>
      </c>
      <c r="E11" t="s">
        <v>53</v>
      </c>
      <c r="F11" t="s">
        <v>133</v>
      </c>
      <c r="G11" t="str">
        <f>VLOOKUP(A:A,INVENTÁRIO_07_2025!A:A,1,0)</f>
        <v>GRUSPRDCFTV208</v>
      </c>
    </row>
    <row r="12" spans="1:7" hidden="1">
      <c r="A12" t="s">
        <v>598</v>
      </c>
      <c r="B12" t="s">
        <v>50</v>
      </c>
      <c r="C12" t="s">
        <v>116</v>
      </c>
      <c r="D12" t="s">
        <v>153</v>
      </c>
      <c r="E12" t="s">
        <v>53</v>
      </c>
      <c r="F12" t="s">
        <v>133</v>
      </c>
      <c r="G12" t="str">
        <f>VLOOKUP(A:A,INVENTÁRIO_07_2025!A:A,1,0)</f>
        <v>GRUSPRDCFTV209</v>
      </c>
    </row>
    <row r="13" spans="1:7" hidden="1">
      <c r="A13" t="s">
        <v>599</v>
      </c>
      <c r="B13" t="s">
        <v>50</v>
      </c>
      <c r="C13" t="s">
        <v>116</v>
      </c>
      <c r="D13" t="s">
        <v>153</v>
      </c>
      <c r="E13" t="s">
        <v>53</v>
      </c>
      <c r="F13" t="s">
        <v>133</v>
      </c>
      <c r="G13" t="str">
        <f>VLOOKUP(A:A,INVENTÁRIO_07_2025!A:A,1,0)</f>
        <v>GRUSPRDCFTV210</v>
      </c>
    </row>
    <row r="14" spans="1:7" hidden="1">
      <c r="A14" t="s">
        <v>600</v>
      </c>
      <c r="B14" t="s">
        <v>50</v>
      </c>
      <c r="C14" t="s">
        <v>116</v>
      </c>
      <c r="D14" t="s">
        <v>153</v>
      </c>
      <c r="E14" t="s">
        <v>53</v>
      </c>
      <c r="F14" t="s">
        <v>133</v>
      </c>
      <c r="G14" t="str">
        <f>VLOOKUP(A:A,INVENTÁRIO_07_2025!A:A,1,0)</f>
        <v>GRUSPRDCFTV211</v>
      </c>
    </row>
    <row r="15" spans="1:7" hidden="1">
      <c r="A15" t="s">
        <v>601</v>
      </c>
      <c r="B15" t="s">
        <v>50</v>
      </c>
      <c r="C15" t="s">
        <v>116</v>
      </c>
      <c r="D15" t="s">
        <v>153</v>
      </c>
      <c r="E15" t="s">
        <v>53</v>
      </c>
      <c r="F15" t="s">
        <v>133</v>
      </c>
      <c r="G15" t="str">
        <f>VLOOKUP(A:A,INVENTÁRIO_07_2025!A:A,1,0)</f>
        <v>GRUSPRDCFTV212</v>
      </c>
    </row>
    <row r="16" spans="1:7" hidden="1">
      <c r="A16" t="s">
        <v>602</v>
      </c>
      <c r="B16" t="s">
        <v>50</v>
      </c>
      <c r="C16" t="s">
        <v>116</v>
      </c>
      <c r="D16" t="s">
        <v>153</v>
      </c>
      <c r="E16" t="s">
        <v>53</v>
      </c>
      <c r="F16" t="s">
        <v>133</v>
      </c>
      <c r="G16" t="str">
        <f>VLOOKUP(A:A,INVENTÁRIO_07_2025!A:A,1,0)</f>
        <v>GRUSPRDCFTV213</v>
      </c>
    </row>
    <row r="17" spans="1:7" hidden="1">
      <c r="A17" t="s">
        <v>603</v>
      </c>
      <c r="B17" t="s">
        <v>50</v>
      </c>
      <c r="C17" t="s">
        <v>116</v>
      </c>
      <c r="D17" t="s">
        <v>153</v>
      </c>
      <c r="E17" t="s">
        <v>53</v>
      </c>
      <c r="F17" t="s">
        <v>133</v>
      </c>
      <c r="G17" t="str">
        <f>VLOOKUP(A:A,INVENTÁRIO_07_2025!A:A,1,0)</f>
        <v>GRUSPRDCFTV214</v>
      </c>
    </row>
    <row r="18" spans="1:7" hidden="1">
      <c r="A18" t="s">
        <v>604</v>
      </c>
      <c r="B18" t="s">
        <v>50</v>
      </c>
      <c r="C18" t="s">
        <v>116</v>
      </c>
      <c r="D18" t="s">
        <v>153</v>
      </c>
      <c r="E18" t="s">
        <v>53</v>
      </c>
      <c r="F18" t="s">
        <v>133</v>
      </c>
      <c r="G18" t="str">
        <f>VLOOKUP(A:A,INVENTÁRIO_07_2025!A:A,1,0)</f>
        <v>GRUSPRDCFTV215</v>
      </c>
    </row>
    <row r="19" spans="1:7" hidden="1">
      <c r="A19" t="s">
        <v>605</v>
      </c>
      <c r="B19" t="s">
        <v>50</v>
      </c>
      <c r="C19" t="s">
        <v>116</v>
      </c>
      <c r="D19" t="s">
        <v>153</v>
      </c>
      <c r="E19" t="s">
        <v>53</v>
      </c>
      <c r="F19" t="s">
        <v>133</v>
      </c>
      <c r="G19" t="str">
        <f>VLOOKUP(A:A,INVENTÁRIO_07_2025!A:A,1,0)</f>
        <v>GRUSPRDCFTV216</v>
      </c>
    </row>
    <row r="20" spans="1:7" hidden="1">
      <c r="A20" t="s">
        <v>606</v>
      </c>
      <c r="B20" t="s">
        <v>50</v>
      </c>
      <c r="C20" t="s">
        <v>116</v>
      </c>
      <c r="D20" t="s">
        <v>153</v>
      </c>
      <c r="E20" t="s">
        <v>53</v>
      </c>
      <c r="F20" t="s">
        <v>133</v>
      </c>
      <c r="G20" t="str">
        <f>VLOOKUP(A:A,INVENTÁRIO_07_2025!A:A,1,0)</f>
        <v>GRUSPRDCFTV217</v>
      </c>
    </row>
    <row r="21" spans="1:7" hidden="1">
      <c r="A21" t="s">
        <v>607</v>
      </c>
      <c r="B21" t="s">
        <v>50</v>
      </c>
      <c r="C21" t="s">
        <v>116</v>
      </c>
      <c r="D21" t="s">
        <v>153</v>
      </c>
      <c r="E21" t="s">
        <v>53</v>
      </c>
      <c r="F21" t="s">
        <v>133</v>
      </c>
      <c r="G21" t="str">
        <f>VLOOKUP(A:A,INVENTÁRIO_07_2025!A:A,1,0)</f>
        <v>GRUSPRDCFTV218</v>
      </c>
    </row>
    <row r="22" spans="1:7" hidden="1">
      <c r="A22" t="s">
        <v>608</v>
      </c>
      <c r="B22" t="s">
        <v>50</v>
      </c>
      <c r="C22" t="s">
        <v>116</v>
      </c>
      <c r="D22" t="s">
        <v>153</v>
      </c>
      <c r="E22" t="s">
        <v>53</v>
      </c>
      <c r="F22" t="s">
        <v>133</v>
      </c>
      <c r="G22" t="str">
        <f>VLOOKUP(A:A,INVENTÁRIO_07_2025!A:A,1,0)</f>
        <v>GRUSPRDCFTV219</v>
      </c>
    </row>
    <row r="23" spans="1:7" hidden="1">
      <c r="A23" t="s">
        <v>609</v>
      </c>
      <c r="B23" t="s">
        <v>50</v>
      </c>
      <c r="C23" t="s">
        <v>116</v>
      </c>
      <c r="D23" t="s">
        <v>153</v>
      </c>
      <c r="E23" t="s">
        <v>53</v>
      </c>
      <c r="F23" t="s">
        <v>133</v>
      </c>
      <c r="G23" t="str">
        <f>VLOOKUP(A:A,INVENTÁRIO_07_2025!A:A,1,0)</f>
        <v>GRUSPRDCFTV220</v>
      </c>
    </row>
    <row r="24" spans="1:7" hidden="1">
      <c r="A24" t="s">
        <v>528</v>
      </c>
      <c r="B24" t="s">
        <v>61</v>
      </c>
      <c r="C24" t="s">
        <v>51</v>
      </c>
      <c r="D24" t="s">
        <v>109</v>
      </c>
      <c r="E24" t="s">
        <v>156</v>
      </c>
      <c r="F24" t="s">
        <v>327</v>
      </c>
      <c r="G24" t="str">
        <f>VLOOKUP(A:A,INVENTÁRIO_07_2025!A:A,1,0)</f>
        <v>SHOMAPCMSGRU03</v>
      </c>
    </row>
    <row r="25" spans="1:7" hidden="1">
      <c r="A25" t="s">
        <v>207</v>
      </c>
      <c r="B25" t="s">
        <v>61</v>
      </c>
      <c r="C25" t="s">
        <v>116</v>
      </c>
      <c r="D25" t="s">
        <v>136</v>
      </c>
      <c r="E25" t="s">
        <v>156</v>
      </c>
      <c r="F25" t="s">
        <v>733</v>
      </c>
      <c r="G25" t="str">
        <f>VLOOKUP(A:A,INVENTÁRIO_07_2025!A:A,1,0)</f>
        <v>PRDSQLSC020</v>
      </c>
    </row>
    <row r="26" spans="1:7" hidden="1">
      <c r="A26" t="s">
        <v>164</v>
      </c>
      <c r="B26" t="s">
        <v>61</v>
      </c>
      <c r="C26" t="s">
        <v>116</v>
      </c>
      <c r="D26" t="s">
        <v>122</v>
      </c>
      <c r="E26" t="s">
        <v>156</v>
      </c>
      <c r="F26" t="s">
        <v>733</v>
      </c>
      <c r="G26" t="str">
        <f>VLOOKUP(A:A,INVENTÁRIO_07_2025!A:A,1,0)</f>
        <v>SAD2-GRU</v>
      </c>
    </row>
    <row r="27" spans="1:7" hidden="1">
      <c r="A27" t="s">
        <v>348</v>
      </c>
      <c r="B27" t="s">
        <v>61</v>
      </c>
      <c r="C27" t="s">
        <v>116</v>
      </c>
      <c r="D27" t="s">
        <v>163</v>
      </c>
      <c r="E27" t="s">
        <v>156</v>
      </c>
      <c r="F27" t="s">
        <v>733</v>
      </c>
      <c r="G27" t="str">
        <f>VLOOKUP(A:A,INVENTÁRIO_07_2025!A:A,1,0)</f>
        <v>SADGUESTGRU01</v>
      </c>
    </row>
    <row r="28" spans="1:7" hidden="1">
      <c r="A28" t="s">
        <v>350</v>
      </c>
      <c r="B28" t="s">
        <v>61</v>
      </c>
      <c r="C28" t="s">
        <v>116</v>
      </c>
      <c r="D28" t="s">
        <v>117</v>
      </c>
      <c r="E28" t="s">
        <v>156</v>
      </c>
      <c r="F28" t="s">
        <v>327</v>
      </c>
      <c r="G28" t="str">
        <f>VLOOKUP(A:A,INVENTÁRIO_07_2025!A:A,1,0)</f>
        <v>SDESAPMNTGRU01</v>
      </c>
    </row>
    <row r="29" spans="1:7" hidden="1">
      <c r="A29" t="s">
        <v>522</v>
      </c>
      <c r="B29" t="s">
        <v>61</v>
      </c>
      <c r="C29" t="s">
        <v>51</v>
      </c>
      <c r="D29" t="s">
        <v>85</v>
      </c>
      <c r="E29" t="s">
        <v>156</v>
      </c>
      <c r="F29" t="s">
        <v>327</v>
      </c>
      <c r="G29" t="str">
        <f>VLOOKUP(A:A,INVENTÁRIO_07_2025!A:A,1,0)</f>
        <v>SDEVAPECGRU01</v>
      </c>
    </row>
    <row r="30" spans="1:7" hidden="1">
      <c r="A30" t="s">
        <v>523</v>
      </c>
      <c r="B30" t="s">
        <v>61</v>
      </c>
      <c r="C30" t="s">
        <v>51</v>
      </c>
      <c r="D30" t="s">
        <v>85</v>
      </c>
      <c r="E30" t="s">
        <v>156</v>
      </c>
      <c r="F30" t="s">
        <v>327</v>
      </c>
      <c r="G30" t="str">
        <f>VLOOKUP(A:A,INVENTÁRIO_07_2025!A:A,1,0)</f>
        <v>SDQBDORAGRU01</v>
      </c>
    </row>
    <row r="31" spans="1:7" hidden="1">
      <c r="A31" t="s">
        <v>524</v>
      </c>
      <c r="B31" t="s">
        <v>61</v>
      </c>
      <c r="C31" t="s">
        <v>51</v>
      </c>
      <c r="D31" t="s">
        <v>85</v>
      </c>
      <c r="E31" t="s">
        <v>156</v>
      </c>
      <c r="F31" t="s">
        <v>327</v>
      </c>
      <c r="G31" t="str">
        <f>VLOOKUP(A:A,INVENTÁRIO_07_2025!A:A,1,0)</f>
        <v>SDQBDORAGRU02</v>
      </c>
    </row>
    <row r="32" spans="1:7" hidden="1">
      <c r="A32" t="s">
        <v>409</v>
      </c>
      <c r="B32" t="s">
        <v>61</v>
      </c>
      <c r="C32" t="s">
        <v>116</v>
      </c>
      <c r="D32" t="s">
        <v>174</v>
      </c>
      <c r="E32" t="s">
        <v>156</v>
      </c>
      <c r="F32" t="s">
        <v>327</v>
      </c>
      <c r="G32" t="str">
        <f>VLOOKUP(A:A,INVENTÁRIO_07_2025!A:A,1,0)</f>
        <v>SDQOEMCWGRU01</v>
      </c>
    </row>
    <row r="33" spans="1:7" hidden="1">
      <c r="A33" t="s">
        <v>165</v>
      </c>
      <c r="B33" t="s">
        <v>61</v>
      </c>
      <c r="C33" t="s">
        <v>116</v>
      </c>
      <c r="D33" t="s">
        <v>122</v>
      </c>
      <c r="E33" t="s">
        <v>156</v>
      </c>
      <c r="F33" t="s">
        <v>733</v>
      </c>
      <c r="G33" t="str">
        <f>VLOOKUP(A:A,INVENTÁRIO_07_2025!A:A,1,0)</f>
        <v>SFTP1-GRU</v>
      </c>
    </row>
    <row r="34" spans="1:7" hidden="1">
      <c r="A34" t="s">
        <v>699</v>
      </c>
      <c r="B34" t="s">
        <v>61</v>
      </c>
      <c r="C34" t="s">
        <v>116</v>
      </c>
      <c r="D34" t="s">
        <v>153</v>
      </c>
      <c r="E34" t="s">
        <v>156</v>
      </c>
      <c r="F34" t="s">
        <v>327</v>
      </c>
      <c r="G34" t="e">
        <f>VLOOKUP(A:A,INVENTÁRIO_07_2025!A:A,1,0)</f>
        <v>#N/A</v>
      </c>
    </row>
    <row r="35" spans="1:7" hidden="1">
      <c r="A35" t="s">
        <v>655</v>
      </c>
      <c r="B35" t="s">
        <v>61</v>
      </c>
      <c r="C35" t="s">
        <v>116</v>
      </c>
      <c r="D35" t="s">
        <v>572</v>
      </c>
      <c r="E35" t="s">
        <v>156</v>
      </c>
      <c r="F35" t="s">
        <v>327</v>
      </c>
      <c r="G35" t="str">
        <f>VLOOKUP(A:A,INVENTÁRIO_07_2025!A:A,1,0)</f>
        <v>SHOMADGRU001</v>
      </c>
    </row>
    <row r="36" spans="1:7" hidden="1">
      <c r="A36" t="s">
        <v>656</v>
      </c>
      <c r="B36" t="s">
        <v>50</v>
      </c>
      <c r="C36" t="s">
        <v>116</v>
      </c>
      <c r="D36" t="s">
        <v>572</v>
      </c>
      <c r="E36" t="s">
        <v>156</v>
      </c>
      <c r="F36" t="s">
        <v>327</v>
      </c>
      <c r="G36" t="str">
        <f>VLOOKUP(A:A,INVENTÁRIO_07_2025!A:A,1,0)</f>
        <v>SHOMADGRU002</v>
      </c>
    </row>
    <row r="37" spans="1:7" hidden="1">
      <c r="A37" t="s">
        <v>658</v>
      </c>
      <c r="B37" t="s">
        <v>61</v>
      </c>
      <c r="C37" t="s">
        <v>116</v>
      </c>
      <c r="D37" t="s">
        <v>572</v>
      </c>
      <c r="E37" t="s">
        <v>156</v>
      </c>
      <c r="F37" t="s">
        <v>327</v>
      </c>
      <c r="G37" t="str">
        <f>VLOOKUP(A:A,INVENTÁRIO_07_2025!A:A,1,0)</f>
        <v>SHOMADGRU003</v>
      </c>
    </row>
    <row r="38" spans="1:7" hidden="1">
      <c r="A38" t="s">
        <v>410</v>
      </c>
      <c r="B38" t="s">
        <v>61</v>
      </c>
      <c r="C38" t="s">
        <v>116</v>
      </c>
      <c r="D38" t="s">
        <v>174</v>
      </c>
      <c r="E38" t="s">
        <v>156</v>
      </c>
      <c r="F38" t="s">
        <v>327</v>
      </c>
      <c r="G38" t="str">
        <f>VLOOKUP(A:A,INVENTÁRIO_07_2025!A:A,1,0)</f>
        <v>SHOMADGRU01</v>
      </c>
    </row>
    <row r="39" spans="1:7" hidden="1">
      <c r="A39" t="s">
        <v>561</v>
      </c>
      <c r="B39" t="s">
        <v>50</v>
      </c>
      <c r="C39" t="s">
        <v>116</v>
      </c>
      <c r="D39" t="s">
        <v>562</v>
      </c>
      <c r="E39" t="s">
        <v>156</v>
      </c>
      <c r="F39" t="s">
        <v>327</v>
      </c>
      <c r="G39" t="str">
        <f>VLOOKUP(A:A,INVENTÁRIO_07_2025!A:A,1,0)</f>
        <v>SHOMADGRU02</v>
      </c>
    </row>
    <row r="40" spans="1:7" hidden="1">
      <c r="A40" t="s">
        <v>351</v>
      </c>
      <c r="B40" t="s">
        <v>61</v>
      </c>
      <c r="C40" t="s">
        <v>116</v>
      </c>
      <c r="D40" t="s">
        <v>163</v>
      </c>
      <c r="E40" t="s">
        <v>156</v>
      </c>
      <c r="F40" t="s">
        <v>327</v>
      </c>
      <c r="G40" t="str">
        <f>VLOOKUP(A:A,INVENTÁRIO_07_2025!A:A,1,0)</f>
        <v>SHOMAPAMSGRU01</v>
      </c>
    </row>
    <row r="41" spans="1:7" hidden="1">
      <c r="A41" t="s">
        <v>352</v>
      </c>
      <c r="B41" t="s">
        <v>61</v>
      </c>
      <c r="C41" t="s">
        <v>116</v>
      </c>
      <c r="D41" t="s">
        <v>163</v>
      </c>
      <c r="E41" t="s">
        <v>156</v>
      </c>
      <c r="F41" t="s">
        <v>327</v>
      </c>
      <c r="G41" t="str">
        <f>VLOOKUP(A:A,INVENTÁRIO_07_2025!A:A,1,0)</f>
        <v>SHOMAPAMSGRU02</v>
      </c>
    </row>
    <row r="42" spans="1:7" hidden="1">
      <c r="A42" t="s">
        <v>411</v>
      </c>
      <c r="B42" t="s">
        <v>61</v>
      </c>
      <c r="C42" t="s">
        <v>116</v>
      </c>
      <c r="D42" t="s">
        <v>174</v>
      </c>
      <c r="E42" t="s">
        <v>156</v>
      </c>
      <c r="F42" t="s">
        <v>327</v>
      </c>
      <c r="G42" t="str">
        <f>VLOOKUP(A:A,INVENTÁRIO_07_2025!A:A,1,0)</f>
        <v>SHOMAPAMSWGRU01</v>
      </c>
    </row>
    <row r="43" spans="1:7" hidden="1">
      <c r="A43" t="s">
        <v>563</v>
      </c>
      <c r="B43" t="s">
        <v>61</v>
      </c>
      <c r="C43" t="s">
        <v>116</v>
      </c>
      <c r="D43" t="s">
        <v>562</v>
      </c>
      <c r="E43" t="s">
        <v>156</v>
      </c>
      <c r="F43" t="s">
        <v>327</v>
      </c>
      <c r="G43" t="str">
        <f>VLOOKUP(A:A,INVENTÁRIO_07_2025!A:A,1,0)</f>
        <v>SHOMAPBCBPGRU01</v>
      </c>
    </row>
    <row r="44" spans="1:7" hidden="1">
      <c r="A44" t="s">
        <v>614</v>
      </c>
      <c r="B44" t="s">
        <v>61</v>
      </c>
      <c r="C44" t="s">
        <v>116</v>
      </c>
      <c r="D44" t="s">
        <v>562</v>
      </c>
      <c r="E44" t="s">
        <v>156</v>
      </c>
      <c r="F44" t="s">
        <v>327</v>
      </c>
      <c r="G44" t="str">
        <f>VLOOKUP(A:A,INVENTÁRIO_07_2025!A:A,1,0)</f>
        <v>SHOMAPBCBPGRU02</v>
      </c>
    </row>
    <row r="45" spans="1:7" hidden="1">
      <c r="A45" t="s">
        <v>89</v>
      </c>
      <c r="B45" t="s">
        <v>61</v>
      </c>
      <c r="C45" t="s">
        <v>51</v>
      </c>
      <c r="D45" t="s">
        <v>85</v>
      </c>
      <c r="E45" t="s">
        <v>53</v>
      </c>
      <c r="F45" t="s">
        <v>67</v>
      </c>
      <c r="G45" t="str">
        <f>VLOOKUP(A:A,INVENTÁRIO_07_2025!A:A,1,0)</f>
        <v>SHOMAPCMSGRU02</v>
      </c>
    </row>
    <row r="46" spans="1:7" hidden="1">
      <c r="A46" t="s">
        <v>530</v>
      </c>
      <c r="B46" t="s">
        <v>61</v>
      </c>
      <c r="C46" t="s">
        <v>51</v>
      </c>
      <c r="D46" t="s">
        <v>109</v>
      </c>
      <c r="E46" t="s">
        <v>156</v>
      </c>
      <c r="F46" t="s">
        <v>327</v>
      </c>
      <c r="G46" t="str">
        <f>VLOOKUP(A:A,INVENTÁRIO_07_2025!A:A,1,0)</f>
        <v>SHOMWBCMSGRU01</v>
      </c>
    </row>
    <row r="47" spans="1:7" hidden="1">
      <c r="A47" t="s">
        <v>564</v>
      </c>
      <c r="B47" t="s">
        <v>61</v>
      </c>
      <c r="C47" t="s">
        <v>116</v>
      </c>
      <c r="D47" t="s">
        <v>562</v>
      </c>
      <c r="E47" t="s">
        <v>156</v>
      </c>
      <c r="F47" t="s">
        <v>327</v>
      </c>
      <c r="G47" t="str">
        <f>VLOOKUP(A:A,INVENTÁRIO_07_2025!A:A,1,0)</f>
        <v>SHOMAPCMSGRU05</v>
      </c>
    </row>
    <row r="48" spans="1:7" hidden="1">
      <c r="A48" t="s">
        <v>617</v>
      </c>
      <c r="B48" t="s">
        <v>61</v>
      </c>
      <c r="C48" t="s">
        <v>51</v>
      </c>
      <c r="D48" t="s">
        <v>295</v>
      </c>
      <c r="E48" t="s">
        <v>156</v>
      </c>
      <c r="F48" t="s">
        <v>327</v>
      </c>
      <c r="G48" t="str">
        <f>VLOOKUP(A:A,INVENTÁRIO_07_2025!A:A,1,0)</f>
        <v>SHOMAPCUPSGRU01</v>
      </c>
    </row>
    <row r="49" spans="1:7" hidden="1">
      <c r="A49" t="s">
        <v>514</v>
      </c>
      <c r="B49" t="s">
        <v>61</v>
      </c>
      <c r="C49" t="s">
        <v>116</v>
      </c>
      <c r="D49" t="s">
        <v>572</v>
      </c>
      <c r="E49" t="s">
        <v>156</v>
      </c>
      <c r="F49" t="s">
        <v>327</v>
      </c>
      <c r="G49" t="str">
        <f>VLOOKUP(A:A,INVENTÁRIO_07_2025!A:A,1,0)</f>
        <v>SHOMAPESBGRU07</v>
      </c>
    </row>
    <row r="50" spans="1:7" hidden="1">
      <c r="A50" t="s">
        <v>618</v>
      </c>
      <c r="B50" t="s">
        <v>61</v>
      </c>
      <c r="C50" t="s">
        <v>51</v>
      </c>
      <c r="D50" t="s">
        <v>295</v>
      </c>
      <c r="E50" t="s">
        <v>156</v>
      </c>
      <c r="F50" t="s">
        <v>327</v>
      </c>
      <c r="G50" t="str">
        <f>VLOOKUP(A:A,INVENTÁRIO_07_2025!A:A,1,0)</f>
        <v>SHOMAPGPROGRU01</v>
      </c>
    </row>
    <row r="51" spans="1:7" hidden="1">
      <c r="A51" t="s">
        <v>529</v>
      </c>
      <c r="B51" t="s">
        <v>61</v>
      </c>
      <c r="C51" t="s">
        <v>51</v>
      </c>
      <c r="D51" t="s">
        <v>295</v>
      </c>
      <c r="E51" t="s">
        <v>156</v>
      </c>
      <c r="F51" t="s">
        <v>327</v>
      </c>
      <c r="G51" t="str">
        <f>VLOOKUP(A:A,INVENTÁRIO_07_2025!A:A,1,0)</f>
        <v>SHOMAPIHSGRU02</v>
      </c>
    </row>
    <row r="52" spans="1:7" hidden="1">
      <c r="A52" t="s">
        <v>353</v>
      </c>
      <c r="B52" t="s">
        <v>61</v>
      </c>
      <c r="C52" t="s">
        <v>116</v>
      </c>
      <c r="D52" t="s">
        <v>122</v>
      </c>
      <c r="E52" t="s">
        <v>156</v>
      </c>
      <c r="F52" t="s">
        <v>327</v>
      </c>
      <c r="G52" t="str">
        <f>VLOOKUP(A:A,INVENTÁRIO_07_2025!A:A,1,0)</f>
        <v>SHOMAPITLGRU01</v>
      </c>
    </row>
    <row r="53" spans="1:7">
      <c r="A53" t="s">
        <v>297</v>
      </c>
      <c r="B53" t="s">
        <v>61</v>
      </c>
      <c r="C53" t="s">
        <v>51</v>
      </c>
      <c r="D53" t="s">
        <v>109</v>
      </c>
      <c r="E53" t="s">
        <v>156</v>
      </c>
      <c r="F53" t="s">
        <v>733</v>
      </c>
      <c r="G53" t="str">
        <f>VLOOKUP(A:A,INVENTÁRIO_07_2025!A:A,1,0)</f>
        <v>SPRDAPIHSGRU01</v>
      </c>
    </row>
    <row r="54" spans="1:7" hidden="1">
      <c r="A54" t="s">
        <v>354</v>
      </c>
      <c r="B54" t="s">
        <v>61</v>
      </c>
      <c r="C54" t="s">
        <v>116</v>
      </c>
      <c r="D54" t="s">
        <v>163</v>
      </c>
      <c r="E54" t="s">
        <v>156</v>
      </c>
      <c r="F54" t="s">
        <v>327</v>
      </c>
      <c r="G54" t="str">
        <f>VLOOKUP(A:A,INVENTÁRIO_07_2025!A:A,1,0)</f>
        <v>SHOMAPPTCAGRU01</v>
      </c>
    </row>
    <row r="55" spans="1:7" hidden="1">
      <c r="A55" t="s">
        <v>565</v>
      </c>
      <c r="B55" t="s">
        <v>61</v>
      </c>
      <c r="C55" t="s">
        <v>116</v>
      </c>
      <c r="D55" t="s">
        <v>562</v>
      </c>
      <c r="E55" t="s">
        <v>156</v>
      </c>
      <c r="F55" t="s">
        <v>327</v>
      </c>
      <c r="G55" t="str">
        <f>VLOOKUP(A:A,INVENTÁRIO_07_2025!A:A,1,0)</f>
        <v>SHOMAPRIMAGRU01</v>
      </c>
    </row>
    <row r="56" spans="1:7" hidden="1">
      <c r="A56" t="s">
        <v>455</v>
      </c>
      <c r="B56" t="s">
        <v>61</v>
      </c>
      <c r="C56" t="s">
        <v>116</v>
      </c>
      <c r="D56" t="s">
        <v>242</v>
      </c>
      <c r="E56" t="s">
        <v>156</v>
      </c>
      <c r="F56" t="s">
        <v>327</v>
      </c>
      <c r="G56" t="str">
        <f>VLOOKUP(A:A,INVENTÁRIO_07_2025!A:A,1,0)</f>
        <v>SHOMBDCMSGRU01</v>
      </c>
    </row>
    <row r="57" spans="1:7" hidden="1">
      <c r="A57" t="s">
        <v>689</v>
      </c>
      <c r="B57" t="s">
        <v>61</v>
      </c>
      <c r="C57" t="s">
        <v>116</v>
      </c>
      <c r="D57" t="s">
        <v>562</v>
      </c>
      <c r="E57" t="s">
        <v>156</v>
      </c>
      <c r="F57" t="s">
        <v>327</v>
      </c>
      <c r="G57" t="str">
        <f>VLOOKUP(A:A,INVENTÁRIO_07_2025!A:A,1,0)</f>
        <v>SHOMBDGRU11</v>
      </c>
    </row>
    <row r="58" spans="1:7" hidden="1">
      <c r="A58" t="s">
        <v>84</v>
      </c>
      <c r="B58" t="s">
        <v>61</v>
      </c>
      <c r="C58" t="s">
        <v>51</v>
      </c>
      <c r="D58" t="s">
        <v>85</v>
      </c>
      <c r="E58" t="s">
        <v>53</v>
      </c>
      <c r="F58" t="s">
        <v>63</v>
      </c>
      <c r="G58" t="str">
        <f>VLOOKUP(A:A,INVENTÁRIO_07_2025!A:A,1,0)</f>
        <v>SHOMBDORAGRU01</v>
      </c>
    </row>
    <row r="59" spans="1:7" hidden="1">
      <c r="A59" t="s">
        <v>90</v>
      </c>
      <c r="B59" t="s">
        <v>61</v>
      </c>
      <c r="C59" t="s">
        <v>51</v>
      </c>
      <c r="D59" t="s">
        <v>85</v>
      </c>
      <c r="E59" t="s">
        <v>53</v>
      </c>
      <c r="F59" t="s">
        <v>67</v>
      </c>
      <c r="G59" t="str">
        <f>VLOOKUP(A:A,INVENTÁRIO_07_2025!A:A,1,0)</f>
        <v>SHOMBDORAGRU02</v>
      </c>
    </row>
    <row r="60" spans="1:7" hidden="1">
      <c r="A60" t="s">
        <v>700</v>
      </c>
      <c r="B60" t="s">
        <v>61</v>
      </c>
      <c r="C60" t="s">
        <v>116</v>
      </c>
      <c r="D60" t="s">
        <v>153</v>
      </c>
      <c r="E60" t="s">
        <v>156</v>
      </c>
      <c r="F60" t="s">
        <v>327</v>
      </c>
      <c r="G60" t="e">
        <f>VLOOKUP(A:A,INVENTÁRIO_07_2025!A:A,1,0)</f>
        <v>#N/A</v>
      </c>
    </row>
    <row r="61" spans="1:7" hidden="1">
      <c r="A61" t="s">
        <v>674</v>
      </c>
      <c r="B61" t="s">
        <v>61</v>
      </c>
      <c r="C61" t="s">
        <v>51</v>
      </c>
      <c r="D61" t="s">
        <v>85</v>
      </c>
      <c r="E61" t="s">
        <v>156</v>
      </c>
      <c r="F61" t="s">
        <v>327</v>
      </c>
      <c r="G61" t="str">
        <f>VLOOKUP(A:A,INVENTÁRIO_07_2025!A:A,1,0)</f>
        <v>SHOMSAPNWGRU01</v>
      </c>
    </row>
    <row r="62" spans="1:7" hidden="1">
      <c r="A62" t="s">
        <v>705</v>
      </c>
      <c r="B62" t="s">
        <v>61</v>
      </c>
      <c r="C62" t="s">
        <v>51</v>
      </c>
      <c r="D62" t="s">
        <v>85</v>
      </c>
      <c r="E62" t="s">
        <v>156</v>
      </c>
      <c r="F62" t="s">
        <v>327</v>
      </c>
      <c r="G62" t="e">
        <f>VLOOKUP(A:A,INVENTÁRIO_07_2025!A:A,1,0)</f>
        <v>#N/A</v>
      </c>
    </row>
    <row r="63" spans="1:7" hidden="1">
      <c r="A63" t="s">
        <v>456</v>
      </c>
      <c r="B63" t="s">
        <v>61</v>
      </c>
      <c r="C63" t="s">
        <v>116</v>
      </c>
      <c r="D63" t="s">
        <v>242</v>
      </c>
      <c r="E63" t="s">
        <v>156</v>
      </c>
      <c r="F63" t="s">
        <v>327</v>
      </c>
      <c r="G63" t="str">
        <f>VLOOKUP(A:A,INVENTÁRIO_07_2025!A:A,1,0)</f>
        <v>SHOMTEMPGRU01</v>
      </c>
    </row>
    <row r="64" spans="1:7">
      <c r="A64" t="s">
        <v>298</v>
      </c>
      <c r="B64" t="s">
        <v>61</v>
      </c>
      <c r="C64" t="s">
        <v>51</v>
      </c>
      <c r="D64" t="s">
        <v>109</v>
      </c>
      <c r="E64" t="s">
        <v>156</v>
      </c>
      <c r="F64" t="s">
        <v>733</v>
      </c>
      <c r="G64" t="str">
        <f>VLOOKUP(A:A,INVENTÁRIO_07_2025!A:A,1,0)</f>
        <v>SPRDAPIHSGRU02</v>
      </c>
    </row>
    <row r="65" spans="1:7" hidden="1">
      <c r="A65" t="s">
        <v>696</v>
      </c>
      <c r="B65" t="s">
        <v>61</v>
      </c>
      <c r="C65" t="s">
        <v>116</v>
      </c>
      <c r="D65" t="s">
        <v>163</v>
      </c>
      <c r="E65" t="s">
        <v>156</v>
      </c>
      <c r="F65" t="s">
        <v>327</v>
      </c>
      <c r="G65" t="str">
        <f>VLOOKUP(A:A,INVENTÁRIO_07_2025!A:A,1,0)</f>
        <v>SIAS1-GRU</v>
      </c>
    </row>
    <row r="66" spans="1:7" hidden="1">
      <c r="A66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 t="str">
        <f>VLOOKUP(A:A,INVENTÁRIO_07_2025!A:A,1,0)</f>
        <v>SLOT-01</v>
      </c>
    </row>
    <row r="67" spans="1:7" hidden="1">
      <c r="A67" t="s">
        <v>412</v>
      </c>
      <c r="B67" t="s">
        <v>61</v>
      </c>
      <c r="C67" t="s">
        <v>116</v>
      </c>
      <c r="D67" t="s">
        <v>174</v>
      </c>
      <c r="E67" t="s">
        <v>156</v>
      </c>
      <c r="F67" t="s">
        <v>327</v>
      </c>
      <c r="G67" t="str">
        <f>VLOOKUP(A:A,INVENTÁRIO_07_2025!A:A,1,0)</f>
        <v>SPRDACSINV01</v>
      </c>
    </row>
    <row r="68" spans="1:7" hidden="1">
      <c r="A68" t="s">
        <v>708</v>
      </c>
      <c r="B68" t="s">
        <v>61</v>
      </c>
      <c r="C68" t="s">
        <v>116</v>
      </c>
      <c r="D68" t="s">
        <v>734</v>
      </c>
      <c r="E68" t="s">
        <v>156</v>
      </c>
      <c r="F68" t="s">
        <v>733</v>
      </c>
      <c r="G68" t="e">
        <f>VLOOKUP(A:A,INVENTÁRIO_07_2025!A:A,1,0)</f>
        <v>#N/A</v>
      </c>
    </row>
    <row r="69" spans="1:7" hidden="1">
      <c r="A69" t="s">
        <v>709</v>
      </c>
      <c r="B69" t="s">
        <v>61</v>
      </c>
      <c r="C69" t="s">
        <v>116</v>
      </c>
      <c r="D69" t="s">
        <v>734</v>
      </c>
      <c r="E69" t="s">
        <v>156</v>
      </c>
      <c r="F69" t="s">
        <v>733</v>
      </c>
      <c r="G69" t="e">
        <f>VLOOKUP(A:A,INVENTÁRIO_07_2025!A:A,1,0)</f>
        <v>#N/A</v>
      </c>
    </row>
    <row r="70" spans="1:7" hidden="1">
      <c r="A70" t="s">
        <v>119</v>
      </c>
      <c r="B70" t="s">
        <v>61</v>
      </c>
      <c r="C70" t="s">
        <v>116</v>
      </c>
      <c r="D70" t="s">
        <v>117</v>
      </c>
      <c r="E70" t="s">
        <v>53</v>
      </c>
      <c r="F70" t="s">
        <v>120</v>
      </c>
      <c r="G70" t="str">
        <f>VLOOKUP(A:A,INVENTÁRIO_07_2025!A:A,1,0)</f>
        <v>SPRDADGRU01</v>
      </c>
    </row>
    <row r="71" spans="1:7" hidden="1">
      <c r="A71" t="s">
        <v>166</v>
      </c>
      <c r="B71" t="s">
        <v>61</v>
      </c>
      <c r="C71" t="s">
        <v>116</v>
      </c>
      <c r="D71" t="s">
        <v>122</v>
      </c>
      <c r="E71" t="s">
        <v>156</v>
      </c>
      <c r="F71" t="s">
        <v>733</v>
      </c>
      <c r="G71" t="str">
        <f>VLOOKUP(A:A,INVENTÁRIO_07_2025!A:A,1,0)</f>
        <v>SPRDADGRU02</v>
      </c>
    </row>
    <row r="72" spans="1:7" hidden="1">
      <c r="A72" t="s">
        <v>208</v>
      </c>
      <c r="B72" t="s">
        <v>61</v>
      </c>
      <c r="C72" t="s">
        <v>116</v>
      </c>
      <c r="D72" t="s">
        <v>419</v>
      </c>
      <c r="E72" t="s">
        <v>156</v>
      </c>
      <c r="F72" t="s">
        <v>733</v>
      </c>
      <c r="G72" t="str">
        <f>VLOOKUP(A:A,INVENTÁRIO_07_2025!A:A,1,0)</f>
        <v>SPRDADGRU03</v>
      </c>
    </row>
    <row r="73" spans="1:7" hidden="1">
      <c r="A73" t="s">
        <v>241</v>
      </c>
      <c r="B73" t="s">
        <v>61</v>
      </c>
      <c r="C73" t="s">
        <v>116</v>
      </c>
      <c r="D73" t="s">
        <v>419</v>
      </c>
      <c r="E73" t="s">
        <v>156</v>
      </c>
      <c r="F73" t="s">
        <v>733</v>
      </c>
      <c r="G73" t="str">
        <f>VLOOKUP(A:A,INVENTÁRIO_07_2025!A:A,1,0)</f>
        <v>SPRDADGRU04</v>
      </c>
    </row>
    <row r="74" spans="1:7" hidden="1">
      <c r="A74" t="s">
        <v>358</v>
      </c>
      <c r="B74" t="s">
        <v>61</v>
      </c>
      <c r="C74" t="s">
        <v>116</v>
      </c>
      <c r="D74" t="s">
        <v>117</v>
      </c>
      <c r="E74" t="s">
        <v>156</v>
      </c>
      <c r="F74" t="s">
        <v>327</v>
      </c>
      <c r="G74" t="str">
        <f>VLOOKUP(A:A,INVENTÁRIO_07_2025!A:A,1,0)</f>
        <v>SPRDAPACSGRU01</v>
      </c>
    </row>
    <row r="75" spans="1:7" hidden="1">
      <c r="A75" t="s">
        <v>710</v>
      </c>
      <c r="B75" t="s">
        <v>61</v>
      </c>
      <c r="C75" t="s">
        <v>116</v>
      </c>
      <c r="D75" t="s">
        <v>734</v>
      </c>
      <c r="E75" t="s">
        <v>156</v>
      </c>
      <c r="F75" t="s">
        <v>733</v>
      </c>
      <c r="G75" t="e">
        <f>VLOOKUP(A:A,INVENTÁRIO_07_2025!A:A,1,0)</f>
        <v>#N/A</v>
      </c>
    </row>
    <row r="76" spans="1:7" hidden="1">
      <c r="A76" t="s">
        <v>711</v>
      </c>
      <c r="B76" t="s">
        <v>61</v>
      </c>
      <c r="C76" t="s">
        <v>116</v>
      </c>
      <c r="D76" t="s">
        <v>734</v>
      </c>
      <c r="E76" t="s">
        <v>156</v>
      </c>
      <c r="F76" t="s">
        <v>733</v>
      </c>
      <c r="G76" t="e">
        <f>VLOOKUP(A:A,INVENTÁRIO_07_2025!A:A,1,0)</f>
        <v>#N/A</v>
      </c>
    </row>
    <row r="77" spans="1:7" hidden="1">
      <c r="A77" t="s">
        <v>413</v>
      </c>
      <c r="B77" t="s">
        <v>61</v>
      </c>
      <c r="C77" t="s">
        <v>116</v>
      </c>
      <c r="D77" t="s">
        <v>126</v>
      </c>
      <c r="E77" t="s">
        <v>156</v>
      </c>
      <c r="F77" t="s">
        <v>733</v>
      </c>
      <c r="G77" t="str">
        <f>VLOOKUP(A:A,INVENTÁRIO_07_2025!A:A,1,0)</f>
        <v>SPRDAPAGPMGRU01</v>
      </c>
    </row>
    <row r="78" spans="1:7" hidden="1">
      <c r="A78" t="s">
        <v>457</v>
      </c>
      <c r="B78" t="s">
        <v>61</v>
      </c>
      <c r="C78" t="s">
        <v>116</v>
      </c>
      <c r="D78" t="s">
        <v>425</v>
      </c>
      <c r="E78" t="s">
        <v>156</v>
      </c>
      <c r="F78" t="s">
        <v>327</v>
      </c>
      <c r="G78" t="str">
        <f>VLOOKUP(A:A,INVENTÁRIO_07_2025!A:A,1,0)</f>
        <v>SPRDAPATEGRU01</v>
      </c>
    </row>
    <row r="79" spans="1:7" hidden="1">
      <c r="A79" t="s">
        <v>415</v>
      </c>
      <c r="B79" t="s">
        <v>61</v>
      </c>
      <c r="C79" t="s">
        <v>116</v>
      </c>
      <c r="D79" t="s">
        <v>126</v>
      </c>
      <c r="E79" t="s">
        <v>156</v>
      </c>
      <c r="F79" t="s">
        <v>733</v>
      </c>
      <c r="G79" t="str">
        <f>VLOOKUP(A:A,INVENTÁRIO_07_2025!A:A,1,0)</f>
        <v>SPRDAPATKGRU01</v>
      </c>
    </row>
    <row r="80" spans="1:7" hidden="1">
      <c r="A80" t="s">
        <v>209</v>
      </c>
      <c r="B80" t="s">
        <v>61</v>
      </c>
      <c r="C80" t="s">
        <v>116</v>
      </c>
      <c r="D80" t="s">
        <v>136</v>
      </c>
      <c r="E80" t="s">
        <v>156</v>
      </c>
      <c r="F80" t="s">
        <v>733</v>
      </c>
      <c r="G80" t="str">
        <f>VLOOKUP(A:A,INVENTÁRIO_07_2025!A:A,1,0)</f>
        <v>SPRDAPAUDGRU01</v>
      </c>
    </row>
    <row r="81" spans="1:7" hidden="1">
      <c r="A81" t="s">
        <v>458</v>
      </c>
      <c r="B81" t="s">
        <v>61</v>
      </c>
      <c r="C81" t="s">
        <v>116</v>
      </c>
      <c r="D81" t="s">
        <v>425</v>
      </c>
      <c r="E81" t="s">
        <v>156</v>
      </c>
      <c r="F81" t="s">
        <v>327</v>
      </c>
      <c r="G81" t="str">
        <f>VLOOKUP(A:A,INVENTÁRIO_07_2025!A:A,1,0)</f>
        <v>SPRDAPBBGRU01</v>
      </c>
    </row>
    <row r="82" spans="1:7" hidden="1">
      <c r="A82" t="s">
        <v>246</v>
      </c>
      <c r="B82" t="s">
        <v>61</v>
      </c>
      <c r="C82" t="s">
        <v>116</v>
      </c>
      <c r="D82" t="s">
        <v>572</v>
      </c>
      <c r="E82" t="s">
        <v>156</v>
      </c>
      <c r="F82" t="s">
        <v>733</v>
      </c>
      <c r="G82" t="str">
        <f>VLOOKUP(A:A,INVENTÁRIO_07_2025!A:A,1,0)</f>
        <v>SPRDAPBCBPGRU01</v>
      </c>
    </row>
    <row r="83" spans="1:7" hidden="1">
      <c r="A83" t="s">
        <v>248</v>
      </c>
      <c r="B83" t="s">
        <v>61</v>
      </c>
      <c r="C83" t="s">
        <v>116</v>
      </c>
      <c r="D83" t="s">
        <v>572</v>
      </c>
      <c r="E83" t="s">
        <v>156</v>
      </c>
      <c r="F83" t="s">
        <v>733</v>
      </c>
      <c r="G83" t="str">
        <f>VLOOKUP(A:A,INVENTÁRIO_07_2025!A:A,1,0)</f>
        <v>SPRDAPBCBPGRU02</v>
      </c>
    </row>
    <row r="84" spans="1:7" hidden="1">
      <c r="A84" t="s">
        <v>211</v>
      </c>
      <c r="B84" t="s">
        <v>61</v>
      </c>
      <c r="C84" t="s">
        <v>116</v>
      </c>
      <c r="D84" t="s">
        <v>136</v>
      </c>
      <c r="E84" t="s">
        <v>156</v>
      </c>
      <c r="F84" t="s">
        <v>733</v>
      </c>
      <c r="G84" t="str">
        <f>VLOOKUP(A:A,INVENTÁRIO_07_2025!A:A,1,0)</f>
        <v>SPRDAPBCCGRU01</v>
      </c>
    </row>
    <row r="85" spans="1:7" hidden="1">
      <c r="A85" t="s">
        <v>212</v>
      </c>
      <c r="B85" t="s">
        <v>61</v>
      </c>
      <c r="C85" t="s">
        <v>116</v>
      </c>
      <c r="D85" t="s">
        <v>136</v>
      </c>
      <c r="E85" t="s">
        <v>156</v>
      </c>
      <c r="F85" t="s">
        <v>733</v>
      </c>
      <c r="G85" t="str">
        <f>VLOOKUP(A:A,INVENTÁRIO_07_2025!A:A,1,0)</f>
        <v>SPRDAPBCCGRU02</v>
      </c>
    </row>
    <row r="86" spans="1:7" hidden="1">
      <c r="A86" t="s">
        <v>213</v>
      </c>
      <c r="B86" t="s">
        <v>61</v>
      </c>
      <c r="C86" t="s">
        <v>116</v>
      </c>
      <c r="D86" t="s">
        <v>136</v>
      </c>
      <c r="E86" t="s">
        <v>156</v>
      </c>
      <c r="F86" t="s">
        <v>733</v>
      </c>
      <c r="G86" t="str">
        <f>VLOOKUP(A:A,INVENTÁRIO_07_2025!A:A,1,0)</f>
        <v>SPRDAPBENGRU01</v>
      </c>
    </row>
    <row r="87" spans="1:7" hidden="1">
      <c r="A87" t="s">
        <v>416</v>
      </c>
      <c r="B87" t="s">
        <v>61</v>
      </c>
      <c r="C87" t="s">
        <v>116</v>
      </c>
      <c r="D87" t="s">
        <v>671</v>
      </c>
      <c r="E87" t="s">
        <v>156</v>
      </c>
      <c r="F87" t="s">
        <v>733</v>
      </c>
      <c r="G87" t="str">
        <f>VLOOKUP(A:A,INVENTÁRIO_07_2025!A:A,1,0)</f>
        <v>SPRDAPBHSGRU01</v>
      </c>
    </row>
    <row r="88" spans="1:7" hidden="1">
      <c r="A88" t="s">
        <v>701</v>
      </c>
      <c r="B88" t="s">
        <v>50</v>
      </c>
      <c r="C88" t="s">
        <v>116</v>
      </c>
      <c r="D88" t="s">
        <v>126</v>
      </c>
      <c r="E88" t="s">
        <v>156</v>
      </c>
      <c r="F88" t="s">
        <v>327</v>
      </c>
      <c r="G88" t="e">
        <f>VLOOKUP(A:A,INVENTÁRIO_07_2025!A:A,1,0)</f>
        <v>#N/A</v>
      </c>
    </row>
    <row r="89" spans="1:7" hidden="1">
      <c r="A89" t="s">
        <v>459</v>
      </c>
      <c r="B89" t="s">
        <v>61</v>
      </c>
      <c r="C89" t="s">
        <v>116</v>
      </c>
      <c r="D89" t="s">
        <v>141</v>
      </c>
      <c r="E89" t="s">
        <v>156</v>
      </c>
      <c r="F89" t="s">
        <v>733</v>
      </c>
      <c r="G89" t="str">
        <f>VLOOKUP(A:A,INVENTÁRIO_07_2025!A:A,1,0)</f>
        <v>SPRDAPBHSGRU02</v>
      </c>
    </row>
    <row r="90" spans="1:7" hidden="1">
      <c r="A90" t="s">
        <v>702</v>
      </c>
      <c r="B90" t="s">
        <v>50</v>
      </c>
      <c r="C90" t="s">
        <v>116</v>
      </c>
      <c r="D90" t="s">
        <v>141</v>
      </c>
      <c r="E90" t="s">
        <v>156</v>
      </c>
      <c r="F90" t="s">
        <v>327</v>
      </c>
      <c r="G90" t="e">
        <f>VLOOKUP(A:A,INVENTÁRIO_07_2025!A:A,1,0)</f>
        <v>#N/A</v>
      </c>
    </row>
    <row r="91" spans="1:7" hidden="1">
      <c r="A91" t="s">
        <v>460</v>
      </c>
      <c r="B91" t="s">
        <v>61</v>
      </c>
      <c r="C91" t="s">
        <v>116</v>
      </c>
      <c r="D91" t="s">
        <v>141</v>
      </c>
      <c r="E91" t="s">
        <v>156</v>
      </c>
      <c r="F91" t="s">
        <v>733</v>
      </c>
      <c r="G91" t="str">
        <f>VLOOKUP(A:A,INVENTÁRIO_07_2025!A:A,1,0)</f>
        <v>SPRDAPBHSGRU03</v>
      </c>
    </row>
    <row r="92" spans="1:7" hidden="1">
      <c r="A92" t="s">
        <v>703</v>
      </c>
      <c r="B92" t="s">
        <v>50</v>
      </c>
      <c r="C92" t="s">
        <v>116</v>
      </c>
      <c r="D92" t="s">
        <v>141</v>
      </c>
      <c r="E92" t="s">
        <v>156</v>
      </c>
      <c r="F92" t="s">
        <v>327</v>
      </c>
      <c r="G92" t="e">
        <f>VLOOKUP(A:A,INVENTÁRIO_07_2025!A:A,1,0)</f>
        <v>#N/A</v>
      </c>
    </row>
    <row r="93" spans="1:7">
      <c r="A93" t="s">
        <v>94</v>
      </c>
      <c r="B93" t="s">
        <v>61</v>
      </c>
      <c r="C93" t="s">
        <v>51</v>
      </c>
      <c r="D93" t="s">
        <v>85</v>
      </c>
      <c r="E93" t="s">
        <v>53</v>
      </c>
      <c r="F93" t="s">
        <v>56</v>
      </c>
      <c r="G93" t="str">
        <f>VLOOKUP(A:A,INVENTÁRIO_07_2025!A:A,1,0)</f>
        <v>SPRDAPBIGRU01</v>
      </c>
    </row>
    <row r="94" spans="1:7">
      <c r="A94" t="s">
        <v>101</v>
      </c>
      <c r="B94" t="s">
        <v>61</v>
      </c>
      <c r="C94" t="s">
        <v>51</v>
      </c>
      <c r="D94" t="s">
        <v>85</v>
      </c>
      <c r="E94" t="s">
        <v>53</v>
      </c>
      <c r="F94" t="s">
        <v>58</v>
      </c>
      <c r="G94" t="str">
        <f>VLOOKUP(A:A,INVENTÁRIO_07_2025!A:A,1,0)</f>
        <v>SPRDAPBIGRU02</v>
      </c>
    </row>
    <row r="95" spans="1:7" hidden="1">
      <c r="A95" t="s">
        <v>131</v>
      </c>
      <c r="B95" t="s">
        <v>61</v>
      </c>
      <c r="C95" t="s">
        <v>116</v>
      </c>
      <c r="D95" t="s">
        <v>129</v>
      </c>
      <c r="E95" t="s">
        <v>53</v>
      </c>
      <c r="F95" t="s">
        <v>120</v>
      </c>
      <c r="G95" t="str">
        <f>VLOOKUP(A:A,INVENTÁRIO_07_2025!A:A,1,0)</f>
        <v>SPRDAPBKPGRU01</v>
      </c>
    </row>
    <row r="96" spans="1:7" hidden="1">
      <c r="A96" t="s">
        <v>130</v>
      </c>
      <c r="B96" t="s">
        <v>61</v>
      </c>
      <c r="C96" t="s">
        <v>116</v>
      </c>
      <c r="D96" t="s">
        <v>129</v>
      </c>
      <c r="E96" t="s">
        <v>53</v>
      </c>
      <c r="F96" t="s">
        <v>120</v>
      </c>
      <c r="G96" t="str">
        <f>VLOOKUP(A:A,INVENTÁRIO_07_2025!A:A,1,0)</f>
        <v>SPRDAPBKPGRU02</v>
      </c>
    </row>
    <row r="97" spans="1:7" hidden="1">
      <c r="A97" t="s">
        <v>461</v>
      </c>
      <c r="B97" t="s">
        <v>50</v>
      </c>
      <c r="C97" t="s">
        <v>116</v>
      </c>
      <c r="D97" t="s">
        <v>425</v>
      </c>
      <c r="E97" t="s">
        <v>156</v>
      </c>
      <c r="F97" t="s">
        <v>327</v>
      </c>
      <c r="G97" t="str">
        <f>VLOOKUP(A:A,INVENTÁRIO_07_2025!A:A,1,0)</f>
        <v>SPRDAPBMSGRU02</v>
      </c>
    </row>
    <row r="98" spans="1:7" hidden="1">
      <c r="A98" t="s">
        <v>461</v>
      </c>
      <c r="B98" t="s">
        <v>61</v>
      </c>
      <c r="C98" t="s">
        <v>116</v>
      </c>
      <c r="D98" t="s">
        <v>425</v>
      </c>
      <c r="E98" t="s">
        <v>156</v>
      </c>
      <c r="F98" t="s">
        <v>733</v>
      </c>
      <c r="G98" t="str">
        <f>VLOOKUP(A:A,INVENTÁRIO_07_2025!A:A,1,0)</f>
        <v>SPRDAPBMSGRU02</v>
      </c>
    </row>
    <row r="99" spans="1:7" hidden="1">
      <c r="A99" t="s">
        <v>123</v>
      </c>
      <c r="B99" t="s">
        <v>50</v>
      </c>
      <c r="C99" t="s">
        <v>116</v>
      </c>
      <c r="D99" t="s">
        <v>122</v>
      </c>
      <c r="E99" t="s">
        <v>53</v>
      </c>
      <c r="F99" t="s">
        <v>120</v>
      </c>
      <c r="G99" t="str">
        <f>VLOOKUP(A:A,INVENTÁRIO_07_2025!A:A,1,0)</f>
        <v>SPRDAPBMSGRUA</v>
      </c>
    </row>
    <row r="100" spans="1:7" hidden="1">
      <c r="A100" t="s">
        <v>123</v>
      </c>
      <c r="B100" t="s">
        <v>61</v>
      </c>
      <c r="C100" t="s">
        <v>116</v>
      </c>
      <c r="D100" t="s">
        <v>122</v>
      </c>
      <c r="E100" t="s">
        <v>156</v>
      </c>
      <c r="F100" t="s">
        <v>733</v>
      </c>
      <c r="G100" t="str">
        <f>VLOOKUP(A:A,INVENTÁRIO_07_2025!A:A,1,0)</f>
        <v>SPRDAPBMSGRUA</v>
      </c>
    </row>
    <row r="101" spans="1:7" hidden="1">
      <c r="A101" t="s">
        <v>361</v>
      </c>
      <c r="B101" t="s">
        <v>61</v>
      </c>
      <c r="C101" t="s">
        <v>116</v>
      </c>
      <c r="D101" t="s">
        <v>122</v>
      </c>
      <c r="E101" t="s">
        <v>156</v>
      </c>
      <c r="F101" t="s">
        <v>733</v>
      </c>
      <c r="G101" t="str">
        <f>VLOOKUP(A:A,INVENTÁRIO_07_2025!A:A,1,0)</f>
        <v>SPRDAPBMSGRUB</v>
      </c>
    </row>
    <row r="102" spans="1:7" hidden="1">
      <c r="A102" t="s">
        <v>121</v>
      </c>
      <c r="B102" t="s">
        <v>50</v>
      </c>
      <c r="C102" t="s">
        <v>116</v>
      </c>
      <c r="D102" t="s">
        <v>122</v>
      </c>
      <c r="E102" t="s">
        <v>53</v>
      </c>
      <c r="F102" t="s">
        <v>120</v>
      </c>
      <c r="G102" t="str">
        <f>VLOOKUP(A:A,INVENTÁRIO_07_2025!A:A,1,0)</f>
        <v>SPRDAPBMSGRUB_O</v>
      </c>
    </row>
    <row r="103" spans="1:7" hidden="1">
      <c r="A103" t="s">
        <v>128</v>
      </c>
      <c r="B103" t="s">
        <v>50</v>
      </c>
      <c r="C103" t="s">
        <v>116</v>
      </c>
      <c r="D103" t="s">
        <v>129</v>
      </c>
      <c r="E103" t="s">
        <v>53</v>
      </c>
      <c r="F103" t="s">
        <v>58</v>
      </c>
      <c r="G103" t="str">
        <f>VLOOKUP(A:A,INVENTÁRIO_07_2025!A:A,1,0)</f>
        <v>SPRDAPBPGRU02</v>
      </c>
    </row>
    <row r="104" spans="1:7" hidden="1">
      <c r="A104" t="s">
        <v>417</v>
      </c>
      <c r="B104" t="s">
        <v>61</v>
      </c>
      <c r="C104" t="s">
        <v>116</v>
      </c>
      <c r="D104" t="s">
        <v>136</v>
      </c>
      <c r="E104" t="s">
        <v>156</v>
      </c>
      <c r="F104" t="s">
        <v>733</v>
      </c>
      <c r="G104" t="str">
        <f>VLOOKUP(A:A,INVENTÁRIO_07_2025!A:A,1,0)</f>
        <v>SPRDAPBROGRU01</v>
      </c>
    </row>
    <row r="105" spans="1:7" hidden="1">
      <c r="A105" t="s">
        <v>704</v>
      </c>
      <c r="B105" t="s">
        <v>50</v>
      </c>
      <c r="C105" t="s">
        <v>116</v>
      </c>
      <c r="D105" t="s">
        <v>136</v>
      </c>
      <c r="E105" t="s">
        <v>156</v>
      </c>
      <c r="F105" t="s">
        <v>327</v>
      </c>
      <c r="G105" t="e">
        <f>VLOOKUP(A:A,INVENTÁRIO_07_2025!A:A,1,0)</f>
        <v>#N/A</v>
      </c>
    </row>
    <row r="106" spans="1:7" hidden="1">
      <c r="A106" t="s">
        <v>57</v>
      </c>
      <c r="B106" t="s">
        <v>50</v>
      </c>
      <c r="C106" t="s">
        <v>51</v>
      </c>
      <c r="D106" t="s">
        <v>52</v>
      </c>
      <c r="E106" t="s">
        <v>53</v>
      </c>
      <c r="F106" t="s">
        <v>56</v>
      </c>
      <c r="G106" t="str">
        <f>VLOOKUP(A:A,INVENTÁRIO_07_2025!A:A,1,0)</f>
        <v>SPRDAPBWGRU01</v>
      </c>
    </row>
    <row r="107" spans="1:7" hidden="1">
      <c r="A107" t="s">
        <v>59</v>
      </c>
      <c r="B107" t="s">
        <v>50</v>
      </c>
      <c r="C107" t="s">
        <v>51</v>
      </c>
      <c r="D107" t="s">
        <v>52</v>
      </c>
      <c r="E107" t="s">
        <v>53</v>
      </c>
      <c r="F107" t="s">
        <v>58</v>
      </c>
      <c r="G107" t="str">
        <f>VLOOKUP(A:A,INVENTÁRIO_07_2025!A:A,1,0)</f>
        <v>SPRDAPBWGRU02</v>
      </c>
    </row>
    <row r="108" spans="1:7" hidden="1">
      <c r="A108" t="s">
        <v>167</v>
      </c>
      <c r="B108" t="s">
        <v>61</v>
      </c>
      <c r="C108" t="s">
        <v>116</v>
      </c>
      <c r="D108" t="s">
        <v>122</v>
      </c>
      <c r="E108" t="s">
        <v>156</v>
      </c>
      <c r="F108" t="s">
        <v>733</v>
      </c>
      <c r="G108" t="str">
        <f>VLOOKUP(A:A,INVENTÁRIO_07_2025!A:A,1,0)</f>
        <v>SPRDAPCADGRU01</v>
      </c>
    </row>
    <row r="109" spans="1:7" hidden="1">
      <c r="A109" t="s">
        <v>418</v>
      </c>
      <c r="B109" t="s">
        <v>61</v>
      </c>
      <c r="C109" t="s">
        <v>116</v>
      </c>
      <c r="D109" t="s">
        <v>419</v>
      </c>
      <c r="E109" t="s">
        <v>156</v>
      </c>
      <c r="F109" t="s">
        <v>327</v>
      </c>
      <c r="G109" t="str">
        <f>VLOOKUP(A:A,INVENTÁRIO_07_2025!A:A,1,0)</f>
        <v>SPRDAPCCGRU01</v>
      </c>
    </row>
    <row r="110" spans="1:7" hidden="1">
      <c r="A110" t="s">
        <v>214</v>
      </c>
      <c r="B110" t="s">
        <v>61</v>
      </c>
      <c r="C110" t="s">
        <v>116</v>
      </c>
      <c r="D110" t="s">
        <v>425</v>
      </c>
      <c r="E110" t="s">
        <v>156</v>
      </c>
      <c r="F110" t="s">
        <v>733</v>
      </c>
      <c r="G110" t="str">
        <f>VLOOKUP(A:A,INVENTÁRIO_07_2025!A:A,1,0)</f>
        <v>SPRDAPCCGRU03</v>
      </c>
    </row>
    <row r="111" spans="1:7" hidden="1">
      <c r="A111" t="s">
        <v>336</v>
      </c>
      <c r="B111" t="s">
        <v>61</v>
      </c>
      <c r="C111" t="s">
        <v>116</v>
      </c>
      <c r="D111" t="s">
        <v>337</v>
      </c>
      <c r="E111" t="s">
        <v>156</v>
      </c>
      <c r="F111" t="s">
        <v>327</v>
      </c>
      <c r="G111" t="str">
        <f>VLOOKUP(A:A,INVENTÁRIO_07_2025!A:A,1,0)</f>
        <v>SPRDAPCCGRU04</v>
      </c>
    </row>
    <row r="112" spans="1:7">
      <c r="A112" t="s">
        <v>332</v>
      </c>
      <c r="B112" t="s">
        <v>61</v>
      </c>
      <c r="C112" t="s">
        <v>51</v>
      </c>
      <c r="D112" t="s">
        <v>567</v>
      </c>
      <c r="E112" t="s">
        <v>156</v>
      </c>
      <c r="F112" t="s">
        <v>733</v>
      </c>
      <c r="G112" t="str">
        <f>VLOOKUP(A:A,INVENTÁRIO_07_2025!A:A,1,0)</f>
        <v>SPRDAPLOGSGRU01</v>
      </c>
    </row>
    <row r="113" spans="1:7">
      <c r="A113" t="s">
        <v>681</v>
      </c>
      <c r="B113" t="s">
        <v>61</v>
      </c>
      <c r="C113" t="s">
        <v>51</v>
      </c>
      <c r="D113" t="s">
        <v>109</v>
      </c>
      <c r="E113" t="s">
        <v>156</v>
      </c>
      <c r="F113" t="s">
        <v>733</v>
      </c>
      <c r="G113" t="str">
        <f>VLOOKUP(A:A,INVENTÁRIO_07_2025!A:A,1,0)</f>
        <v>SPRDAPSSP0200</v>
      </c>
    </row>
    <row r="114" spans="1:7">
      <c r="A114" t="s">
        <v>86</v>
      </c>
      <c r="B114" t="s">
        <v>61</v>
      </c>
      <c r="C114" t="s">
        <v>51</v>
      </c>
      <c r="D114" t="s">
        <v>85</v>
      </c>
      <c r="E114" t="s">
        <v>53</v>
      </c>
      <c r="F114" t="s">
        <v>63</v>
      </c>
      <c r="G114" t="str">
        <f>VLOOKUP(A:A,INVENTÁRIO_07_2025!A:A,1,0)</f>
        <v>SPRDAPCMSGRU02</v>
      </c>
    </row>
    <row r="115" spans="1:7">
      <c r="A115" t="s">
        <v>91</v>
      </c>
      <c r="B115" t="s">
        <v>61</v>
      </c>
      <c r="C115" t="s">
        <v>51</v>
      </c>
      <c r="D115" t="s">
        <v>85</v>
      </c>
      <c r="E115" t="s">
        <v>53</v>
      </c>
      <c r="F115" t="s">
        <v>67</v>
      </c>
      <c r="G115" t="str">
        <f>VLOOKUP(A:A,INVENTÁRIO_07_2025!A:A,1,0)</f>
        <v>SPRDAPCMSGRU04</v>
      </c>
    </row>
    <row r="116" spans="1:7">
      <c r="A116" t="s">
        <v>92</v>
      </c>
      <c r="B116" t="s">
        <v>61</v>
      </c>
      <c r="C116" t="s">
        <v>51</v>
      </c>
      <c r="D116" t="s">
        <v>85</v>
      </c>
      <c r="E116" t="s">
        <v>53</v>
      </c>
      <c r="F116" t="s">
        <v>67</v>
      </c>
      <c r="G116" t="str">
        <f>VLOOKUP(A:A,INVENTÁRIO_07_2025!A:A,1,0)</f>
        <v>SPRDAPCMSGRU05</v>
      </c>
    </row>
    <row r="117" spans="1:7">
      <c r="A117" t="s">
        <v>108</v>
      </c>
      <c r="B117" t="s">
        <v>61</v>
      </c>
      <c r="C117" t="s">
        <v>51</v>
      </c>
      <c r="D117" t="s">
        <v>109</v>
      </c>
      <c r="E117" t="s">
        <v>53</v>
      </c>
      <c r="F117" t="s">
        <v>58</v>
      </c>
      <c r="G117" t="str">
        <f>VLOOKUP(A:A,INVENTÁRIO_07_2025!A:A,1,0)</f>
        <v>SPRDBDORAGRU12</v>
      </c>
    </row>
    <row r="118" spans="1:7">
      <c r="A118" t="s">
        <v>88</v>
      </c>
      <c r="B118" t="s">
        <v>61</v>
      </c>
      <c r="C118" t="s">
        <v>51</v>
      </c>
      <c r="D118" t="s">
        <v>85</v>
      </c>
      <c r="E118" t="s">
        <v>53</v>
      </c>
      <c r="F118" t="s">
        <v>63</v>
      </c>
      <c r="G118" t="str">
        <f>VLOOKUP(A:A,INVENTÁRIO_07_2025!A:A,1,0)</f>
        <v>SPRDAPCMSGRU07</v>
      </c>
    </row>
    <row r="119" spans="1:7">
      <c r="A119" t="s">
        <v>291</v>
      </c>
      <c r="B119" t="s">
        <v>61</v>
      </c>
      <c r="C119" t="s">
        <v>51</v>
      </c>
      <c r="D119" t="s">
        <v>111</v>
      </c>
      <c r="E119" t="s">
        <v>156</v>
      </c>
      <c r="F119" t="s">
        <v>733</v>
      </c>
      <c r="G119" t="str">
        <f>VLOOKUP(A:A,INVENTÁRIO_07_2025!A:A,1,0)</f>
        <v>PRDRMADS02</v>
      </c>
    </row>
    <row r="120" spans="1:7" hidden="1">
      <c r="A120" t="s">
        <v>571</v>
      </c>
      <c r="B120" t="s">
        <v>61</v>
      </c>
      <c r="C120" t="s">
        <v>116</v>
      </c>
      <c r="D120" t="s">
        <v>572</v>
      </c>
      <c r="E120" t="s">
        <v>156</v>
      </c>
      <c r="F120" t="s">
        <v>733</v>
      </c>
      <c r="G120" t="str">
        <f>VLOOKUP(A:A,INVENTÁRIO_07_2025!A:A,1,0)</f>
        <v>SPRDAPCMSGRU10</v>
      </c>
    </row>
    <row r="121" spans="1:7">
      <c r="A121" t="s">
        <v>626</v>
      </c>
      <c r="B121" t="s">
        <v>61</v>
      </c>
      <c r="C121" t="s">
        <v>51</v>
      </c>
      <c r="D121" t="s">
        <v>295</v>
      </c>
      <c r="E121" t="s">
        <v>156</v>
      </c>
      <c r="F121" t="s">
        <v>733</v>
      </c>
      <c r="G121" t="str">
        <f>VLOOKUP(A:A,INVENTÁRIO_07_2025!A:A,1,0)</f>
        <v>SPRDAPCMSM01</v>
      </c>
    </row>
    <row r="122" spans="1:7">
      <c r="A122" t="s">
        <v>627</v>
      </c>
      <c r="B122" t="s">
        <v>61</v>
      </c>
      <c r="C122" t="s">
        <v>51</v>
      </c>
      <c r="D122" t="s">
        <v>295</v>
      </c>
      <c r="E122" t="s">
        <v>156</v>
      </c>
      <c r="F122" t="s">
        <v>733</v>
      </c>
      <c r="G122" t="str">
        <f>VLOOKUP(A:A,INVENTÁRIO_07_2025!A:A,1,0)</f>
        <v>SPRDAPCMSP01</v>
      </c>
    </row>
    <row r="123" spans="1:7">
      <c r="A123" t="s">
        <v>628</v>
      </c>
      <c r="B123" t="s">
        <v>61</v>
      </c>
      <c r="C123" t="s">
        <v>51</v>
      </c>
      <c r="D123" t="s">
        <v>295</v>
      </c>
      <c r="E123" t="s">
        <v>156</v>
      </c>
      <c r="F123" t="s">
        <v>733</v>
      </c>
      <c r="G123" t="str">
        <f>VLOOKUP(A:A,INVENTÁRIO_07_2025!A:A,1,0)</f>
        <v>SPRDAPCMSP02</v>
      </c>
    </row>
    <row r="124" spans="1:7">
      <c r="A124" t="s">
        <v>629</v>
      </c>
      <c r="B124" t="s">
        <v>61</v>
      </c>
      <c r="C124" t="s">
        <v>51</v>
      </c>
      <c r="D124" t="s">
        <v>295</v>
      </c>
      <c r="E124" t="s">
        <v>156</v>
      </c>
      <c r="F124" t="s">
        <v>733</v>
      </c>
      <c r="G124" t="str">
        <f>VLOOKUP(A:A,INVENTÁRIO_07_2025!A:A,1,0)</f>
        <v>SPRDAPCMSP03</v>
      </c>
    </row>
    <row r="125" spans="1:7">
      <c r="A125" t="s">
        <v>630</v>
      </c>
      <c r="B125" t="s">
        <v>61</v>
      </c>
      <c r="C125" t="s">
        <v>51</v>
      </c>
      <c r="D125" t="s">
        <v>295</v>
      </c>
      <c r="E125" t="s">
        <v>156</v>
      </c>
      <c r="F125" t="s">
        <v>733</v>
      </c>
      <c r="G125" t="str">
        <f>VLOOKUP(A:A,INVENTÁRIO_07_2025!A:A,1,0)</f>
        <v>SPRDAPCMSW01</v>
      </c>
    </row>
    <row r="126" spans="1:7">
      <c r="A126" t="s">
        <v>631</v>
      </c>
      <c r="B126" t="s">
        <v>61</v>
      </c>
      <c r="C126" t="s">
        <v>51</v>
      </c>
      <c r="D126" t="s">
        <v>295</v>
      </c>
      <c r="E126" t="s">
        <v>156</v>
      </c>
      <c r="F126" t="s">
        <v>733</v>
      </c>
      <c r="G126" t="str">
        <f>VLOOKUP(A:A,INVENTÁRIO_07_2025!A:A,1,0)</f>
        <v>SPRDAPCMSW02</v>
      </c>
    </row>
    <row r="127" spans="1:7" hidden="1">
      <c r="A127" t="s">
        <v>420</v>
      </c>
      <c r="B127" t="s">
        <v>61</v>
      </c>
      <c r="C127" t="s">
        <v>116</v>
      </c>
      <c r="D127" t="s">
        <v>126</v>
      </c>
      <c r="E127" t="s">
        <v>156</v>
      </c>
      <c r="F127" t="s">
        <v>327</v>
      </c>
      <c r="G127" t="str">
        <f>VLOOKUP(A:A,INVENTÁRIO_07_2025!A:A,1,0)</f>
        <v>SPRDAPCNIGRU01</v>
      </c>
    </row>
    <row r="128" spans="1:7" hidden="1">
      <c r="A128" t="s">
        <v>421</v>
      </c>
      <c r="B128" t="s">
        <v>61</v>
      </c>
      <c r="C128" t="s">
        <v>116</v>
      </c>
      <c r="D128" t="s">
        <v>126</v>
      </c>
      <c r="E128" t="s">
        <v>156</v>
      </c>
      <c r="F128" t="s">
        <v>327</v>
      </c>
      <c r="G128" t="str">
        <f>VLOOKUP(A:A,INVENTÁRIO_07_2025!A:A,1,0)</f>
        <v>SPRDAPCNWGRU01</v>
      </c>
    </row>
    <row r="129" spans="1:7" hidden="1">
      <c r="A129" t="s">
        <v>215</v>
      </c>
      <c r="B129" t="s">
        <v>61</v>
      </c>
      <c r="C129" t="s">
        <v>116</v>
      </c>
      <c r="D129" t="s">
        <v>419</v>
      </c>
      <c r="E129" t="s">
        <v>156</v>
      </c>
      <c r="F129" t="s">
        <v>733</v>
      </c>
      <c r="G129" t="str">
        <f>VLOOKUP(A:A,INVENTÁRIO_07_2025!A:A,1,0)</f>
        <v>SPRDAPCONVGRU01</v>
      </c>
    </row>
    <row r="130" spans="1:7" hidden="1">
      <c r="A130" t="s">
        <v>422</v>
      </c>
      <c r="B130" t="s">
        <v>61</v>
      </c>
      <c r="C130" t="s">
        <v>116</v>
      </c>
      <c r="D130" t="s">
        <v>423</v>
      </c>
      <c r="E130" t="s">
        <v>156</v>
      </c>
      <c r="F130" t="s">
        <v>327</v>
      </c>
      <c r="G130" t="str">
        <f>VLOOKUP(A:A,INVENTÁRIO_07_2025!A:A,1,0)</f>
        <v>SPRDAPCONVGRU03</v>
      </c>
    </row>
    <row r="131" spans="1:7" hidden="1">
      <c r="A131" t="s">
        <v>464</v>
      </c>
      <c r="B131" t="s">
        <v>61</v>
      </c>
      <c r="C131" t="s">
        <v>116</v>
      </c>
      <c r="D131" t="s">
        <v>136</v>
      </c>
      <c r="E131" t="s">
        <v>156</v>
      </c>
      <c r="F131" t="s">
        <v>327</v>
      </c>
      <c r="G131" t="str">
        <f>VLOOKUP(A:A,INVENTÁRIO_07_2025!A:A,1,0)</f>
        <v>SPRDAPCOVGRU01</v>
      </c>
    </row>
    <row r="132" spans="1:7" hidden="1">
      <c r="A132" t="s">
        <v>465</v>
      </c>
      <c r="B132" t="s">
        <v>61</v>
      </c>
      <c r="C132" t="s">
        <v>116</v>
      </c>
      <c r="D132" t="s">
        <v>136</v>
      </c>
      <c r="E132" t="s">
        <v>156</v>
      </c>
      <c r="F132" t="s">
        <v>327</v>
      </c>
      <c r="G132" t="str">
        <f>VLOOKUP(A:A,INVENTÁRIO_07_2025!A:A,1,0)</f>
        <v>SPRDAPCOVGRU02</v>
      </c>
    </row>
    <row r="133" spans="1:7" hidden="1">
      <c r="A133" t="s">
        <v>424</v>
      </c>
      <c r="B133" t="s">
        <v>61</v>
      </c>
      <c r="C133" t="s">
        <v>116</v>
      </c>
      <c r="D133" t="s">
        <v>425</v>
      </c>
      <c r="E133" t="s">
        <v>156</v>
      </c>
      <c r="F133" t="s">
        <v>327</v>
      </c>
      <c r="G133" t="str">
        <f>VLOOKUP(A:A,INVENTÁRIO_07_2025!A:A,1,0)</f>
        <v>SPRDAPCTBGRU01</v>
      </c>
    </row>
    <row r="134" spans="1:7" hidden="1">
      <c r="A134" t="s">
        <v>466</v>
      </c>
      <c r="B134" t="s">
        <v>61</v>
      </c>
      <c r="C134" t="s">
        <v>116</v>
      </c>
      <c r="D134" t="s">
        <v>425</v>
      </c>
      <c r="E134" t="s">
        <v>156</v>
      </c>
      <c r="F134" t="s">
        <v>327</v>
      </c>
      <c r="G134" t="str">
        <f>VLOOKUP(A:A,INVENTÁRIO_07_2025!A:A,1,0)</f>
        <v>SPRDAPCTDGRU01</v>
      </c>
    </row>
    <row r="135" spans="1:7">
      <c r="A135" t="s">
        <v>294</v>
      </c>
      <c r="B135" t="s">
        <v>61</v>
      </c>
      <c r="C135" t="s">
        <v>51</v>
      </c>
      <c r="D135" t="s">
        <v>295</v>
      </c>
      <c r="E135" t="s">
        <v>156</v>
      </c>
      <c r="F135" t="s">
        <v>733</v>
      </c>
      <c r="G135" t="str">
        <f>VLOOKUP(A:A,INVENTÁRIO_07_2025!A:A,1,0)</f>
        <v>SPRDAPCUPSGRU03</v>
      </c>
    </row>
    <row r="136" spans="1:7">
      <c r="A136" t="s">
        <v>296</v>
      </c>
      <c r="B136" t="s">
        <v>61</v>
      </c>
      <c r="C136" t="s">
        <v>51</v>
      </c>
      <c r="D136" t="s">
        <v>295</v>
      </c>
      <c r="E136" t="s">
        <v>156</v>
      </c>
      <c r="F136" t="s">
        <v>733</v>
      </c>
      <c r="G136" t="str">
        <f>VLOOKUP(A:A,INVENTÁRIO_07_2025!A:A,1,0)</f>
        <v>SPRDAPCUPSGRU04</v>
      </c>
    </row>
    <row r="137" spans="1:7" hidden="1">
      <c r="A137" t="s">
        <v>426</v>
      </c>
      <c r="B137" t="s">
        <v>61</v>
      </c>
      <c r="C137" t="s">
        <v>116</v>
      </c>
      <c r="D137" t="s">
        <v>126</v>
      </c>
      <c r="E137" t="s">
        <v>156</v>
      </c>
      <c r="F137" t="s">
        <v>327</v>
      </c>
      <c r="G137" t="str">
        <f>VLOOKUP(A:A,INVENTÁRIO_07_2025!A:A,1,0)</f>
        <v>SPRDAPDACGRU01</v>
      </c>
    </row>
    <row r="138" spans="1:7" hidden="1">
      <c r="A138" t="s">
        <v>362</v>
      </c>
      <c r="B138" t="s">
        <v>61</v>
      </c>
      <c r="C138" t="s">
        <v>116</v>
      </c>
      <c r="D138" t="s">
        <v>117</v>
      </c>
      <c r="E138" t="s">
        <v>156</v>
      </c>
      <c r="F138" t="s">
        <v>327</v>
      </c>
      <c r="G138" t="str">
        <f>VLOOKUP(A:A,INVENTÁRIO_07_2025!A:A,1,0)</f>
        <v>SPRDAPDATGRU01</v>
      </c>
    </row>
    <row r="139" spans="1:7" hidden="1">
      <c r="A139" t="s">
        <v>427</v>
      </c>
      <c r="B139" t="s">
        <v>61</v>
      </c>
      <c r="C139" t="s">
        <v>116</v>
      </c>
      <c r="D139" t="s">
        <v>174</v>
      </c>
      <c r="E139" t="s">
        <v>156</v>
      </c>
      <c r="F139" t="s">
        <v>327</v>
      </c>
      <c r="G139" t="str">
        <f>VLOOKUP(A:A,INVENTÁRIO_07_2025!A:A,1,0)</f>
        <v>SPRDAPDBGRU01</v>
      </c>
    </row>
    <row r="140" spans="1:7" hidden="1">
      <c r="A140" t="s">
        <v>428</v>
      </c>
      <c r="B140" t="s">
        <v>61</v>
      </c>
      <c r="C140" t="s">
        <v>116</v>
      </c>
      <c r="D140" t="s">
        <v>126</v>
      </c>
      <c r="E140" t="s">
        <v>156</v>
      </c>
      <c r="F140" t="s">
        <v>733</v>
      </c>
      <c r="G140" t="str">
        <f>VLOOKUP(A:A,INVENTÁRIO_07_2025!A:A,1,0)</f>
        <v>SPRDAPDCLGRU01</v>
      </c>
    </row>
    <row r="141" spans="1:7" hidden="1">
      <c r="A141" t="s">
        <v>429</v>
      </c>
      <c r="B141" t="s">
        <v>61</v>
      </c>
      <c r="C141" t="s">
        <v>116</v>
      </c>
      <c r="D141" t="s">
        <v>126</v>
      </c>
      <c r="E141" t="s">
        <v>156</v>
      </c>
      <c r="F141" t="s">
        <v>733</v>
      </c>
      <c r="G141" t="str">
        <f>VLOOKUP(A:A,INVENTÁRIO_07_2025!A:A,1,0)</f>
        <v>SPRDAPDCLGRU02</v>
      </c>
    </row>
    <row r="142" spans="1:7" hidden="1">
      <c r="A142" t="s">
        <v>173</v>
      </c>
      <c r="B142" t="s">
        <v>61</v>
      </c>
      <c r="C142" t="s">
        <v>116</v>
      </c>
      <c r="D142" t="s">
        <v>129</v>
      </c>
      <c r="E142" t="s">
        <v>156</v>
      </c>
      <c r="F142" t="s">
        <v>733</v>
      </c>
      <c r="G142" t="str">
        <f>VLOOKUP(A:A,INVENTÁRIO_07_2025!A:A,1,0)</f>
        <v>SPRDAPDGFGRU02</v>
      </c>
    </row>
    <row r="143" spans="1:7" hidden="1">
      <c r="A143" t="s">
        <v>175</v>
      </c>
      <c r="B143" t="s">
        <v>61</v>
      </c>
      <c r="C143" t="s">
        <v>116</v>
      </c>
      <c r="D143" t="s">
        <v>126</v>
      </c>
      <c r="E143" t="s">
        <v>156</v>
      </c>
      <c r="F143" t="s">
        <v>733</v>
      </c>
      <c r="G143" t="str">
        <f>VLOOKUP(A:A,INVENTÁRIO_07_2025!A:A,1,0)</f>
        <v>SPRDAPDHCPGRU01</v>
      </c>
    </row>
    <row r="144" spans="1:7" hidden="1">
      <c r="A144" t="s">
        <v>176</v>
      </c>
      <c r="B144" t="s">
        <v>61</v>
      </c>
      <c r="C144" t="s">
        <v>116</v>
      </c>
      <c r="D144" t="s">
        <v>126</v>
      </c>
      <c r="E144" t="s">
        <v>156</v>
      </c>
      <c r="F144" t="s">
        <v>733</v>
      </c>
      <c r="G144" t="str">
        <f>VLOOKUP(A:A,INVENTÁRIO_07_2025!A:A,1,0)</f>
        <v>SPRDAPDHCPGRU02</v>
      </c>
    </row>
    <row r="145" spans="1:7">
      <c r="A145" t="s">
        <v>270</v>
      </c>
      <c r="B145" t="s">
        <v>61</v>
      </c>
      <c r="C145" t="s">
        <v>51</v>
      </c>
      <c r="D145" t="s">
        <v>271</v>
      </c>
      <c r="E145" t="s">
        <v>156</v>
      </c>
      <c r="F145" t="s">
        <v>733</v>
      </c>
      <c r="G145" t="str">
        <f>VLOOKUP(A:A,INVENTÁRIO_07_2025!A:A,1,0)</f>
        <v>SPRDAPDIPGRU01</v>
      </c>
    </row>
    <row r="146" spans="1:7" hidden="1">
      <c r="A146" t="s">
        <v>135</v>
      </c>
      <c r="B146" t="s">
        <v>50</v>
      </c>
      <c r="C146" t="s">
        <v>116</v>
      </c>
      <c r="D146" t="s">
        <v>136</v>
      </c>
      <c r="E146" t="s">
        <v>53</v>
      </c>
      <c r="F146" t="s">
        <v>63</v>
      </c>
      <c r="G146" t="str">
        <f>VLOOKUP(A:A,INVENTÁRIO_07_2025!A:A,1,0)</f>
        <v>SPRDAPDMZGRU01</v>
      </c>
    </row>
    <row r="147" spans="1:7">
      <c r="A147" t="s">
        <v>712</v>
      </c>
      <c r="B147" t="s">
        <v>61</v>
      </c>
      <c r="C147" t="s">
        <v>51</v>
      </c>
      <c r="D147" t="s">
        <v>276</v>
      </c>
      <c r="E147" t="s">
        <v>156</v>
      </c>
      <c r="F147" t="s">
        <v>733</v>
      </c>
      <c r="G147" t="e">
        <f>VLOOKUP(A:A,INVENTÁRIO_07_2025!A:A,1,0)</f>
        <v>#N/A</v>
      </c>
    </row>
    <row r="148" spans="1:7">
      <c r="A148" t="s">
        <v>525</v>
      </c>
      <c r="B148" t="s">
        <v>61</v>
      </c>
      <c r="C148" t="s">
        <v>51</v>
      </c>
      <c r="D148" t="s">
        <v>526</v>
      </c>
      <c r="E148" t="s">
        <v>156</v>
      </c>
      <c r="F148" t="s">
        <v>733</v>
      </c>
      <c r="G148" t="str">
        <f>VLOOKUP(A:A,INVENTÁRIO_07_2025!A:A,1,0)</f>
        <v>SPRDAPDSMGRU01</v>
      </c>
    </row>
    <row r="149" spans="1:7">
      <c r="A149" t="s">
        <v>713</v>
      </c>
      <c r="B149" t="s">
        <v>61</v>
      </c>
      <c r="C149" t="s">
        <v>51</v>
      </c>
      <c r="D149" t="s">
        <v>295</v>
      </c>
      <c r="E149" t="s">
        <v>156</v>
      </c>
      <c r="F149" t="s">
        <v>733</v>
      </c>
      <c r="G149" t="e">
        <f>VLOOKUP(A:A,INVENTÁRIO_07_2025!A:A,1,0)</f>
        <v>#N/A</v>
      </c>
    </row>
    <row r="150" spans="1:7">
      <c r="A150" t="s">
        <v>95</v>
      </c>
      <c r="B150" t="s">
        <v>61</v>
      </c>
      <c r="C150" t="s">
        <v>51</v>
      </c>
      <c r="D150" t="s">
        <v>85</v>
      </c>
      <c r="E150" t="s">
        <v>53</v>
      </c>
      <c r="F150" t="s">
        <v>56</v>
      </c>
      <c r="G150" t="str">
        <f>VLOOKUP(A:A,INVENTÁRIO_07_2025!A:A,1,0)</f>
        <v>SPRDAPECGRU01</v>
      </c>
    </row>
    <row r="151" spans="1:7">
      <c r="A151" t="s">
        <v>96</v>
      </c>
      <c r="B151" t="s">
        <v>61</v>
      </c>
      <c r="C151" t="s">
        <v>51</v>
      </c>
      <c r="D151" t="s">
        <v>85</v>
      </c>
      <c r="E151" t="s">
        <v>53</v>
      </c>
      <c r="F151" t="s">
        <v>56</v>
      </c>
      <c r="G151" t="str">
        <f>VLOOKUP(A:A,INVENTÁRIO_07_2025!A:A,1,0)</f>
        <v>SPRDAPECGRU02</v>
      </c>
    </row>
    <row r="152" spans="1:7">
      <c r="A152" t="s">
        <v>97</v>
      </c>
      <c r="B152" t="s">
        <v>61</v>
      </c>
      <c r="C152" t="s">
        <v>51</v>
      </c>
      <c r="D152" t="s">
        <v>85</v>
      </c>
      <c r="E152" t="s">
        <v>53</v>
      </c>
      <c r="F152" t="s">
        <v>56</v>
      </c>
      <c r="G152" t="str">
        <f>VLOOKUP(A:A,INVENTÁRIO_07_2025!A:A,1,0)</f>
        <v>SPRDAPECGRU03</v>
      </c>
    </row>
    <row r="153" spans="1:7">
      <c r="A153" t="s">
        <v>102</v>
      </c>
      <c r="B153" t="s">
        <v>61</v>
      </c>
      <c r="C153" t="s">
        <v>51</v>
      </c>
      <c r="D153" t="s">
        <v>85</v>
      </c>
      <c r="E153" t="s">
        <v>53</v>
      </c>
      <c r="F153" t="s">
        <v>58</v>
      </c>
      <c r="G153" t="str">
        <f>VLOOKUP(A:A,INVENTÁRIO_07_2025!A:A,1,0)</f>
        <v>SPRDAPECGRU04</v>
      </c>
    </row>
    <row r="154" spans="1:7">
      <c r="A154" t="s">
        <v>103</v>
      </c>
      <c r="B154" t="s">
        <v>61</v>
      </c>
      <c r="C154" t="s">
        <v>51</v>
      </c>
      <c r="D154" t="s">
        <v>85</v>
      </c>
      <c r="E154" t="s">
        <v>53</v>
      </c>
      <c r="F154" t="s">
        <v>58</v>
      </c>
      <c r="G154" t="str">
        <f>VLOOKUP(A:A,INVENTÁRIO_07_2025!A:A,1,0)</f>
        <v>SPRDAPECGRU05</v>
      </c>
    </row>
    <row r="155" spans="1:7">
      <c r="A155" t="s">
        <v>104</v>
      </c>
      <c r="B155" t="s">
        <v>61</v>
      </c>
      <c r="C155" t="s">
        <v>51</v>
      </c>
      <c r="D155" t="s">
        <v>85</v>
      </c>
      <c r="E155" t="s">
        <v>53</v>
      </c>
      <c r="F155" t="s">
        <v>58</v>
      </c>
      <c r="G155" t="str">
        <f>VLOOKUP(A:A,INVENTÁRIO_07_2025!A:A,1,0)</f>
        <v>SPRDAPECGRU06</v>
      </c>
    </row>
    <row r="156" spans="1:7" hidden="1">
      <c r="A156" t="s">
        <v>251</v>
      </c>
      <c r="B156" t="s">
        <v>61</v>
      </c>
      <c r="C156" t="s">
        <v>116</v>
      </c>
      <c r="D156" t="s">
        <v>247</v>
      </c>
      <c r="E156" t="s">
        <v>156</v>
      </c>
      <c r="F156" t="s">
        <v>733</v>
      </c>
      <c r="G156" t="str">
        <f>VLOOKUP(A:A,INVENTÁRIO_07_2025!A:A,1,0)</f>
        <v>SPRDAPEDI7GRU01</v>
      </c>
    </row>
    <row r="157" spans="1:7" hidden="1">
      <c r="A157" t="s">
        <v>216</v>
      </c>
      <c r="B157" t="s">
        <v>61</v>
      </c>
      <c r="C157" t="s">
        <v>116</v>
      </c>
      <c r="D157" t="s">
        <v>419</v>
      </c>
      <c r="E157" t="s">
        <v>156</v>
      </c>
      <c r="F157" t="s">
        <v>733</v>
      </c>
      <c r="G157" t="str">
        <f>VLOOKUP(A:A,INVENTÁRIO_07_2025!A:A,1,0)</f>
        <v>SPRDAPEDIGRU01</v>
      </c>
    </row>
    <row r="158" spans="1:7" hidden="1">
      <c r="A158" t="s">
        <v>714</v>
      </c>
      <c r="B158" t="s">
        <v>61</v>
      </c>
      <c r="C158" t="s">
        <v>116</v>
      </c>
      <c r="D158" t="s">
        <v>734</v>
      </c>
      <c r="E158" t="s">
        <v>156</v>
      </c>
      <c r="F158" t="s">
        <v>733</v>
      </c>
      <c r="G158" t="e">
        <f>VLOOKUP(A:A,INVENTÁRIO_07_2025!A:A,1,0)</f>
        <v>#N/A</v>
      </c>
    </row>
    <row r="159" spans="1:7" hidden="1">
      <c r="A159" t="s">
        <v>177</v>
      </c>
      <c r="B159" t="s">
        <v>61</v>
      </c>
      <c r="C159" t="s">
        <v>116</v>
      </c>
      <c r="D159" t="s">
        <v>174</v>
      </c>
      <c r="E159" t="s">
        <v>156</v>
      </c>
      <c r="F159" t="s">
        <v>733</v>
      </c>
      <c r="G159" t="str">
        <f>VLOOKUP(A:A,INVENTÁRIO_07_2025!A:A,1,0)</f>
        <v>SPRDAPEGTGRU01 - T3 EMB</v>
      </c>
    </row>
    <row r="160" spans="1:7" hidden="1">
      <c r="A160" t="s">
        <v>715</v>
      </c>
      <c r="B160" t="s">
        <v>61</v>
      </c>
      <c r="C160" t="s">
        <v>116</v>
      </c>
      <c r="D160" t="s">
        <v>734</v>
      </c>
      <c r="E160" t="s">
        <v>156</v>
      </c>
      <c r="F160" t="s">
        <v>733</v>
      </c>
      <c r="G160" t="e">
        <f>VLOOKUP(A:A,INVENTÁRIO_07_2025!A:A,1,0)</f>
        <v>#N/A</v>
      </c>
    </row>
    <row r="161" spans="1:7" hidden="1">
      <c r="A161" t="s">
        <v>178</v>
      </c>
      <c r="B161" t="s">
        <v>61</v>
      </c>
      <c r="C161" t="s">
        <v>116</v>
      </c>
      <c r="D161" t="s">
        <v>174</v>
      </c>
      <c r="E161" t="s">
        <v>156</v>
      </c>
      <c r="F161" t="s">
        <v>733</v>
      </c>
      <c r="G161" t="str">
        <f>VLOOKUP(A:A,INVENTÁRIO_07_2025!A:A,1,0)</f>
        <v>SPRDAPEGTGRU02 - T2 EMB</v>
      </c>
    </row>
    <row r="162" spans="1:7" hidden="1">
      <c r="A162" t="s">
        <v>179</v>
      </c>
      <c r="B162" t="s">
        <v>61</v>
      </c>
      <c r="C162" t="s">
        <v>116</v>
      </c>
      <c r="D162" t="s">
        <v>174</v>
      </c>
      <c r="E162" t="s">
        <v>156</v>
      </c>
      <c r="F162" t="s">
        <v>733</v>
      </c>
      <c r="G162" t="str">
        <f>VLOOKUP(A:A,INVENTÁRIO_07_2025!A:A,1,0)</f>
        <v>SPRDAPEGTGRU03 - T3 DES</v>
      </c>
    </row>
    <row r="163" spans="1:7" hidden="1">
      <c r="A163" t="s">
        <v>180</v>
      </c>
      <c r="B163" t="s">
        <v>61</v>
      </c>
      <c r="C163" t="s">
        <v>116</v>
      </c>
      <c r="D163" t="s">
        <v>174</v>
      </c>
      <c r="E163" t="s">
        <v>156</v>
      </c>
      <c r="F163" t="s">
        <v>733</v>
      </c>
      <c r="G163" t="str">
        <f>VLOOKUP(A:A,INVENTÁRIO_07_2025!A:A,1,0)</f>
        <v>SPRDAPEGTGRU04 - T2 DES</v>
      </c>
    </row>
    <row r="164" spans="1:7" hidden="1">
      <c r="A164" t="s">
        <v>181</v>
      </c>
      <c r="B164" t="s">
        <v>61</v>
      </c>
      <c r="C164" t="s">
        <v>116</v>
      </c>
      <c r="D164" t="s">
        <v>672</v>
      </c>
      <c r="E164" t="s">
        <v>156</v>
      </c>
      <c r="F164" t="s">
        <v>733</v>
      </c>
      <c r="G164" t="str">
        <f>VLOOKUP(A:A,INVENTÁRIO_07_2025!A:A,1,0)</f>
        <v>SPRDAPEGTGRU05</v>
      </c>
    </row>
    <row r="165" spans="1:7" hidden="1">
      <c r="A165" t="s">
        <v>182</v>
      </c>
      <c r="B165" t="s">
        <v>61</v>
      </c>
      <c r="C165" t="s">
        <v>116</v>
      </c>
      <c r="D165" t="s">
        <v>672</v>
      </c>
      <c r="E165" t="s">
        <v>156</v>
      </c>
      <c r="F165" t="s">
        <v>733</v>
      </c>
      <c r="G165" t="str">
        <f>VLOOKUP(A:A,INVENTÁRIO_07_2025!A:A,1,0)</f>
        <v>SPRDAPEGTGRU06</v>
      </c>
    </row>
    <row r="166" spans="1:7" hidden="1">
      <c r="A166" t="s">
        <v>364</v>
      </c>
      <c r="B166" t="s">
        <v>61</v>
      </c>
      <c r="C166" t="s">
        <v>116</v>
      </c>
      <c r="D166" t="s">
        <v>163</v>
      </c>
      <c r="E166" t="s">
        <v>156</v>
      </c>
      <c r="F166" t="s">
        <v>327</v>
      </c>
      <c r="G166" t="str">
        <f>VLOOKUP(A:A,INVENTÁRIO_07_2025!A:A,1,0)</f>
        <v>SPRDAPENVGRU01</v>
      </c>
    </row>
    <row r="167" spans="1:7" hidden="1">
      <c r="A167" t="s">
        <v>365</v>
      </c>
      <c r="B167" t="s">
        <v>61</v>
      </c>
      <c r="C167" t="s">
        <v>116</v>
      </c>
      <c r="D167" t="s">
        <v>117</v>
      </c>
      <c r="E167" t="s">
        <v>156</v>
      </c>
      <c r="F167" t="s">
        <v>327</v>
      </c>
      <c r="G167" t="str">
        <f>VLOOKUP(A:A,INVENTÁRIO_07_2025!A:A,1,0)</f>
        <v>SPRDAPENVGRU02</v>
      </c>
    </row>
    <row r="168" spans="1:7" hidden="1">
      <c r="A168" t="s">
        <v>218</v>
      </c>
      <c r="B168" t="s">
        <v>61</v>
      </c>
      <c r="C168" t="s">
        <v>116</v>
      </c>
      <c r="D168" t="s">
        <v>572</v>
      </c>
      <c r="E168" t="s">
        <v>156</v>
      </c>
      <c r="F168" t="s">
        <v>733</v>
      </c>
      <c r="G168" t="str">
        <f>VLOOKUP(A:A,INVENTÁRIO_07_2025!A:A,1,0)</f>
        <v>SPRDAPESBGRU12</v>
      </c>
    </row>
    <row r="169" spans="1:7" hidden="1">
      <c r="A169" t="s">
        <v>467</v>
      </c>
      <c r="B169" t="s">
        <v>61</v>
      </c>
      <c r="C169" t="s">
        <v>116</v>
      </c>
      <c r="D169" t="s">
        <v>425</v>
      </c>
      <c r="E169" t="s">
        <v>156</v>
      </c>
      <c r="F169" t="s">
        <v>327</v>
      </c>
      <c r="G169" t="str">
        <f>VLOOKUP(A:A,INVENTÁRIO_07_2025!A:A,1,0)</f>
        <v>SPRDAPESTGRU01</v>
      </c>
    </row>
    <row r="170" spans="1:7" hidden="1">
      <c r="A170" t="s">
        <v>366</v>
      </c>
      <c r="B170" t="s">
        <v>61</v>
      </c>
      <c r="C170" t="s">
        <v>116</v>
      </c>
      <c r="D170" t="s">
        <v>122</v>
      </c>
      <c r="E170" t="s">
        <v>156</v>
      </c>
      <c r="F170" t="s">
        <v>327</v>
      </c>
      <c r="G170" t="str">
        <f>VLOOKUP(A:A,INVENTÁRIO_07_2025!A:A,1,0)</f>
        <v>SPRDAPEVDGRU01</v>
      </c>
    </row>
    <row r="171" spans="1:7" hidden="1">
      <c r="A171" t="s">
        <v>279</v>
      </c>
      <c r="B171" t="s">
        <v>61</v>
      </c>
      <c r="C171" t="s">
        <v>51</v>
      </c>
      <c r="D171" t="s">
        <v>280</v>
      </c>
      <c r="E171" t="s">
        <v>156</v>
      </c>
      <c r="F171" t="s">
        <v>733</v>
      </c>
      <c r="G171" t="str">
        <f>VLOOKUP(A:A,INVENTÁRIO_07_2025!A:A,1,0)</f>
        <v>SPRDAPEVFWGRU01</v>
      </c>
    </row>
    <row r="172" spans="1:7" hidden="1">
      <c r="A172" t="s">
        <v>367</v>
      </c>
      <c r="B172" t="s">
        <v>50</v>
      </c>
      <c r="C172" t="s">
        <v>116</v>
      </c>
      <c r="D172" t="s">
        <v>117</v>
      </c>
      <c r="E172" t="s">
        <v>156</v>
      </c>
      <c r="F172" t="s">
        <v>327</v>
      </c>
      <c r="G172" t="str">
        <f>VLOOKUP(A:A,INVENTÁRIO_07_2025!A:A,1,0)</f>
        <v>SPRDAPEVGRU01</v>
      </c>
    </row>
    <row r="173" spans="1:7" hidden="1">
      <c r="A173" t="s">
        <v>469</v>
      </c>
      <c r="B173" t="s">
        <v>61</v>
      </c>
      <c r="C173" t="s">
        <v>116</v>
      </c>
      <c r="D173" t="s">
        <v>153</v>
      </c>
      <c r="E173" t="s">
        <v>156</v>
      </c>
      <c r="F173" t="s">
        <v>327</v>
      </c>
      <c r="G173" t="str">
        <f>VLOOKUP(A:A,INVENTÁRIO_07_2025!A:A,1,0)</f>
        <v>SPRDAPFILAGRU01</v>
      </c>
    </row>
    <row r="174" spans="1:7" hidden="1">
      <c r="A174" t="s">
        <v>368</v>
      </c>
      <c r="B174" t="s">
        <v>61</v>
      </c>
      <c r="C174" t="s">
        <v>116</v>
      </c>
      <c r="D174" t="s">
        <v>117</v>
      </c>
      <c r="E174" t="s">
        <v>156</v>
      </c>
      <c r="F174" t="s">
        <v>327</v>
      </c>
      <c r="G174" t="str">
        <f>VLOOKUP(A:A,INVENTÁRIO_07_2025!A:A,1,0)</f>
        <v>SPRDAPFSCCGRU01</v>
      </c>
    </row>
    <row r="175" spans="1:7" hidden="1">
      <c r="A175" t="s">
        <v>220</v>
      </c>
      <c r="B175" t="s">
        <v>61</v>
      </c>
      <c r="C175" t="s">
        <v>116</v>
      </c>
      <c r="D175" t="s">
        <v>136</v>
      </c>
      <c r="E175" t="s">
        <v>156</v>
      </c>
      <c r="F175" t="s">
        <v>733</v>
      </c>
      <c r="G175" t="str">
        <f>VLOOKUP(A:A,INVENTÁRIO_07_2025!A:A,1,0)</f>
        <v>SPRDAPFSGRU01</v>
      </c>
    </row>
    <row r="176" spans="1:7" hidden="1">
      <c r="A176" t="s">
        <v>369</v>
      </c>
      <c r="B176" t="s">
        <v>61</v>
      </c>
      <c r="C176" t="s">
        <v>116</v>
      </c>
      <c r="D176" t="s">
        <v>117</v>
      </c>
      <c r="E176" t="s">
        <v>156</v>
      </c>
      <c r="F176" t="s">
        <v>327</v>
      </c>
      <c r="G176" t="str">
        <f>VLOOKUP(A:A,INVENTÁRIO_07_2025!A:A,1,0)</f>
        <v>SPRDAPGEDGRU01</v>
      </c>
    </row>
    <row r="177" spans="1:7" hidden="1">
      <c r="A177" t="s">
        <v>370</v>
      </c>
      <c r="B177" t="s">
        <v>61</v>
      </c>
      <c r="C177" t="s">
        <v>116</v>
      </c>
      <c r="D177" t="s">
        <v>117</v>
      </c>
      <c r="E177" t="s">
        <v>156</v>
      </c>
      <c r="F177" t="s">
        <v>327</v>
      </c>
      <c r="G177" t="str">
        <f>VLOOKUP(A:A,INVENTÁRIO_07_2025!A:A,1,0)</f>
        <v>SPRDAPGEDGRU02</v>
      </c>
    </row>
    <row r="178" spans="1:7" hidden="1">
      <c r="A178" t="s">
        <v>371</v>
      </c>
      <c r="B178" t="s">
        <v>61</v>
      </c>
      <c r="C178" t="s">
        <v>116</v>
      </c>
      <c r="D178" t="s">
        <v>117</v>
      </c>
      <c r="E178" t="s">
        <v>156</v>
      </c>
      <c r="F178" t="s">
        <v>327</v>
      </c>
      <c r="G178" t="str">
        <f>VLOOKUP(A:A,INVENTÁRIO_07_2025!A:A,1,0)</f>
        <v>SPRDAPGEDGRU03</v>
      </c>
    </row>
    <row r="179" spans="1:7" hidden="1">
      <c r="A179" t="s">
        <v>372</v>
      </c>
      <c r="B179" t="s">
        <v>61</v>
      </c>
      <c r="C179" t="s">
        <v>116</v>
      </c>
      <c r="D179" t="s">
        <v>117</v>
      </c>
      <c r="E179" t="s">
        <v>156</v>
      </c>
      <c r="F179" t="s">
        <v>327</v>
      </c>
      <c r="G179" t="str">
        <f>VLOOKUP(A:A,INVENTÁRIO_07_2025!A:A,1,0)</f>
        <v>SPRDAPGEDGRU04</v>
      </c>
    </row>
    <row r="180" spans="1:7">
      <c r="A180" t="s">
        <v>308</v>
      </c>
      <c r="B180" t="s">
        <v>61</v>
      </c>
      <c r="C180" t="s">
        <v>51</v>
      </c>
      <c r="D180" t="s">
        <v>114</v>
      </c>
      <c r="E180" t="s">
        <v>156</v>
      </c>
      <c r="F180" t="s">
        <v>733</v>
      </c>
      <c r="G180" t="str">
        <f>VLOOKUP(A:A,INVENTÁRIO_07_2025!A:A,1,0)</f>
        <v>SPRDAPGFNGRU02</v>
      </c>
    </row>
    <row r="181" spans="1:7">
      <c r="A181" t="s">
        <v>538</v>
      </c>
      <c r="B181" t="s">
        <v>61</v>
      </c>
      <c r="C181" t="s">
        <v>51</v>
      </c>
      <c r="D181" t="s">
        <v>114</v>
      </c>
      <c r="E181" t="s">
        <v>156</v>
      </c>
      <c r="F181" t="s">
        <v>733</v>
      </c>
      <c r="G181" t="str">
        <f>VLOOKUP(A:A,INVENTÁRIO_07_2025!A:A,1,0)</f>
        <v>SPRDAPGLPIGRU01</v>
      </c>
    </row>
    <row r="182" spans="1:7">
      <c r="A182" t="s">
        <v>539</v>
      </c>
      <c r="B182" t="s">
        <v>61</v>
      </c>
      <c r="C182" t="s">
        <v>51</v>
      </c>
      <c r="D182" t="s">
        <v>114</v>
      </c>
      <c r="E182" t="s">
        <v>156</v>
      </c>
      <c r="F182" t="s">
        <v>733</v>
      </c>
      <c r="G182" t="str">
        <f>VLOOKUP(A:A,INVENTÁRIO_07_2025!A:A,1,0)</f>
        <v>SPRDAPGLPIGRU02</v>
      </c>
    </row>
    <row r="183" spans="1:7">
      <c r="A183" t="s">
        <v>540</v>
      </c>
      <c r="B183" t="s">
        <v>61</v>
      </c>
      <c r="C183" t="s">
        <v>51</v>
      </c>
      <c r="D183" t="s">
        <v>114</v>
      </c>
      <c r="E183" t="s">
        <v>156</v>
      </c>
      <c r="F183" t="s">
        <v>327</v>
      </c>
      <c r="G183" t="str">
        <f>VLOOKUP(A:A,INVENTÁRIO_07_2025!A:A,1,0)</f>
        <v>SPRDAPGRFGRU01</v>
      </c>
    </row>
    <row r="184" spans="1:7" hidden="1">
      <c r="A184" t="s">
        <v>470</v>
      </c>
      <c r="B184" t="s">
        <v>61</v>
      </c>
      <c r="C184" t="s">
        <v>116</v>
      </c>
      <c r="D184" t="s">
        <v>136</v>
      </c>
      <c r="E184" t="s">
        <v>156</v>
      </c>
      <c r="F184" t="s">
        <v>327</v>
      </c>
      <c r="G184" t="str">
        <f>VLOOKUP(A:A,INVENTÁRIO_07_2025!A:A,1,0)</f>
        <v>SPRDAPGWBIGRU03</v>
      </c>
    </row>
    <row r="185" spans="1:7" hidden="1">
      <c r="A185" t="s">
        <v>430</v>
      </c>
      <c r="B185" t="s">
        <v>61</v>
      </c>
      <c r="C185" t="s">
        <v>116</v>
      </c>
      <c r="D185" t="s">
        <v>671</v>
      </c>
      <c r="E185" t="s">
        <v>156</v>
      </c>
      <c r="F185" t="s">
        <v>327</v>
      </c>
      <c r="G185" t="str">
        <f>VLOOKUP(A:A,INVENTÁRIO_07_2025!A:A,1,0)</f>
        <v>SPRDAPHDMGRU01</v>
      </c>
    </row>
    <row r="186" spans="1:7" hidden="1">
      <c r="A186" t="s">
        <v>342</v>
      </c>
      <c r="B186" t="s">
        <v>61</v>
      </c>
      <c r="C186" t="s">
        <v>116</v>
      </c>
      <c r="D186" t="s">
        <v>341</v>
      </c>
      <c r="E186" t="s">
        <v>156</v>
      </c>
      <c r="F186" t="s">
        <v>327</v>
      </c>
      <c r="G186" t="str">
        <f>VLOOKUP(A:A,INVENTÁRIO_07_2025!A:A,1,0)</f>
        <v>SPRDAPHHGRU01</v>
      </c>
    </row>
    <row r="187" spans="1:7" hidden="1">
      <c r="A187" t="s">
        <v>221</v>
      </c>
      <c r="B187" t="s">
        <v>61</v>
      </c>
      <c r="C187" t="s">
        <v>116</v>
      </c>
      <c r="D187" t="s">
        <v>425</v>
      </c>
      <c r="E187" t="s">
        <v>156</v>
      </c>
      <c r="F187" t="s">
        <v>733</v>
      </c>
      <c r="G187" t="str">
        <f>VLOOKUP(A:A,INVENTÁRIO_07_2025!A:A,1,0)</f>
        <v>SPRDAPHSEGRU01</v>
      </c>
    </row>
    <row r="188" spans="1:7" hidden="1">
      <c r="A188" t="s">
        <v>222</v>
      </c>
      <c r="B188" t="s">
        <v>61</v>
      </c>
      <c r="C188" t="s">
        <v>116</v>
      </c>
      <c r="D188" t="s">
        <v>425</v>
      </c>
      <c r="E188" t="s">
        <v>156</v>
      </c>
      <c r="F188" t="s">
        <v>733</v>
      </c>
      <c r="G188" t="str">
        <f>VLOOKUP(A:A,INVENTÁRIO_07_2025!A:A,1,0)</f>
        <v>SPRDAPHSEGRU02</v>
      </c>
    </row>
    <row r="189" spans="1:7" hidden="1">
      <c r="A189" t="s">
        <v>252</v>
      </c>
      <c r="B189" t="s">
        <v>61</v>
      </c>
      <c r="C189" t="s">
        <v>116</v>
      </c>
      <c r="D189" t="s">
        <v>136</v>
      </c>
      <c r="E189" t="s">
        <v>156</v>
      </c>
      <c r="F189" t="s">
        <v>733</v>
      </c>
      <c r="G189" t="str">
        <f>VLOOKUP(A:A,INVENTÁRIO_07_2025!A:A,1,0)</f>
        <v>SPRDAPHSEGRU06</v>
      </c>
    </row>
    <row r="190" spans="1:7" hidden="1">
      <c r="A190" t="s">
        <v>471</v>
      </c>
      <c r="B190" t="s">
        <v>61</v>
      </c>
      <c r="C190" t="s">
        <v>116</v>
      </c>
      <c r="D190" t="s">
        <v>419</v>
      </c>
      <c r="E190" t="s">
        <v>156</v>
      </c>
      <c r="F190" t="s">
        <v>733</v>
      </c>
      <c r="G190" t="str">
        <f>VLOOKUP(A:A,INVENTÁRIO_07_2025!A:A,1,0)</f>
        <v>SPRDAPIAMGRU05</v>
      </c>
    </row>
    <row r="191" spans="1:7" hidden="1">
      <c r="A191" t="s">
        <v>472</v>
      </c>
      <c r="B191" t="s">
        <v>61</v>
      </c>
      <c r="C191" t="s">
        <v>116</v>
      </c>
      <c r="D191" t="s">
        <v>419</v>
      </c>
      <c r="E191" t="s">
        <v>156</v>
      </c>
      <c r="F191" t="s">
        <v>733</v>
      </c>
      <c r="G191" t="str">
        <f>VLOOKUP(A:A,INVENTÁRIO_07_2025!A:A,1,0)</f>
        <v>SPRDAPIAMGRU06</v>
      </c>
    </row>
    <row r="192" spans="1:7" hidden="1">
      <c r="A192" t="s">
        <v>473</v>
      </c>
      <c r="B192" t="s">
        <v>61</v>
      </c>
      <c r="C192" t="s">
        <v>116</v>
      </c>
      <c r="D192" t="s">
        <v>419</v>
      </c>
      <c r="E192" t="s">
        <v>156</v>
      </c>
      <c r="F192" t="s">
        <v>733</v>
      </c>
      <c r="G192" t="str">
        <f>VLOOKUP(A:A,INVENTÁRIO_07_2025!A:A,1,0)</f>
        <v>SPRDAPIAMGRU07</v>
      </c>
    </row>
    <row r="193" spans="1:7" hidden="1">
      <c r="A193" t="s">
        <v>474</v>
      </c>
      <c r="B193" t="s">
        <v>61</v>
      </c>
      <c r="C193" t="s">
        <v>116</v>
      </c>
      <c r="D193" t="s">
        <v>419</v>
      </c>
      <c r="E193" t="s">
        <v>156</v>
      </c>
      <c r="F193" t="s">
        <v>733</v>
      </c>
      <c r="G193" t="str">
        <f>VLOOKUP(A:A,INVENTÁRIO_07_2025!A:A,1,0)</f>
        <v>SPRDAPIAMGRU08</v>
      </c>
    </row>
    <row r="194" spans="1:7" hidden="1">
      <c r="A194" t="s">
        <v>475</v>
      </c>
      <c r="B194" t="s">
        <v>61</v>
      </c>
      <c r="C194" t="s">
        <v>116</v>
      </c>
      <c r="D194" t="s">
        <v>419</v>
      </c>
      <c r="E194" t="s">
        <v>156</v>
      </c>
      <c r="F194" t="s">
        <v>733</v>
      </c>
      <c r="G194" t="str">
        <f>VLOOKUP(A:A,INVENTÁRIO_07_2025!A:A,1,0)</f>
        <v>SPRDAPIAMGRU09</v>
      </c>
    </row>
    <row r="195" spans="1:7" hidden="1">
      <c r="A195" t="s">
        <v>476</v>
      </c>
      <c r="B195" t="s">
        <v>61</v>
      </c>
      <c r="C195" t="s">
        <v>116</v>
      </c>
      <c r="D195" t="s">
        <v>419</v>
      </c>
      <c r="E195" t="s">
        <v>156</v>
      </c>
      <c r="F195" t="s">
        <v>733</v>
      </c>
      <c r="G195" t="str">
        <f>VLOOKUP(A:A,INVENTÁRIO_07_2025!A:A,1,0)</f>
        <v>SPRDAPIAMGRU10</v>
      </c>
    </row>
    <row r="196" spans="1:7" hidden="1">
      <c r="A196" t="s">
        <v>477</v>
      </c>
      <c r="B196" t="s">
        <v>61</v>
      </c>
      <c r="C196" t="s">
        <v>116</v>
      </c>
      <c r="D196" t="s">
        <v>419</v>
      </c>
      <c r="E196" t="s">
        <v>156</v>
      </c>
      <c r="F196" t="s">
        <v>733</v>
      </c>
      <c r="G196" t="str">
        <f>VLOOKUP(A:A,INVENTÁRIO_07_2025!A:A,1,0)</f>
        <v>SPRDAPIAMGRU11</v>
      </c>
    </row>
    <row r="197" spans="1:7" hidden="1">
      <c r="A197" t="s">
        <v>648</v>
      </c>
      <c r="B197" t="s">
        <v>61</v>
      </c>
      <c r="C197" t="s">
        <v>51</v>
      </c>
      <c r="D197" t="s">
        <v>111</v>
      </c>
      <c r="E197" t="s">
        <v>156</v>
      </c>
      <c r="F197" t="s">
        <v>327</v>
      </c>
      <c r="G197" t="str">
        <f>VLOOKUP(A:A,INVENTÁRIO_07_2025!A:A,1,0)</f>
        <v>SHOMAPPOSTGRU01</v>
      </c>
    </row>
    <row r="198" spans="1:7">
      <c r="A198" t="s">
        <v>292</v>
      </c>
      <c r="B198" t="s">
        <v>61</v>
      </c>
      <c r="C198" t="s">
        <v>51</v>
      </c>
      <c r="D198" t="s">
        <v>111</v>
      </c>
      <c r="E198" t="s">
        <v>156</v>
      </c>
      <c r="F198" t="s">
        <v>733</v>
      </c>
      <c r="G198" t="str">
        <f>VLOOKUP(A:A,INVENTÁRIO_07_2025!A:A,1,0)</f>
        <v>SPRDAPCCPRGRU01</v>
      </c>
    </row>
    <row r="199" spans="1:7">
      <c r="A199" t="s">
        <v>299</v>
      </c>
      <c r="B199" t="s">
        <v>61</v>
      </c>
      <c r="C199" t="s">
        <v>51</v>
      </c>
      <c r="D199" t="s">
        <v>295</v>
      </c>
      <c r="E199" t="s">
        <v>156</v>
      </c>
      <c r="F199" t="s">
        <v>733</v>
      </c>
      <c r="G199" t="str">
        <f>VLOOKUP(A:A,INVENTÁRIO_07_2025!A:A,1,0)</f>
        <v>SPRDAPIHSGRU03</v>
      </c>
    </row>
    <row r="200" spans="1:7" hidden="1">
      <c r="A200" t="s">
        <v>478</v>
      </c>
      <c r="B200" t="s">
        <v>61</v>
      </c>
      <c r="C200" t="s">
        <v>116</v>
      </c>
      <c r="D200" t="s">
        <v>419</v>
      </c>
      <c r="E200" t="s">
        <v>156</v>
      </c>
      <c r="F200" t="s">
        <v>327</v>
      </c>
      <c r="G200" t="str">
        <f>VLOOKUP(A:A,INVENTÁRIO_07_2025!A:A,1,0)</f>
        <v>SPRDAPIKNGRU01</v>
      </c>
    </row>
    <row r="201" spans="1:7" hidden="1">
      <c r="A201" t="s">
        <v>243</v>
      </c>
      <c r="B201" t="s">
        <v>61</v>
      </c>
      <c r="C201" t="s">
        <v>116</v>
      </c>
      <c r="D201" t="s">
        <v>141</v>
      </c>
      <c r="E201" t="s">
        <v>156</v>
      </c>
      <c r="F201" t="s">
        <v>733</v>
      </c>
      <c r="G201" t="str">
        <f>VLOOKUP(A:A,INVENTÁRIO_07_2025!A:A,1,0)</f>
        <v>SPRDAPILMTGRU02</v>
      </c>
    </row>
    <row r="202" spans="1:7" hidden="1">
      <c r="A202" t="s">
        <v>183</v>
      </c>
      <c r="B202" t="s">
        <v>61</v>
      </c>
      <c r="C202" t="s">
        <v>116</v>
      </c>
      <c r="D202" t="s">
        <v>126</v>
      </c>
      <c r="E202" t="s">
        <v>156</v>
      </c>
      <c r="F202" t="s">
        <v>733</v>
      </c>
      <c r="G202" t="str">
        <f>VLOOKUP(A:A,INVENTÁRIO_07_2025!A:A,1,0)</f>
        <v>SPRDAPIMCGRU01</v>
      </c>
    </row>
    <row r="203" spans="1:7" hidden="1">
      <c r="A203" t="s">
        <v>373</v>
      </c>
      <c r="B203" t="s">
        <v>61</v>
      </c>
      <c r="C203" t="s">
        <v>116</v>
      </c>
      <c r="D203" t="s">
        <v>117</v>
      </c>
      <c r="E203" t="s">
        <v>156</v>
      </c>
      <c r="F203" t="s">
        <v>327</v>
      </c>
      <c r="G203" t="str">
        <f>VLOOKUP(A:A,INVENTÁRIO_07_2025!A:A,1,0)</f>
        <v>SPRDAPIMGRU01</v>
      </c>
    </row>
    <row r="204" spans="1:7" hidden="1">
      <c r="A204" t="s">
        <v>374</v>
      </c>
      <c r="B204" t="s">
        <v>61</v>
      </c>
      <c r="C204" t="s">
        <v>116</v>
      </c>
      <c r="D204" t="s">
        <v>117</v>
      </c>
      <c r="E204" t="s">
        <v>156</v>
      </c>
      <c r="F204" t="s">
        <v>327</v>
      </c>
      <c r="G204" t="str">
        <f>VLOOKUP(A:A,INVENTÁRIO_07_2025!A:A,1,0)</f>
        <v>SPRDAPIMGRU02</v>
      </c>
    </row>
    <row r="205" spans="1:7">
      <c r="A205" t="s">
        <v>160</v>
      </c>
      <c r="B205" t="s">
        <v>61</v>
      </c>
      <c r="C205" t="s">
        <v>51</v>
      </c>
      <c r="D205" t="s">
        <v>161</v>
      </c>
      <c r="E205" t="s">
        <v>156</v>
      </c>
      <c r="F205" t="s">
        <v>733</v>
      </c>
      <c r="G205" t="str">
        <f>VLOOKUP(A:A,INVENTÁRIO_07_2025!A:A,1,0)</f>
        <v>SPRDAPINSGRU01</v>
      </c>
    </row>
    <row r="206" spans="1:7" hidden="1">
      <c r="A206" t="s">
        <v>375</v>
      </c>
      <c r="B206" t="s">
        <v>61</v>
      </c>
      <c r="C206" t="s">
        <v>116</v>
      </c>
      <c r="D206" t="s">
        <v>122</v>
      </c>
      <c r="E206" t="s">
        <v>156</v>
      </c>
      <c r="F206" t="s">
        <v>327</v>
      </c>
      <c r="G206" t="str">
        <f>VLOOKUP(A:A,INVENTÁRIO_07_2025!A:A,1,0)</f>
        <v>SPRDAPINTGRU01</v>
      </c>
    </row>
    <row r="207" spans="1:7" hidden="1">
      <c r="A207" t="s">
        <v>223</v>
      </c>
      <c r="B207" t="s">
        <v>61</v>
      </c>
      <c r="C207" t="s">
        <v>116</v>
      </c>
      <c r="D207" t="s">
        <v>425</v>
      </c>
      <c r="E207" t="s">
        <v>156</v>
      </c>
      <c r="F207" t="s">
        <v>733</v>
      </c>
      <c r="G207" t="str">
        <f>VLOOKUP(A:A,INVENTÁRIO_07_2025!A:A,1,0)</f>
        <v>SPRDAPINVGRU01</v>
      </c>
    </row>
    <row r="208" spans="1:7" hidden="1">
      <c r="A208" t="s">
        <v>224</v>
      </c>
      <c r="B208" t="s">
        <v>61</v>
      </c>
      <c r="C208" t="s">
        <v>116</v>
      </c>
      <c r="D208" t="s">
        <v>425</v>
      </c>
      <c r="E208" t="s">
        <v>156</v>
      </c>
      <c r="F208" t="s">
        <v>733</v>
      </c>
      <c r="G208" t="str">
        <f>VLOOKUP(A:A,INVENTÁRIO_07_2025!A:A,1,0)</f>
        <v>SPRDAPINVGRU02</v>
      </c>
    </row>
    <row r="209" spans="1:7" hidden="1">
      <c r="A209" t="s">
        <v>225</v>
      </c>
      <c r="B209" t="s">
        <v>61</v>
      </c>
      <c r="C209" t="s">
        <v>116</v>
      </c>
      <c r="D209" t="s">
        <v>425</v>
      </c>
      <c r="E209" t="s">
        <v>156</v>
      </c>
      <c r="F209" t="s">
        <v>733</v>
      </c>
      <c r="G209" t="str">
        <f>VLOOKUP(A:A,INVENTÁRIO_07_2025!A:A,1,0)</f>
        <v>SPRDAPINVGRU03</v>
      </c>
    </row>
    <row r="210" spans="1:7" hidden="1">
      <c r="A210" t="s">
        <v>226</v>
      </c>
      <c r="B210" t="s">
        <v>61</v>
      </c>
      <c r="C210" t="s">
        <v>116</v>
      </c>
      <c r="D210" t="s">
        <v>425</v>
      </c>
      <c r="E210" t="s">
        <v>156</v>
      </c>
      <c r="F210" t="s">
        <v>733</v>
      </c>
      <c r="G210" t="str">
        <f>VLOOKUP(A:A,INVENTÁRIO_07_2025!A:A,1,0)</f>
        <v>SPRDAPINVGRU04</v>
      </c>
    </row>
    <row r="211" spans="1:7" hidden="1">
      <c r="A211" t="s">
        <v>227</v>
      </c>
      <c r="B211" t="s">
        <v>61</v>
      </c>
      <c r="C211" t="s">
        <v>116</v>
      </c>
      <c r="D211" t="s">
        <v>425</v>
      </c>
      <c r="E211" t="s">
        <v>156</v>
      </c>
      <c r="F211" t="s">
        <v>733</v>
      </c>
      <c r="G211" t="str">
        <f>VLOOKUP(A:A,INVENTÁRIO_07_2025!A:A,1,0)</f>
        <v>SPRDAPINVGRU07</v>
      </c>
    </row>
    <row r="212" spans="1:7" hidden="1">
      <c r="A212" t="s">
        <v>479</v>
      </c>
      <c r="B212" t="s">
        <v>61</v>
      </c>
      <c r="C212" t="s">
        <v>116</v>
      </c>
      <c r="D212" t="s">
        <v>136</v>
      </c>
      <c r="E212" t="s">
        <v>156</v>
      </c>
      <c r="F212" t="s">
        <v>733</v>
      </c>
      <c r="G212" t="str">
        <f>VLOOKUP(A:A,INVENTÁRIO_07_2025!A:A,1,0)</f>
        <v>SPRDAPINVGRU09</v>
      </c>
    </row>
    <row r="213" spans="1:7">
      <c r="A213" t="s">
        <v>716</v>
      </c>
      <c r="B213" t="s">
        <v>61</v>
      </c>
      <c r="C213" t="s">
        <v>51</v>
      </c>
      <c r="D213" t="s">
        <v>295</v>
      </c>
      <c r="E213" t="s">
        <v>156</v>
      </c>
      <c r="F213" t="s">
        <v>733</v>
      </c>
      <c r="G213" t="e">
        <f>VLOOKUP(A:A,INVENTÁRIO_07_2025!A:A,1,0)</f>
        <v>#N/A</v>
      </c>
    </row>
    <row r="214" spans="1:7">
      <c r="A214" t="s">
        <v>717</v>
      </c>
      <c r="B214" t="s">
        <v>61</v>
      </c>
      <c r="C214" t="s">
        <v>51</v>
      </c>
      <c r="D214" t="s">
        <v>735</v>
      </c>
      <c r="E214" t="s">
        <v>156</v>
      </c>
      <c r="F214" t="s">
        <v>733</v>
      </c>
      <c r="G214" t="e">
        <f>VLOOKUP(A:A,INVENTÁRIO_07_2025!A:A,1,0)</f>
        <v>#N/A</v>
      </c>
    </row>
    <row r="215" spans="1:7" hidden="1">
      <c r="A215" t="s">
        <v>244</v>
      </c>
      <c r="B215" t="s">
        <v>61</v>
      </c>
      <c r="C215" t="s">
        <v>116</v>
      </c>
      <c r="D215" t="s">
        <v>242</v>
      </c>
      <c r="E215" t="s">
        <v>156</v>
      </c>
      <c r="F215" t="s">
        <v>733</v>
      </c>
      <c r="G215" t="str">
        <f>VLOOKUP(A:A,INVENTÁRIO_07_2025!A:A,1,0)</f>
        <v>SPRDAPJPGRU02</v>
      </c>
    </row>
    <row r="216" spans="1:7" hidden="1">
      <c r="A216" t="s">
        <v>253</v>
      </c>
      <c r="B216" t="s">
        <v>61</v>
      </c>
      <c r="C216" t="s">
        <v>116</v>
      </c>
      <c r="D216" t="s">
        <v>141</v>
      </c>
      <c r="E216" t="s">
        <v>156</v>
      </c>
      <c r="F216" t="s">
        <v>733</v>
      </c>
      <c r="G216" t="str">
        <f>VLOOKUP(A:A,INVENTÁRIO_07_2025!A:A,1,0)</f>
        <v>SPRDAPJPGRU03</v>
      </c>
    </row>
    <row r="217" spans="1:7" hidden="1">
      <c r="A217" t="s">
        <v>254</v>
      </c>
      <c r="B217" t="s">
        <v>61</v>
      </c>
      <c r="C217" t="s">
        <v>116</v>
      </c>
      <c r="D217" t="s">
        <v>141</v>
      </c>
      <c r="E217" t="s">
        <v>156</v>
      </c>
      <c r="F217" t="s">
        <v>733</v>
      </c>
      <c r="G217" t="str">
        <f>VLOOKUP(A:A,INVENTÁRIO_07_2025!A:A,1,0)</f>
        <v>SPRDAPJPGRU04</v>
      </c>
    </row>
    <row r="218" spans="1:7" hidden="1">
      <c r="A218" t="s">
        <v>255</v>
      </c>
      <c r="B218" t="s">
        <v>61</v>
      </c>
      <c r="C218" t="s">
        <v>116</v>
      </c>
      <c r="D218" t="s">
        <v>141</v>
      </c>
      <c r="E218" t="s">
        <v>156</v>
      </c>
      <c r="F218" t="s">
        <v>733</v>
      </c>
      <c r="G218" t="str">
        <f>VLOOKUP(A:A,INVENTÁRIO_07_2025!A:A,1,0)</f>
        <v>SPRDAPJPGRU05</v>
      </c>
    </row>
    <row r="219" spans="1:7" hidden="1">
      <c r="A219" t="s">
        <v>245</v>
      </c>
      <c r="B219" t="s">
        <v>50</v>
      </c>
      <c r="C219" t="s">
        <v>116</v>
      </c>
      <c r="D219" t="s">
        <v>242</v>
      </c>
      <c r="E219" t="s">
        <v>156</v>
      </c>
      <c r="F219" t="s">
        <v>733</v>
      </c>
      <c r="G219" t="str">
        <f>VLOOKUP(A:A,INVENTÁRIO_07_2025!A:A,1,0)</f>
        <v>SPRDAPJPGRUXX</v>
      </c>
    </row>
    <row r="220" spans="1:7" hidden="1">
      <c r="A220" t="s">
        <v>228</v>
      </c>
      <c r="B220" t="s">
        <v>61</v>
      </c>
      <c r="C220" t="s">
        <v>116</v>
      </c>
      <c r="D220" t="s">
        <v>425</v>
      </c>
      <c r="E220" t="s">
        <v>156</v>
      </c>
      <c r="F220" t="s">
        <v>733</v>
      </c>
      <c r="G220" t="str">
        <f>VLOOKUP(A:A,INVENTÁRIO_07_2025!A:A,1,0)</f>
        <v>SPRDAPLGGRU01</v>
      </c>
    </row>
    <row r="221" spans="1:7" hidden="1">
      <c r="A221" t="s">
        <v>480</v>
      </c>
      <c r="B221" t="s">
        <v>61</v>
      </c>
      <c r="C221" t="s">
        <v>116</v>
      </c>
      <c r="D221" t="s">
        <v>425</v>
      </c>
      <c r="E221" t="s">
        <v>156</v>
      </c>
      <c r="F221" t="s">
        <v>327</v>
      </c>
      <c r="G221" t="str">
        <f>VLOOKUP(A:A,INVENTÁRIO_07_2025!A:A,1,0)</f>
        <v>SPRDAPLGGRU02</v>
      </c>
    </row>
    <row r="222" spans="1:7" hidden="1">
      <c r="A222" t="s">
        <v>229</v>
      </c>
      <c r="B222" t="s">
        <v>61</v>
      </c>
      <c r="C222" t="s">
        <v>116</v>
      </c>
      <c r="D222" t="s">
        <v>136</v>
      </c>
      <c r="E222" t="s">
        <v>156</v>
      </c>
      <c r="F222" t="s">
        <v>733</v>
      </c>
      <c r="G222" t="str">
        <f>VLOOKUP(A:A,INVENTÁRIO_07_2025!A:A,1,0)</f>
        <v>SPRDAPLGGRU03</v>
      </c>
    </row>
    <row r="223" spans="1:7" hidden="1">
      <c r="A223" t="s">
        <v>481</v>
      </c>
      <c r="B223" t="s">
        <v>61</v>
      </c>
      <c r="C223" t="s">
        <v>116</v>
      </c>
      <c r="D223" t="s">
        <v>425</v>
      </c>
      <c r="E223" t="s">
        <v>156</v>
      </c>
      <c r="F223" t="s">
        <v>327</v>
      </c>
      <c r="G223" t="str">
        <f>VLOOKUP(A:A,INVENTÁRIO_07_2025!A:A,1,0)</f>
        <v>SPRDAPLGGRU04</v>
      </c>
    </row>
    <row r="224" spans="1:7">
      <c r="A224" t="s">
        <v>293</v>
      </c>
      <c r="B224" t="s">
        <v>61</v>
      </c>
      <c r="C224" t="s">
        <v>51</v>
      </c>
      <c r="D224" t="s">
        <v>111</v>
      </c>
      <c r="E224" t="s">
        <v>156</v>
      </c>
      <c r="F224" t="s">
        <v>733</v>
      </c>
      <c r="G224" t="str">
        <f>VLOOKUP(A:A,INVENTÁRIO_07_2025!A:A,1,0)</f>
        <v>SPRDAPCCPRGRU02</v>
      </c>
    </row>
    <row r="225" spans="1:7" hidden="1">
      <c r="A225" t="s">
        <v>482</v>
      </c>
      <c r="B225" t="s">
        <v>50</v>
      </c>
      <c r="C225" t="s">
        <v>116</v>
      </c>
      <c r="D225" t="s">
        <v>141</v>
      </c>
      <c r="E225" t="s">
        <v>156</v>
      </c>
      <c r="F225" t="s">
        <v>327</v>
      </c>
      <c r="G225" t="str">
        <f>VLOOKUP(A:A,INVENTÁRIO_07_2025!A:A,1,0)</f>
        <v>SPRDAPMDSGRU01</v>
      </c>
    </row>
    <row r="226" spans="1:7" hidden="1">
      <c r="A226" t="s">
        <v>482</v>
      </c>
      <c r="B226" t="s">
        <v>61</v>
      </c>
      <c r="C226" t="s">
        <v>116</v>
      </c>
      <c r="D226" t="s">
        <v>141</v>
      </c>
      <c r="E226" t="s">
        <v>156</v>
      </c>
      <c r="F226" t="s">
        <v>733</v>
      </c>
      <c r="G226" t="str">
        <f>VLOOKUP(A:A,INVENTÁRIO_07_2025!A:A,1,0)</f>
        <v>SPRDAPMDSGRU01</v>
      </c>
    </row>
    <row r="227" spans="1:7" hidden="1">
      <c r="A227" t="s">
        <v>431</v>
      </c>
      <c r="B227" t="s">
        <v>50</v>
      </c>
      <c r="C227" t="s">
        <v>116</v>
      </c>
      <c r="D227" t="s">
        <v>136</v>
      </c>
      <c r="E227" t="s">
        <v>156</v>
      </c>
      <c r="F227" t="s">
        <v>327</v>
      </c>
      <c r="G227" t="str">
        <f>VLOOKUP(A:A,INVENTÁRIO_07_2025!A:A,1,0)</f>
        <v>SPRDAPMELGRU01</v>
      </c>
    </row>
    <row r="228" spans="1:7" hidden="1">
      <c r="A228" t="s">
        <v>431</v>
      </c>
      <c r="B228" t="s">
        <v>61</v>
      </c>
      <c r="C228" t="s">
        <v>116</v>
      </c>
      <c r="D228" t="s">
        <v>136</v>
      </c>
      <c r="E228" t="s">
        <v>156</v>
      </c>
      <c r="F228" t="s">
        <v>733</v>
      </c>
      <c r="G228" t="str">
        <f>VLOOKUP(A:A,INVENTÁRIO_07_2025!A:A,1,0)</f>
        <v>SPRDAPMELGRU01</v>
      </c>
    </row>
    <row r="229" spans="1:7" hidden="1">
      <c r="A229" t="s">
        <v>376</v>
      </c>
      <c r="B229" t="s">
        <v>61</v>
      </c>
      <c r="C229" t="s">
        <v>116</v>
      </c>
      <c r="D229" t="s">
        <v>117</v>
      </c>
      <c r="E229" t="s">
        <v>156</v>
      </c>
      <c r="F229" t="s">
        <v>327</v>
      </c>
      <c r="G229" t="str">
        <f>VLOOKUP(A:A,INVENTÁRIO_07_2025!A:A,1,0)</f>
        <v>SPRDAPMETGRU01</v>
      </c>
    </row>
    <row r="230" spans="1:7" hidden="1">
      <c r="A230" t="s">
        <v>377</v>
      </c>
      <c r="B230" t="s">
        <v>61</v>
      </c>
      <c r="C230" t="s">
        <v>116</v>
      </c>
      <c r="D230" t="s">
        <v>117</v>
      </c>
      <c r="E230" t="s">
        <v>156</v>
      </c>
      <c r="F230" t="s">
        <v>327</v>
      </c>
      <c r="G230" t="str">
        <f>VLOOKUP(A:A,INVENTÁRIO_07_2025!A:A,1,0)</f>
        <v>SPRDAPMETGRU02</v>
      </c>
    </row>
    <row r="231" spans="1:7" hidden="1">
      <c r="A231" t="s">
        <v>378</v>
      </c>
      <c r="B231" t="s">
        <v>61</v>
      </c>
      <c r="C231" t="s">
        <v>116</v>
      </c>
      <c r="D231" t="s">
        <v>117</v>
      </c>
      <c r="E231" t="s">
        <v>156</v>
      </c>
      <c r="F231" t="s">
        <v>327</v>
      </c>
      <c r="G231" t="str">
        <f>VLOOKUP(A:A,INVENTÁRIO_07_2025!A:A,1,0)</f>
        <v>SPRDAPMETGRU03</v>
      </c>
    </row>
    <row r="232" spans="1:7" hidden="1">
      <c r="A232" t="s">
        <v>379</v>
      </c>
      <c r="B232" t="s">
        <v>61</v>
      </c>
      <c r="C232" t="s">
        <v>116</v>
      </c>
      <c r="D232" t="s">
        <v>117</v>
      </c>
      <c r="E232" t="s">
        <v>156</v>
      </c>
      <c r="F232" t="s">
        <v>327</v>
      </c>
      <c r="G232" t="str">
        <f>VLOOKUP(A:A,INVENTÁRIO_07_2025!A:A,1,0)</f>
        <v>SPRDAPMETGRU04</v>
      </c>
    </row>
    <row r="233" spans="1:7">
      <c r="A233" t="s">
        <v>690</v>
      </c>
      <c r="B233" t="s">
        <v>61</v>
      </c>
      <c r="C233" t="s">
        <v>51</v>
      </c>
      <c r="D233" t="s">
        <v>697</v>
      </c>
      <c r="E233" t="s">
        <v>156</v>
      </c>
      <c r="F233" t="s">
        <v>733</v>
      </c>
      <c r="G233" t="str">
        <f>VLOOKUP(A:A,INVENTÁRIO_07_2025!A:A,1,0)</f>
        <v>SPRDAPMISP01</v>
      </c>
    </row>
    <row r="234" spans="1:7" hidden="1">
      <c r="A234" t="s">
        <v>483</v>
      </c>
      <c r="B234" t="s">
        <v>61</v>
      </c>
      <c r="C234" t="s">
        <v>116</v>
      </c>
      <c r="D234" t="s">
        <v>242</v>
      </c>
      <c r="E234" t="s">
        <v>156</v>
      </c>
      <c r="F234" t="s">
        <v>327</v>
      </c>
      <c r="G234" t="str">
        <f>VLOOKUP(A:A,INVENTÁRIO_07_2025!A:A,1,0)</f>
        <v>SPRDAPMMETRAGRU01</v>
      </c>
    </row>
    <row r="235" spans="1:7" hidden="1">
      <c r="A235" t="s">
        <v>718</v>
      </c>
      <c r="B235" t="s">
        <v>61</v>
      </c>
      <c r="C235" t="s">
        <v>116</v>
      </c>
      <c r="D235" t="s">
        <v>734</v>
      </c>
      <c r="E235" t="s">
        <v>156</v>
      </c>
      <c r="F235" t="s">
        <v>733</v>
      </c>
      <c r="G235" t="e">
        <f>VLOOKUP(A:A,INVENTÁRIO_07_2025!A:A,1,0)</f>
        <v>#N/A</v>
      </c>
    </row>
    <row r="236" spans="1:7" hidden="1">
      <c r="A236" t="s">
        <v>380</v>
      </c>
      <c r="B236" t="s">
        <v>61</v>
      </c>
      <c r="C236" t="s">
        <v>116</v>
      </c>
      <c r="D236" t="s">
        <v>117</v>
      </c>
      <c r="E236" t="s">
        <v>156</v>
      </c>
      <c r="F236" t="s">
        <v>327</v>
      </c>
      <c r="G236" t="str">
        <f>VLOOKUP(A:A,INVENTÁRIO_07_2025!A:A,1,0)</f>
        <v>SPRDAPMNTGRU02</v>
      </c>
    </row>
    <row r="237" spans="1:7" hidden="1">
      <c r="A237" t="s">
        <v>381</v>
      </c>
      <c r="B237" t="s">
        <v>61</v>
      </c>
      <c r="C237" t="s">
        <v>116</v>
      </c>
      <c r="D237" t="s">
        <v>122</v>
      </c>
      <c r="E237" t="s">
        <v>156</v>
      </c>
      <c r="F237" t="s">
        <v>327</v>
      </c>
      <c r="G237" t="str">
        <f>VLOOKUP(A:A,INVENTÁRIO_07_2025!A:A,1,0)</f>
        <v>SPRDAPMONGRU02</v>
      </c>
    </row>
    <row r="238" spans="1:7" hidden="1">
      <c r="A238" t="s">
        <v>432</v>
      </c>
      <c r="B238" t="s">
        <v>61</v>
      </c>
      <c r="C238" t="s">
        <v>116</v>
      </c>
      <c r="D238" t="s">
        <v>126</v>
      </c>
      <c r="E238" t="s">
        <v>156</v>
      </c>
      <c r="F238" t="s">
        <v>327</v>
      </c>
      <c r="G238" t="str">
        <f>VLOOKUP(A:A,INVENTÁRIO_07_2025!A:A,1,0)</f>
        <v>SPRDAPMPBXGRU01</v>
      </c>
    </row>
    <row r="239" spans="1:7" hidden="1">
      <c r="A239" t="s">
        <v>484</v>
      </c>
      <c r="B239" t="s">
        <v>61</v>
      </c>
      <c r="C239" t="s">
        <v>116</v>
      </c>
      <c r="D239" t="s">
        <v>425</v>
      </c>
      <c r="E239" t="s">
        <v>156</v>
      </c>
      <c r="F239" t="s">
        <v>327</v>
      </c>
      <c r="G239" t="str">
        <f>VLOOKUP(A:A,INVENTÁRIO_07_2025!A:A,1,0)</f>
        <v>SPRDAPMPMGRU01</v>
      </c>
    </row>
    <row r="240" spans="1:7" hidden="1">
      <c r="A240" t="s">
        <v>115</v>
      </c>
      <c r="B240" t="s">
        <v>50</v>
      </c>
      <c r="C240" t="s">
        <v>116</v>
      </c>
      <c r="D240" t="s">
        <v>117</v>
      </c>
      <c r="E240" t="s">
        <v>53</v>
      </c>
      <c r="F240" t="s">
        <v>56</v>
      </c>
      <c r="G240" t="str">
        <f>VLOOKUP(A:A,INVENTÁRIO_07_2025!A:A,1,0)</f>
        <v>SPRDAPMSGRU01</v>
      </c>
    </row>
    <row r="241" spans="1:7" hidden="1">
      <c r="A241" t="s">
        <v>118</v>
      </c>
      <c r="B241" t="s">
        <v>50</v>
      </c>
      <c r="C241" t="s">
        <v>116</v>
      </c>
      <c r="D241" t="s">
        <v>117</v>
      </c>
      <c r="E241" t="s">
        <v>53</v>
      </c>
      <c r="F241" t="s">
        <v>58</v>
      </c>
      <c r="G241" t="str">
        <f>VLOOKUP(A:A,INVENTÁRIO_07_2025!A:A,1,0)</f>
        <v>SPRDAPMSGRU02</v>
      </c>
    </row>
    <row r="242" spans="1:7">
      <c r="A242" t="s">
        <v>719</v>
      </c>
      <c r="B242" t="s">
        <v>61</v>
      </c>
      <c r="C242" t="s">
        <v>51</v>
      </c>
      <c r="D242" t="s">
        <v>295</v>
      </c>
      <c r="E242" t="s">
        <v>156</v>
      </c>
      <c r="F242" t="s">
        <v>733</v>
      </c>
      <c r="G242" t="e">
        <f>VLOOKUP(A:A,INVENTÁRIO_07_2025!A:A,1,0)</f>
        <v>#N/A</v>
      </c>
    </row>
    <row r="243" spans="1:7" hidden="1">
      <c r="A243" t="s">
        <v>168</v>
      </c>
      <c r="B243" t="s">
        <v>61</v>
      </c>
      <c r="C243" t="s">
        <v>116</v>
      </c>
      <c r="D243" t="s">
        <v>117</v>
      </c>
      <c r="E243" t="s">
        <v>156</v>
      </c>
      <c r="F243" t="s">
        <v>733</v>
      </c>
      <c r="G243" t="str">
        <f>VLOOKUP(A:A,INVENTÁRIO_07_2025!A:A,1,0)</f>
        <v>SPRDAPNAPGRU01</v>
      </c>
    </row>
    <row r="244" spans="1:7">
      <c r="A244" t="s">
        <v>289</v>
      </c>
      <c r="B244" t="s">
        <v>61</v>
      </c>
      <c r="C244" t="s">
        <v>51</v>
      </c>
      <c r="D244" t="s">
        <v>85</v>
      </c>
      <c r="E244" t="s">
        <v>156</v>
      </c>
      <c r="F244" t="s">
        <v>733</v>
      </c>
      <c r="G244" t="str">
        <f>VLOOKUP(A:A,INVENTÁRIO_07_2025!A:A,1,0)</f>
        <v>SPRDAPNBKGRU01</v>
      </c>
    </row>
    <row r="245" spans="1:7">
      <c r="A245" t="s">
        <v>300</v>
      </c>
      <c r="B245" t="s">
        <v>61</v>
      </c>
      <c r="C245" t="s">
        <v>51</v>
      </c>
      <c r="D245" t="s">
        <v>295</v>
      </c>
      <c r="E245" t="s">
        <v>156</v>
      </c>
      <c r="F245" t="s">
        <v>733</v>
      </c>
      <c r="G245" t="str">
        <f>VLOOKUP(A:A,INVENTÁRIO_07_2025!A:A,1,0)</f>
        <v>SPRDAPNFSGRU01</v>
      </c>
    </row>
    <row r="246" spans="1:7" hidden="1">
      <c r="A246" t="s">
        <v>272</v>
      </c>
      <c r="B246" t="s">
        <v>61</v>
      </c>
      <c r="C246" t="s">
        <v>51</v>
      </c>
      <c r="D246" t="s">
        <v>273</v>
      </c>
      <c r="E246" t="s">
        <v>156</v>
      </c>
      <c r="F246" t="s">
        <v>733</v>
      </c>
      <c r="G246" t="str">
        <f>VLOOKUP(A:A,INVENTÁRIO_07_2025!A:A,1,0)</f>
        <v>SPRDAPNLBGRU01</v>
      </c>
    </row>
    <row r="247" spans="1:7" hidden="1">
      <c r="A247" t="s">
        <v>274</v>
      </c>
      <c r="B247" t="s">
        <v>61</v>
      </c>
      <c r="C247" t="s">
        <v>51</v>
      </c>
      <c r="D247" t="s">
        <v>273</v>
      </c>
      <c r="E247" t="s">
        <v>156</v>
      </c>
      <c r="F247" t="s">
        <v>733</v>
      </c>
      <c r="G247" t="str">
        <f>VLOOKUP(A:A,INVENTÁRIO_07_2025!A:A,1,0)</f>
        <v>SPRDAPNLBGRU02</v>
      </c>
    </row>
    <row r="248" spans="1:7" hidden="1">
      <c r="A248" t="s">
        <v>110</v>
      </c>
      <c r="B248" t="s">
        <v>50</v>
      </c>
      <c r="C248" t="s">
        <v>51</v>
      </c>
      <c r="D248" t="s">
        <v>111</v>
      </c>
      <c r="E248" t="s">
        <v>53</v>
      </c>
      <c r="F248" t="s">
        <v>67</v>
      </c>
      <c r="G248" t="str">
        <f>VLOOKUP(A:A,INVENTÁRIO_07_2025!A:A,1,0)</f>
        <v>SPRDAPCMSGRU06</v>
      </c>
    </row>
    <row r="249" spans="1:7" hidden="1">
      <c r="A249" t="s">
        <v>433</v>
      </c>
      <c r="B249" t="s">
        <v>61</v>
      </c>
      <c r="C249" t="s">
        <v>116</v>
      </c>
      <c r="D249" t="s">
        <v>174</v>
      </c>
      <c r="E249" t="s">
        <v>156</v>
      </c>
      <c r="F249" t="s">
        <v>327</v>
      </c>
      <c r="G249" t="str">
        <f>VLOOKUP(A:A,INVENTÁRIO_07_2025!A:A,1,0)</f>
        <v>SPRDAPNTPWGRU01</v>
      </c>
    </row>
    <row r="250" spans="1:7">
      <c r="A250" t="s">
        <v>112</v>
      </c>
      <c r="B250" t="s">
        <v>61</v>
      </c>
      <c r="C250" t="s">
        <v>51</v>
      </c>
      <c r="D250" t="s">
        <v>111</v>
      </c>
      <c r="E250" t="s">
        <v>53</v>
      </c>
      <c r="F250" t="s">
        <v>58</v>
      </c>
      <c r="G250" t="str">
        <f>VLOOKUP(A:A,INVENTÁRIO_07_2025!A:A,1,0)</f>
        <v>SPRDAPCMSGRU08</v>
      </c>
    </row>
    <row r="251" spans="1:7">
      <c r="A251" t="s">
        <v>335</v>
      </c>
      <c r="B251" t="s">
        <v>61</v>
      </c>
      <c r="C251" t="s">
        <v>51</v>
      </c>
      <c r="D251" t="s">
        <v>158</v>
      </c>
      <c r="E251" t="s">
        <v>156</v>
      </c>
      <c r="F251" t="s">
        <v>733</v>
      </c>
      <c r="G251" t="str">
        <f>VLOOKUP(A:A,INVENTÁRIO_07_2025!A:A,1,0)</f>
        <v>SPRDAPOCSGRU01</v>
      </c>
    </row>
    <row r="252" spans="1:7" hidden="1">
      <c r="A252" t="s">
        <v>434</v>
      </c>
      <c r="B252" t="s">
        <v>61</v>
      </c>
      <c r="C252" t="s">
        <v>116</v>
      </c>
      <c r="D252" t="s">
        <v>126</v>
      </c>
      <c r="E252" t="s">
        <v>156</v>
      </c>
      <c r="F252" t="s">
        <v>733</v>
      </c>
      <c r="G252" t="str">
        <f>VLOOKUP(A:A,INVENTÁRIO_07_2025!A:A,1,0)</f>
        <v>SPRDAPOMEGRU01</v>
      </c>
    </row>
    <row r="253" spans="1:7" hidden="1">
      <c r="A253" t="s">
        <v>435</v>
      </c>
      <c r="B253" t="s">
        <v>61</v>
      </c>
      <c r="C253" t="s">
        <v>116</v>
      </c>
      <c r="D253" t="s">
        <v>126</v>
      </c>
      <c r="E253" t="s">
        <v>156</v>
      </c>
      <c r="F253" t="s">
        <v>327</v>
      </c>
      <c r="G253" t="str">
        <f>VLOOKUP(A:A,INVENTÁRIO_07_2025!A:A,1,0)</f>
        <v>SPRDAPOMPCGRU01</v>
      </c>
    </row>
    <row r="254" spans="1:7" hidden="1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VLOOKUP(A:A,INVENTÁRIO_07_2025!A:A,1,0)</f>
        <v>SPRDAPOPCGRUB</v>
      </c>
    </row>
    <row r="255" spans="1:7" hidden="1">
      <c r="A255" t="s">
        <v>384</v>
      </c>
      <c r="B255" t="s">
        <v>61</v>
      </c>
      <c r="C255" t="s">
        <v>116</v>
      </c>
      <c r="D255" t="s">
        <v>122</v>
      </c>
      <c r="E255" t="s">
        <v>156</v>
      </c>
      <c r="F255" t="s">
        <v>327</v>
      </c>
      <c r="G255" t="str">
        <f>VLOOKUP(A:A,INVENTÁRIO_07_2025!A:A,1,0)</f>
        <v>SPRDAPPASGRU01</v>
      </c>
    </row>
    <row r="256" spans="1:7" hidden="1">
      <c r="A256" t="s">
        <v>436</v>
      </c>
      <c r="B256" t="s">
        <v>61</v>
      </c>
      <c r="C256" t="s">
        <v>116</v>
      </c>
      <c r="D256" t="s">
        <v>126</v>
      </c>
      <c r="E256" t="s">
        <v>156</v>
      </c>
      <c r="F256" t="s">
        <v>327</v>
      </c>
      <c r="G256" t="str">
        <f>VLOOKUP(A:A,INVENTÁRIO_07_2025!A:A,1,0)</f>
        <v>SPRDAPPAVGRU01</v>
      </c>
    </row>
    <row r="257" spans="1:7" hidden="1">
      <c r="A257" t="s">
        <v>256</v>
      </c>
      <c r="B257" t="s">
        <v>61</v>
      </c>
      <c r="C257" t="s">
        <v>116</v>
      </c>
      <c r="D257" t="s">
        <v>141</v>
      </c>
      <c r="E257" t="s">
        <v>156</v>
      </c>
      <c r="F257" t="s">
        <v>733</v>
      </c>
      <c r="G257" t="str">
        <f>VLOOKUP(A:A,INVENTÁRIO_07_2025!A:A,1,0)</f>
        <v>SPRDAPPEAGRU01</v>
      </c>
    </row>
    <row r="258" spans="1:7">
      <c r="A258" t="s">
        <v>98</v>
      </c>
      <c r="B258" t="s">
        <v>61</v>
      </c>
      <c r="C258" t="s">
        <v>51</v>
      </c>
      <c r="D258" t="s">
        <v>85</v>
      </c>
      <c r="E258" t="s">
        <v>53</v>
      </c>
      <c r="F258" t="s">
        <v>56</v>
      </c>
      <c r="G258" t="str">
        <f>VLOOKUP(A:A,INVENTÁRIO_07_2025!A:A,1,0)</f>
        <v>SPRDAPPIGRU01</v>
      </c>
    </row>
    <row r="259" spans="1:7">
      <c r="A259" t="s">
        <v>105</v>
      </c>
      <c r="B259" t="s">
        <v>61</v>
      </c>
      <c r="C259" t="s">
        <v>51</v>
      </c>
      <c r="D259" t="s">
        <v>85</v>
      </c>
      <c r="E259" t="s">
        <v>53</v>
      </c>
      <c r="F259" t="s">
        <v>58</v>
      </c>
      <c r="G259" t="str">
        <f>VLOOKUP(A:A,INVENTÁRIO_07_2025!A:A,1,0)</f>
        <v>SPRDAPPIGRU02</v>
      </c>
    </row>
    <row r="260" spans="1:7">
      <c r="A260" t="s">
        <v>303</v>
      </c>
      <c r="B260" t="s">
        <v>61</v>
      </c>
      <c r="C260" t="s">
        <v>51</v>
      </c>
      <c r="D260" t="s">
        <v>111</v>
      </c>
      <c r="E260" t="s">
        <v>156</v>
      </c>
      <c r="F260" t="s">
        <v>733</v>
      </c>
      <c r="G260" t="str">
        <f>VLOOKUP(A:A,INVENTÁRIO_07_2025!A:A,1,0)</f>
        <v>SPRDAPNMCGRU01</v>
      </c>
    </row>
    <row r="261" spans="1:7">
      <c r="A261" t="s">
        <v>541</v>
      </c>
      <c r="B261" t="s">
        <v>61</v>
      </c>
      <c r="C261" t="s">
        <v>51</v>
      </c>
      <c r="D261" t="s">
        <v>114</v>
      </c>
      <c r="E261" t="s">
        <v>156</v>
      </c>
      <c r="F261" t="s">
        <v>327</v>
      </c>
      <c r="G261" t="str">
        <f>VLOOKUP(A:A,INVENTÁRIO_07_2025!A:A,1,0)</f>
        <v>SPRDAPPRMGRU01</v>
      </c>
    </row>
    <row r="262" spans="1:7" hidden="1">
      <c r="A262" t="s">
        <v>485</v>
      </c>
      <c r="B262" t="s">
        <v>61</v>
      </c>
      <c r="C262" t="s">
        <v>116</v>
      </c>
      <c r="D262" t="s">
        <v>419</v>
      </c>
      <c r="E262" t="s">
        <v>156</v>
      </c>
      <c r="F262" t="s">
        <v>327</v>
      </c>
      <c r="G262" t="str">
        <f>VLOOKUP(A:A,INVENTÁRIO_07_2025!A:A,1,0)</f>
        <v>SPRDAPPSGRU03</v>
      </c>
    </row>
    <row r="263" spans="1:7" hidden="1">
      <c r="A263" t="s">
        <v>169</v>
      </c>
      <c r="B263" t="s">
        <v>61</v>
      </c>
      <c r="C263" t="s">
        <v>116</v>
      </c>
      <c r="D263" t="s">
        <v>117</v>
      </c>
      <c r="E263" t="s">
        <v>156</v>
      </c>
      <c r="F263" t="s">
        <v>733</v>
      </c>
      <c r="G263" t="str">
        <f>VLOOKUP(A:A,INVENTÁRIO_07_2025!A:A,1,0)</f>
        <v>SPRDAPPTCAGRU01</v>
      </c>
    </row>
    <row r="264" spans="1:7" hidden="1">
      <c r="A264" t="s">
        <v>170</v>
      </c>
      <c r="B264" t="s">
        <v>61</v>
      </c>
      <c r="C264" t="s">
        <v>116</v>
      </c>
      <c r="D264" t="s">
        <v>163</v>
      </c>
      <c r="E264" t="s">
        <v>156</v>
      </c>
      <c r="F264" t="s">
        <v>733</v>
      </c>
      <c r="G264" t="str">
        <f>VLOOKUP(A:A,INVENTÁRIO_07_2025!A:A,1,0)</f>
        <v>SPRDAPPVGRU02</v>
      </c>
    </row>
    <row r="265" spans="1:7" hidden="1">
      <c r="A265" t="s">
        <v>486</v>
      </c>
      <c r="B265" t="s">
        <v>61</v>
      </c>
      <c r="C265" t="s">
        <v>116</v>
      </c>
      <c r="D265" t="s">
        <v>136</v>
      </c>
      <c r="E265" t="s">
        <v>156</v>
      </c>
      <c r="F265" t="s">
        <v>327</v>
      </c>
      <c r="G265" t="str">
        <f>VLOOKUP(A:A,INVENTÁRIO_07_2025!A:A,1,0)</f>
        <v>SPRDAPPVGRU03</v>
      </c>
    </row>
    <row r="266" spans="1:7" hidden="1">
      <c r="A266" t="s">
        <v>386</v>
      </c>
      <c r="B266" t="s">
        <v>61</v>
      </c>
      <c r="C266" t="s">
        <v>116</v>
      </c>
      <c r="D266" t="s">
        <v>163</v>
      </c>
      <c r="E266" t="s">
        <v>156</v>
      </c>
      <c r="F266" t="s">
        <v>327</v>
      </c>
      <c r="G266" t="str">
        <f>VLOOKUP(A:A,INVENTÁRIO_07_2025!A:A,1,0)</f>
        <v>SPRDAPQUAGRU01</v>
      </c>
    </row>
    <row r="267" spans="1:7" hidden="1">
      <c r="A267" t="s">
        <v>230</v>
      </c>
      <c r="B267" t="s">
        <v>61</v>
      </c>
      <c r="C267" t="s">
        <v>116</v>
      </c>
      <c r="D267" t="s">
        <v>425</v>
      </c>
      <c r="E267" t="s">
        <v>156</v>
      </c>
      <c r="F267" t="s">
        <v>733</v>
      </c>
      <c r="G267" t="str">
        <f>VLOOKUP(A:A,INVENTÁRIO_07_2025!A:A,1,0)</f>
        <v>SPRDAPRADGRU01</v>
      </c>
    </row>
    <row r="268" spans="1:7" hidden="1">
      <c r="A268" t="s">
        <v>184</v>
      </c>
      <c r="B268" t="s">
        <v>61</v>
      </c>
      <c r="C268" t="s">
        <v>116</v>
      </c>
      <c r="D268" t="s">
        <v>126</v>
      </c>
      <c r="E268" t="s">
        <v>156</v>
      </c>
      <c r="F268" t="s">
        <v>733</v>
      </c>
      <c r="G268" t="str">
        <f>VLOOKUP(A:A,INVENTÁRIO_07_2025!A:A,1,0)</f>
        <v>SPRDAPRDGGRU01</v>
      </c>
    </row>
    <row r="269" spans="1:7" hidden="1">
      <c r="A269" t="s">
        <v>632</v>
      </c>
      <c r="B269" t="s">
        <v>61</v>
      </c>
      <c r="C269" t="s">
        <v>116</v>
      </c>
      <c r="D269" t="s">
        <v>572</v>
      </c>
      <c r="E269" t="s">
        <v>156</v>
      </c>
      <c r="F269" t="s">
        <v>733</v>
      </c>
      <c r="G269" t="str">
        <f>VLOOKUP(A:A,INVENTÁRIO_07_2025!A:A,1,0)</f>
        <v>SPRDAPRIMAGRU01</v>
      </c>
    </row>
    <row r="270" spans="1:7">
      <c r="A270" t="s">
        <v>542</v>
      </c>
      <c r="B270" t="s">
        <v>61</v>
      </c>
      <c r="C270" t="s">
        <v>51</v>
      </c>
      <c r="D270" t="s">
        <v>114</v>
      </c>
      <c r="E270" t="s">
        <v>156</v>
      </c>
      <c r="F270" t="s">
        <v>327</v>
      </c>
      <c r="G270" t="str">
        <f>VLOOKUP(A:A,INVENTÁRIO_07_2025!A:A,1,0)</f>
        <v>SPRDAPRMAGRU01</v>
      </c>
    </row>
    <row r="271" spans="1:7">
      <c r="A271" t="s">
        <v>543</v>
      </c>
      <c r="B271" t="s">
        <v>61</v>
      </c>
      <c r="C271" t="s">
        <v>51</v>
      </c>
      <c r="D271" t="s">
        <v>114</v>
      </c>
      <c r="E271" t="s">
        <v>156</v>
      </c>
      <c r="F271" t="s">
        <v>327</v>
      </c>
      <c r="G271" t="str">
        <f>VLOOKUP(A:A,INVENTÁRIO_07_2025!A:A,1,0)</f>
        <v>SPRDAPRMAGRU02</v>
      </c>
    </row>
    <row r="272" spans="1:7">
      <c r="A272" t="s">
        <v>544</v>
      </c>
      <c r="B272" t="s">
        <v>61</v>
      </c>
      <c r="C272" t="s">
        <v>51</v>
      </c>
      <c r="D272" t="s">
        <v>114</v>
      </c>
      <c r="E272" t="s">
        <v>156</v>
      </c>
      <c r="F272" t="s">
        <v>327</v>
      </c>
      <c r="G272" t="str">
        <f>VLOOKUP(A:A,INVENTÁRIO_07_2025!A:A,1,0)</f>
        <v>SPRDAPRMAGRU03</v>
      </c>
    </row>
    <row r="273" spans="1:7">
      <c r="A273" t="s">
        <v>309</v>
      </c>
      <c r="B273" t="s">
        <v>61</v>
      </c>
      <c r="C273" t="s">
        <v>51</v>
      </c>
      <c r="D273" t="s">
        <v>114</v>
      </c>
      <c r="E273" t="s">
        <v>156</v>
      </c>
      <c r="F273" t="s">
        <v>733</v>
      </c>
      <c r="G273" t="str">
        <f>VLOOKUP(A:A,INVENTÁRIO_07_2025!A:A,1,0)</f>
        <v>SPRDAPRMAGRU04</v>
      </c>
    </row>
    <row r="274" spans="1:7">
      <c r="A274" t="s">
        <v>545</v>
      </c>
      <c r="B274" t="s">
        <v>61</v>
      </c>
      <c r="C274" t="s">
        <v>51</v>
      </c>
      <c r="D274" t="s">
        <v>114</v>
      </c>
      <c r="E274" t="s">
        <v>156</v>
      </c>
      <c r="F274" t="s">
        <v>327</v>
      </c>
      <c r="G274" t="str">
        <f>VLOOKUP(A:A,INVENTÁRIO_07_2025!A:A,1,0)</f>
        <v>SPRDAPRMAGRU05</v>
      </c>
    </row>
    <row r="275" spans="1:7" hidden="1">
      <c r="A275" t="s">
        <v>487</v>
      </c>
      <c r="B275" t="s">
        <v>61</v>
      </c>
      <c r="C275" t="s">
        <v>116</v>
      </c>
      <c r="D275" t="s">
        <v>136</v>
      </c>
      <c r="E275" t="s">
        <v>156</v>
      </c>
      <c r="F275" t="s">
        <v>733</v>
      </c>
      <c r="G275" t="str">
        <f>VLOOKUP(A:A,INVENTÁRIO_07_2025!A:A,1,0)</f>
        <v>SPRDAPRMIGRU01</v>
      </c>
    </row>
    <row r="276" spans="1:7" hidden="1">
      <c r="A276" t="s">
        <v>437</v>
      </c>
      <c r="B276" t="s">
        <v>61</v>
      </c>
      <c r="C276" t="s">
        <v>116</v>
      </c>
      <c r="D276" t="s">
        <v>126</v>
      </c>
      <c r="E276" t="s">
        <v>156</v>
      </c>
      <c r="F276" t="s">
        <v>327</v>
      </c>
      <c r="G276" t="str">
        <f>VLOOKUP(A:A,INVENTÁRIO_07_2025!A:A,1,0)</f>
        <v>SPRDAPRPAGRU01</v>
      </c>
    </row>
    <row r="277" spans="1:7" hidden="1">
      <c r="A277" t="s">
        <v>488</v>
      </c>
      <c r="B277" t="s">
        <v>61</v>
      </c>
      <c r="C277" t="s">
        <v>116</v>
      </c>
      <c r="D277" t="s">
        <v>425</v>
      </c>
      <c r="E277" t="s">
        <v>156</v>
      </c>
      <c r="F277" t="s">
        <v>327</v>
      </c>
      <c r="G277" t="str">
        <f>VLOOKUP(A:A,INVENTÁRIO_07_2025!A:A,1,0)</f>
        <v>SPRDAPRPAGRU02</v>
      </c>
    </row>
    <row r="278" spans="1:7" hidden="1">
      <c r="A278" t="s">
        <v>489</v>
      </c>
      <c r="B278" t="s">
        <v>61</v>
      </c>
      <c r="C278" t="s">
        <v>116</v>
      </c>
      <c r="D278" t="s">
        <v>242</v>
      </c>
      <c r="E278" t="s">
        <v>156</v>
      </c>
      <c r="F278" t="s">
        <v>327</v>
      </c>
      <c r="G278" t="str">
        <f>VLOOKUP(A:A,INVENTÁRIO_07_2025!A:A,1,0)</f>
        <v>SPRDAPRPGRU07</v>
      </c>
    </row>
    <row r="279" spans="1:7" hidden="1">
      <c r="A279" t="s">
        <v>185</v>
      </c>
      <c r="B279" t="s">
        <v>61</v>
      </c>
      <c r="C279" t="s">
        <v>116</v>
      </c>
      <c r="D279" t="s">
        <v>174</v>
      </c>
      <c r="E279" t="s">
        <v>156</v>
      </c>
      <c r="F279" t="s">
        <v>733</v>
      </c>
      <c r="G279" t="str">
        <f>VLOOKUP(A:A,INVENTÁRIO_07_2025!A:A,1,0)</f>
        <v>SPRDAPRPGRU08</v>
      </c>
    </row>
    <row r="280" spans="1:7">
      <c r="A280" t="s">
        <v>312</v>
      </c>
      <c r="B280" t="s">
        <v>61</v>
      </c>
      <c r="C280" t="s">
        <v>51</v>
      </c>
      <c r="D280" t="s">
        <v>114</v>
      </c>
      <c r="E280" t="s">
        <v>156</v>
      </c>
      <c r="F280" t="s">
        <v>733</v>
      </c>
      <c r="G280" t="str">
        <f>VLOOKUP(A:A,INVENTÁRIO_07_2025!A:A,1,0)</f>
        <v>SPRDAPRPGRU09</v>
      </c>
    </row>
    <row r="281" spans="1:7">
      <c r="A281" t="s">
        <v>313</v>
      </c>
      <c r="B281" t="s">
        <v>61</v>
      </c>
      <c r="C281" t="s">
        <v>51</v>
      </c>
      <c r="D281" t="s">
        <v>114</v>
      </c>
      <c r="E281" t="s">
        <v>156</v>
      </c>
      <c r="F281" t="s">
        <v>733</v>
      </c>
      <c r="G281" t="str">
        <f>VLOOKUP(A:A,INVENTÁRIO_07_2025!A:A,1,0)</f>
        <v>SPRDAPRPGRU10</v>
      </c>
    </row>
    <row r="282" spans="1:7" hidden="1">
      <c r="A282" t="s">
        <v>581</v>
      </c>
      <c r="B282" t="s">
        <v>50</v>
      </c>
      <c r="C282" t="s">
        <v>51</v>
      </c>
      <c r="D282" t="s">
        <v>736</v>
      </c>
      <c r="E282" t="s">
        <v>156</v>
      </c>
      <c r="F282" t="s">
        <v>733</v>
      </c>
      <c r="G282" t="e">
        <f>VLOOKUP(A:A,INVENTÁRIO_07_2025!A:A,1,0)</f>
        <v>#N/A</v>
      </c>
    </row>
    <row r="283" spans="1:7">
      <c r="A283" t="s">
        <v>314</v>
      </c>
      <c r="B283" t="s">
        <v>61</v>
      </c>
      <c r="C283" t="s">
        <v>51</v>
      </c>
      <c r="D283" t="s">
        <v>114</v>
      </c>
      <c r="E283" t="s">
        <v>156</v>
      </c>
      <c r="F283" t="s">
        <v>733</v>
      </c>
      <c r="G283" t="str">
        <f>VLOOKUP(A:A,INVENTÁRIO_07_2025!A:A,1,0)</f>
        <v>SPRDAPRPGRU12</v>
      </c>
    </row>
    <row r="284" spans="1:7">
      <c r="A284" t="s">
        <v>546</v>
      </c>
      <c r="B284" t="s">
        <v>61</v>
      </c>
      <c r="C284" t="s">
        <v>51</v>
      </c>
      <c r="D284" t="s">
        <v>114</v>
      </c>
      <c r="E284" t="s">
        <v>156</v>
      </c>
      <c r="F284" t="s">
        <v>733</v>
      </c>
      <c r="G284" t="str">
        <f>VLOOKUP(A:A,INVENTÁRIO_07_2025!A:A,1,0)</f>
        <v>SPRDAPRPGRU13</v>
      </c>
    </row>
    <row r="285" spans="1:7">
      <c r="A285" t="s">
        <v>304</v>
      </c>
      <c r="B285" t="s">
        <v>61</v>
      </c>
      <c r="C285" t="s">
        <v>51</v>
      </c>
      <c r="D285" t="s">
        <v>111</v>
      </c>
      <c r="E285" t="s">
        <v>156</v>
      </c>
      <c r="F285" t="s">
        <v>733</v>
      </c>
      <c r="G285" t="str">
        <f>VLOOKUP(A:A,INVENTÁRIO_07_2025!A:A,1,0)</f>
        <v>SPRDAPNTWSGRU01</v>
      </c>
    </row>
    <row r="286" spans="1:7">
      <c r="A286" t="s">
        <v>305</v>
      </c>
      <c r="B286" t="s">
        <v>61</v>
      </c>
      <c r="C286" t="s">
        <v>51</v>
      </c>
      <c r="D286" t="s">
        <v>111</v>
      </c>
      <c r="E286" t="s">
        <v>156</v>
      </c>
      <c r="F286" t="s">
        <v>733</v>
      </c>
      <c r="G286" t="str">
        <f>VLOOKUP(A:A,INVENTÁRIO_07_2025!A:A,1,0)</f>
        <v>SPRDAPPOSTGRU01</v>
      </c>
    </row>
    <row r="287" spans="1:7" hidden="1">
      <c r="A287" t="s">
        <v>387</v>
      </c>
      <c r="B287" t="s">
        <v>61</v>
      </c>
      <c r="C287" t="s">
        <v>116</v>
      </c>
      <c r="D287" t="s">
        <v>122</v>
      </c>
      <c r="E287" t="s">
        <v>156</v>
      </c>
      <c r="F287" t="s">
        <v>327</v>
      </c>
      <c r="G287" t="str">
        <f>VLOOKUP(A:A,INVENTÁRIO_07_2025!A:A,1,0)</f>
        <v>SPRDAPRVGRU01</v>
      </c>
    </row>
    <row r="288" spans="1:7" hidden="1">
      <c r="A288" t="s">
        <v>231</v>
      </c>
      <c r="B288" t="s">
        <v>61</v>
      </c>
      <c r="C288" t="s">
        <v>116</v>
      </c>
      <c r="D288" t="s">
        <v>419</v>
      </c>
      <c r="E288" t="s">
        <v>156</v>
      </c>
      <c r="F288" t="s">
        <v>733</v>
      </c>
      <c r="G288" t="str">
        <f>VLOOKUP(A:A,INVENTÁRIO_07_2025!A:A,1,0)</f>
        <v>SPRDAPSAFGRU02</v>
      </c>
    </row>
    <row r="289" spans="1:7" hidden="1">
      <c r="A289" t="s">
        <v>438</v>
      </c>
      <c r="B289" t="s">
        <v>61</v>
      </c>
      <c r="C289" t="s">
        <v>116</v>
      </c>
      <c r="D289" t="s">
        <v>126</v>
      </c>
      <c r="E289" t="s">
        <v>156</v>
      </c>
      <c r="F289" t="s">
        <v>733</v>
      </c>
      <c r="G289" t="str">
        <f>VLOOKUP(A:A,INVENTÁRIO_07_2025!A:A,1,0)</f>
        <v>SPRDAPSAGRU01</v>
      </c>
    </row>
    <row r="290" spans="1:7" hidden="1">
      <c r="A290" t="s">
        <v>439</v>
      </c>
      <c r="B290" t="s">
        <v>61</v>
      </c>
      <c r="C290" t="s">
        <v>116</v>
      </c>
      <c r="D290" t="s">
        <v>126</v>
      </c>
      <c r="E290" t="s">
        <v>156</v>
      </c>
      <c r="F290" t="s">
        <v>327</v>
      </c>
      <c r="G290" t="str">
        <f>VLOOKUP(A:A,INVENTÁRIO_07_2025!A:A,1,0)</f>
        <v>SPRDAPSAMGRU01</v>
      </c>
    </row>
    <row r="291" spans="1:7" hidden="1">
      <c r="A291" t="s">
        <v>440</v>
      </c>
      <c r="B291" t="s">
        <v>61</v>
      </c>
      <c r="C291" t="s">
        <v>116</v>
      </c>
      <c r="D291" t="s">
        <v>126</v>
      </c>
      <c r="E291" t="s">
        <v>156</v>
      </c>
      <c r="F291" t="s">
        <v>327</v>
      </c>
      <c r="G291" t="str">
        <f>VLOOKUP(A:A,INVENTÁRIO_07_2025!A:A,1,0)</f>
        <v>SPRDAPSAMGRU02</v>
      </c>
    </row>
    <row r="292" spans="1:7" hidden="1">
      <c r="A292" t="s">
        <v>186</v>
      </c>
      <c r="B292" t="s">
        <v>61</v>
      </c>
      <c r="C292" t="s">
        <v>116</v>
      </c>
      <c r="D292" t="s">
        <v>174</v>
      </c>
      <c r="E292" t="s">
        <v>156</v>
      </c>
      <c r="F292" t="s">
        <v>733</v>
      </c>
      <c r="G292" t="str">
        <f>VLOOKUP(A:A,INVENTÁRIO_07_2025!A:A,1,0)</f>
        <v>SPRDAPSAPGRU01</v>
      </c>
    </row>
    <row r="293" spans="1:7" hidden="1">
      <c r="A293" t="s">
        <v>441</v>
      </c>
      <c r="B293" t="s">
        <v>61</v>
      </c>
      <c r="C293" t="s">
        <v>116</v>
      </c>
      <c r="D293" t="s">
        <v>126</v>
      </c>
      <c r="E293" t="s">
        <v>156</v>
      </c>
      <c r="F293" t="s">
        <v>327</v>
      </c>
      <c r="G293" t="str">
        <f>VLOOKUP(A:A,INVENTÁRIO_07_2025!A:A,1,0)</f>
        <v>SPRDAPSATGRU01</v>
      </c>
    </row>
    <row r="294" spans="1:7" hidden="1">
      <c r="A294" t="s">
        <v>491</v>
      </c>
      <c r="B294" t="s">
        <v>61</v>
      </c>
      <c r="C294" t="s">
        <v>116</v>
      </c>
      <c r="D294" t="s">
        <v>425</v>
      </c>
      <c r="E294" t="s">
        <v>156</v>
      </c>
      <c r="F294" t="s">
        <v>327</v>
      </c>
      <c r="G294" t="str">
        <f>VLOOKUP(A:A,INVENTÁRIO_07_2025!A:A,1,0)</f>
        <v>SPRDAPSCOGRU03</v>
      </c>
    </row>
    <row r="295" spans="1:7" hidden="1">
      <c r="A295" t="s">
        <v>659</v>
      </c>
      <c r="B295" t="s">
        <v>61</v>
      </c>
      <c r="C295" t="s">
        <v>116</v>
      </c>
      <c r="D295" t="s">
        <v>572</v>
      </c>
      <c r="E295" t="s">
        <v>156</v>
      </c>
      <c r="F295" t="s">
        <v>733</v>
      </c>
      <c r="G295" t="str">
        <f>VLOOKUP(A:A,INVENTÁRIO_07_2025!A:A,1,0)</f>
        <v>SPRDAPSGPAGRU01</v>
      </c>
    </row>
    <row r="296" spans="1:7" hidden="1">
      <c r="A296" t="s">
        <v>390</v>
      </c>
      <c r="B296" t="s">
        <v>61</v>
      </c>
      <c r="C296" t="s">
        <v>116</v>
      </c>
      <c r="D296" t="s">
        <v>126</v>
      </c>
      <c r="E296" t="s">
        <v>156</v>
      </c>
      <c r="F296" t="s">
        <v>327</v>
      </c>
      <c r="G296" t="str">
        <f>VLOOKUP(A:A,INVENTÁRIO_07_2025!A:A,1,0)</f>
        <v>SPRDAPSHPGRU01</v>
      </c>
    </row>
    <row r="297" spans="1:7">
      <c r="A297" t="s">
        <v>99</v>
      </c>
      <c r="B297" t="s">
        <v>61</v>
      </c>
      <c r="C297" t="s">
        <v>51</v>
      </c>
      <c r="D297" t="s">
        <v>85</v>
      </c>
      <c r="E297" t="s">
        <v>53</v>
      </c>
      <c r="F297" t="s">
        <v>56</v>
      </c>
      <c r="G297" t="str">
        <f>VLOOKUP(A:A,INVENTÁRIO_07_2025!A:A,1,0)</f>
        <v>SPRDAPSMGRU01</v>
      </c>
    </row>
    <row r="298" spans="1:7">
      <c r="A298" t="s">
        <v>106</v>
      </c>
      <c r="B298" t="s">
        <v>61</v>
      </c>
      <c r="C298" t="s">
        <v>51</v>
      </c>
      <c r="D298" t="s">
        <v>85</v>
      </c>
      <c r="E298" t="s">
        <v>53</v>
      </c>
      <c r="F298" t="s">
        <v>58</v>
      </c>
      <c r="G298" t="str">
        <f>VLOOKUP(A:A,INVENTÁRIO_07_2025!A:A,1,0)</f>
        <v>SPRDAPSMGRU02</v>
      </c>
    </row>
    <row r="299" spans="1:7" hidden="1">
      <c r="A299" t="s">
        <v>281</v>
      </c>
      <c r="B299" t="s">
        <v>61</v>
      </c>
      <c r="C299" t="s">
        <v>51</v>
      </c>
      <c r="D299" t="s">
        <v>280</v>
      </c>
      <c r="E299" t="s">
        <v>156</v>
      </c>
      <c r="F299" t="s">
        <v>733</v>
      </c>
      <c r="G299" t="str">
        <f>VLOOKUP(A:A,INVENTÁRIO_07_2025!A:A,1,0)</f>
        <v>SPRDAPSMSGRU02</v>
      </c>
    </row>
    <row r="300" spans="1:7">
      <c r="A300" t="s">
        <v>691</v>
      </c>
      <c r="B300" t="s">
        <v>61</v>
      </c>
      <c r="C300" t="s">
        <v>51</v>
      </c>
      <c r="D300" t="s">
        <v>295</v>
      </c>
      <c r="E300" t="s">
        <v>156</v>
      </c>
      <c r="F300" t="s">
        <v>733</v>
      </c>
      <c r="G300" t="str">
        <f>VLOOKUP(A:A,INVENTÁRIO_07_2025!A:A,1,0)</f>
        <v>SPRDAPSPGGRU01</v>
      </c>
    </row>
    <row r="301" spans="1:7">
      <c r="A301" t="s">
        <v>692</v>
      </c>
      <c r="B301" t="s">
        <v>61</v>
      </c>
      <c r="C301" t="s">
        <v>51</v>
      </c>
      <c r="D301" t="s">
        <v>295</v>
      </c>
      <c r="E301" t="s">
        <v>156</v>
      </c>
      <c r="F301" t="s">
        <v>733</v>
      </c>
      <c r="G301" t="str">
        <f>VLOOKUP(A:A,INVENTÁRIO_07_2025!A:A,1,0)</f>
        <v>SPRDAPSQBGRU01</v>
      </c>
    </row>
    <row r="302" spans="1:7">
      <c r="A302" t="s">
        <v>154</v>
      </c>
      <c r="B302" t="s">
        <v>61</v>
      </c>
      <c r="C302" t="s">
        <v>51</v>
      </c>
      <c r="D302" t="s">
        <v>155</v>
      </c>
      <c r="E302" t="s">
        <v>156</v>
      </c>
      <c r="F302" t="s">
        <v>733</v>
      </c>
      <c r="G302" t="str">
        <f>VLOOKUP(A:A,INVENTÁRIO_07_2025!A:A,1,0)</f>
        <v>SPRDAPSSAGRU01</v>
      </c>
    </row>
    <row r="303" spans="1:7">
      <c r="A303" t="s">
        <v>284</v>
      </c>
      <c r="B303" t="s">
        <v>61</v>
      </c>
      <c r="C303" t="s">
        <v>51</v>
      </c>
      <c r="D303" t="s">
        <v>285</v>
      </c>
      <c r="E303" t="s">
        <v>156</v>
      </c>
      <c r="F303" t="s">
        <v>733</v>
      </c>
      <c r="G303" t="str">
        <f>VLOOKUP(A:A,INVENTÁRIO_07_2025!A:A,1,0)</f>
        <v>SPRDAPSSGRU01</v>
      </c>
    </row>
    <row r="304" spans="1:7">
      <c r="A304" t="s">
        <v>286</v>
      </c>
      <c r="B304" t="s">
        <v>61</v>
      </c>
      <c r="C304" t="s">
        <v>51</v>
      </c>
      <c r="D304" t="s">
        <v>285</v>
      </c>
      <c r="E304" t="s">
        <v>156</v>
      </c>
      <c r="F304" t="s">
        <v>733</v>
      </c>
      <c r="G304" t="str">
        <f>VLOOKUP(A:A,INVENTÁRIO_07_2025!A:A,1,0)</f>
        <v>SPRDAPSSGRU02</v>
      </c>
    </row>
    <row r="305" spans="1:7">
      <c r="A305" t="s">
        <v>113</v>
      </c>
      <c r="B305" t="s">
        <v>61</v>
      </c>
      <c r="C305" t="s">
        <v>51</v>
      </c>
      <c r="D305" t="s">
        <v>114</v>
      </c>
      <c r="E305" t="s">
        <v>53</v>
      </c>
      <c r="F305" t="s">
        <v>56</v>
      </c>
      <c r="G305" t="str">
        <f>VLOOKUP(A:A,INVENTÁRIO_07_2025!A:A,1,0)</f>
        <v>SPRDAPSSHGRU01</v>
      </c>
    </row>
    <row r="306" spans="1:7">
      <c r="A306" t="s">
        <v>301</v>
      </c>
      <c r="B306" t="s">
        <v>61</v>
      </c>
      <c r="C306" t="s">
        <v>51</v>
      </c>
      <c r="D306" t="s">
        <v>111</v>
      </c>
      <c r="E306" t="s">
        <v>156</v>
      </c>
      <c r="F306" t="s">
        <v>733</v>
      </c>
      <c r="G306" t="str">
        <f>VLOOKUP(A:A,INVENTÁRIO_07_2025!A:A,1,0)</f>
        <v>SPRDAPRPGRU14</v>
      </c>
    </row>
    <row r="307" spans="1:7" hidden="1">
      <c r="A307" t="s">
        <v>493</v>
      </c>
      <c r="B307" t="s">
        <v>61</v>
      </c>
      <c r="C307" t="s">
        <v>116</v>
      </c>
      <c r="D307" t="s">
        <v>136</v>
      </c>
      <c r="E307" t="s">
        <v>156</v>
      </c>
      <c r="F307" t="s">
        <v>733</v>
      </c>
      <c r="G307" t="str">
        <f>VLOOKUP(A:A,INVENTÁRIO_07_2025!A:A,1,0)</f>
        <v>SPRDAPSTGGRU01</v>
      </c>
    </row>
    <row r="308" spans="1:7" hidden="1">
      <c r="A308" t="s">
        <v>391</v>
      </c>
      <c r="B308" t="s">
        <v>61</v>
      </c>
      <c r="C308" t="s">
        <v>116</v>
      </c>
      <c r="D308" t="s">
        <v>117</v>
      </c>
      <c r="E308" t="s">
        <v>156</v>
      </c>
      <c r="F308" t="s">
        <v>327</v>
      </c>
      <c r="G308" t="str">
        <f>VLOOKUP(A:A,INVENTÁRIO_07_2025!A:A,1,0)</f>
        <v>SPRDAPSTWBGRU01</v>
      </c>
    </row>
    <row r="309" spans="1:7" hidden="1">
      <c r="A309" t="s">
        <v>392</v>
      </c>
      <c r="B309" t="s">
        <v>61</v>
      </c>
      <c r="C309" t="s">
        <v>116</v>
      </c>
      <c r="D309" t="s">
        <v>122</v>
      </c>
      <c r="E309" t="s">
        <v>156</v>
      </c>
      <c r="F309" t="s">
        <v>327</v>
      </c>
      <c r="G309" t="str">
        <f>VLOOKUP(A:A,INVENTÁRIO_07_2025!A:A,1,0)</f>
        <v>SPRDAPSTWBGRU03</v>
      </c>
    </row>
    <row r="310" spans="1:7" hidden="1">
      <c r="A310" t="s">
        <v>494</v>
      </c>
      <c r="B310" t="s">
        <v>61</v>
      </c>
      <c r="C310" t="s">
        <v>116</v>
      </c>
      <c r="D310" t="s">
        <v>419</v>
      </c>
      <c r="E310" t="s">
        <v>156</v>
      </c>
      <c r="F310" t="s">
        <v>327</v>
      </c>
      <c r="G310" t="str">
        <f>VLOOKUP(A:A,INVENTÁRIO_07_2025!A:A,1,0)</f>
        <v>SPRDAPSVNGRU01</v>
      </c>
    </row>
    <row r="311" spans="1:7" hidden="1">
      <c r="A311" t="s">
        <v>55</v>
      </c>
      <c r="B311" t="s">
        <v>50</v>
      </c>
      <c r="C311" t="s">
        <v>51</v>
      </c>
      <c r="D311" t="s">
        <v>52</v>
      </c>
      <c r="E311" t="s">
        <v>53</v>
      </c>
      <c r="F311" t="s">
        <v>56</v>
      </c>
      <c r="G311" t="str">
        <f>VLOOKUP(A:A,INVENTÁRIO_07_2025!A:A,1,0)</f>
        <v>SPRDAPTRGRU01</v>
      </c>
    </row>
    <row r="312" spans="1:7" hidden="1">
      <c r="A312" t="s">
        <v>495</v>
      </c>
      <c r="B312" t="s">
        <v>61</v>
      </c>
      <c r="C312" t="s">
        <v>116</v>
      </c>
      <c r="D312" t="s">
        <v>419</v>
      </c>
      <c r="E312" t="s">
        <v>156</v>
      </c>
      <c r="F312" t="s">
        <v>733</v>
      </c>
      <c r="G312" t="str">
        <f>VLOOKUP(A:A,INVENTÁRIO_07_2025!A:A,1,0)</f>
        <v>SPRDAPTSGRU01</v>
      </c>
    </row>
    <row r="313" spans="1:7" hidden="1">
      <c r="A313" t="s">
        <v>232</v>
      </c>
      <c r="B313" t="s">
        <v>61</v>
      </c>
      <c r="C313" t="s">
        <v>116</v>
      </c>
      <c r="D313" t="s">
        <v>419</v>
      </c>
      <c r="E313" t="s">
        <v>156</v>
      </c>
      <c r="F313" t="s">
        <v>733</v>
      </c>
      <c r="G313" t="str">
        <f>VLOOKUP(A:A,INVENTÁRIO_07_2025!A:A,1,0)</f>
        <v>SPRDAPTSGRU03</v>
      </c>
    </row>
    <row r="314" spans="1:7" hidden="1">
      <c r="A314" t="s">
        <v>233</v>
      </c>
      <c r="B314" t="s">
        <v>61</v>
      </c>
      <c r="C314" t="s">
        <v>116</v>
      </c>
      <c r="D314" t="s">
        <v>419</v>
      </c>
      <c r="E314" t="s">
        <v>156</v>
      </c>
      <c r="F314" t="s">
        <v>733</v>
      </c>
      <c r="G314" t="str">
        <f>VLOOKUP(A:A,INVENTÁRIO_07_2025!A:A,1,0)</f>
        <v>SPRDAPTSGRU04</v>
      </c>
    </row>
    <row r="315" spans="1:7">
      <c r="A315" t="s">
        <v>547</v>
      </c>
      <c r="B315" t="s">
        <v>61</v>
      </c>
      <c r="C315" t="s">
        <v>51</v>
      </c>
      <c r="D315" t="s">
        <v>114</v>
      </c>
      <c r="E315" t="s">
        <v>156</v>
      </c>
      <c r="F315" t="s">
        <v>733</v>
      </c>
      <c r="G315" t="str">
        <f>VLOOKUP(A:A,INVENTÁRIO_07_2025!A:A,1,0)</f>
        <v>SPRDAPTSGRU05</v>
      </c>
    </row>
    <row r="316" spans="1:7" hidden="1">
      <c r="A316" t="s">
        <v>496</v>
      </c>
      <c r="B316" t="s">
        <v>61</v>
      </c>
      <c r="C316" t="s">
        <v>116</v>
      </c>
      <c r="D316" t="s">
        <v>419</v>
      </c>
      <c r="E316" t="s">
        <v>156</v>
      </c>
      <c r="F316" t="s">
        <v>327</v>
      </c>
      <c r="G316" t="str">
        <f>VLOOKUP(A:A,INVENTÁRIO_07_2025!A:A,1,0)</f>
        <v>SPRDAPUPSGRU01</v>
      </c>
    </row>
    <row r="317" spans="1:7" hidden="1">
      <c r="A317" t="s">
        <v>554</v>
      </c>
      <c r="B317" t="s">
        <v>61</v>
      </c>
      <c r="C317" t="s">
        <v>51</v>
      </c>
      <c r="D317" t="s">
        <v>555</v>
      </c>
      <c r="E317" t="s">
        <v>156</v>
      </c>
      <c r="F317" t="s">
        <v>327</v>
      </c>
      <c r="G317" t="str">
        <f>VLOOKUP(A:A,INVENTÁRIO_07_2025!A:A,1,0)</f>
        <v>SPRDAPVCSAGRU01</v>
      </c>
    </row>
    <row r="318" spans="1:7" hidden="1">
      <c r="A318" t="s">
        <v>720</v>
      </c>
      <c r="B318" t="s">
        <v>61</v>
      </c>
      <c r="C318" t="s">
        <v>116</v>
      </c>
      <c r="D318" t="s">
        <v>734</v>
      </c>
      <c r="E318" t="s">
        <v>156</v>
      </c>
      <c r="F318" t="s">
        <v>733</v>
      </c>
      <c r="G318" t="e">
        <f>VLOOKUP(A:A,INVENTÁRIO_07_2025!A:A,1,0)</f>
        <v>#N/A</v>
      </c>
    </row>
    <row r="319" spans="1:7">
      <c r="A319" t="s">
        <v>306</v>
      </c>
      <c r="B319" t="s">
        <v>61</v>
      </c>
      <c r="C319" t="s">
        <v>51</v>
      </c>
      <c r="D319" t="s">
        <v>276</v>
      </c>
      <c r="E319" t="s">
        <v>156</v>
      </c>
      <c r="F319" t="s">
        <v>733</v>
      </c>
      <c r="G319" t="str">
        <f>VLOOKUP(A:A,INVENTÁRIO_07_2025!A:A,1,0)</f>
        <v>SPRDAPVPRGRU01</v>
      </c>
    </row>
    <row r="320" spans="1:7">
      <c r="A320" t="s">
        <v>307</v>
      </c>
      <c r="B320" t="s">
        <v>61</v>
      </c>
      <c r="C320" t="s">
        <v>51</v>
      </c>
      <c r="D320" t="s">
        <v>276</v>
      </c>
      <c r="E320" t="s">
        <v>156</v>
      </c>
      <c r="F320" t="s">
        <v>733</v>
      </c>
      <c r="G320" t="str">
        <f>VLOOKUP(A:A,INVENTÁRIO_07_2025!A:A,1,0)</f>
        <v>SPRDAPVPRGRU02</v>
      </c>
    </row>
    <row r="321" spans="1:7">
      <c r="A321" t="s">
        <v>534</v>
      </c>
      <c r="B321" t="s">
        <v>61</v>
      </c>
      <c r="C321" t="s">
        <v>51</v>
      </c>
      <c r="D321" t="s">
        <v>276</v>
      </c>
      <c r="E321" t="s">
        <v>156</v>
      </c>
      <c r="F321" t="s">
        <v>327</v>
      </c>
      <c r="G321" t="str">
        <f>VLOOKUP(A:A,INVENTÁRIO_07_2025!A:A,1,0)</f>
        <v>SPRDAPVPRGRU03</v>
      </c>
    </row>
    <row r="322" spans="1:7">
      <c r="A322" t="s">
        <v>535</v>
      </c>
      <c r="B322" t="s">
        <v>61</v>
      </c>
      <c r="C322" t="s">
        <v>51</v>
      </c>
      <c r="D322" t="s">
        <v>276</v>
      </c>
      <c r="E322" t="s">
        <v>156</v>
      </c>
      <c r="F322" t="s">
        <v>327</v>
      </c>
      <c r="G322" t="str">
        <f>VLOOKUP(A:A,INVENTÁRIO_07_2025!A:A,1,0)</f>
        <v>SPRDAPVPRGRU04</v>
      </c>
    </row>
    <row r="323" spans="1:7">
      <c r="A323" t="s">
        <v>536</v>
      </c>
      <c r="B323" t="s">
        <v>61</v>
      </c>
      <c r="C323" t="s">
        <v>51</v>
      </c>
      <c r="D323" t="s">
        <v>276</v>
      </c>
      <c r="E323" t="s">
        <v>156</v>
      </c>
      <c r="F323" t="s">
        <v>327</v>
      </c>
      <c r="G323" t="str">
        <f>VLOOKUP(A:A,INVENTÁRIO_07_2025!A:A,1,0)</f>
        <v>SPRDAPVPRGRU05</v>
      </c>
    </row>
    <row r="324" spans="1:7">
      <c r="A324" t="s">
        <v>537</v>
      </c>
      <c r="B324" t="s">
        <v>61</v>
      </c>
      <c r="C324" t="s">
        <v>51</v>
      </c>
      <c r="D324" t="s">
        <v>276</v>
      </c>
      <c r="E324" t="s">
        <v>156</v>
      </c>
      <c r="F324" t="s">
        <v>327</v>
      </c>
      <c r="G324" t="str">
        <f>VLOOKUP(A:A,INVENTÁRIO_07_2025!A:A,1,0)</f>
        <v>SPRDAPVPRGRU06</v>
      </c>
    </row>
    <row r="325" spans="1:7">
      <c r="A325" t="s">
        <v>650</v>
      </c>
      <c r="B325" t="s">
        <v>61</v>
      </c>
      <c r="C325" t="s">
        <v>51</v>
      </c>
      <c r="D325" t="s">
        <v>276</v>
      </c>
      <c r="E325" t="s">
        <v>156</v>
      </c>
      <c r="F325" t="s">
        <v>327</v>
      </c>
      <c r="G325" t="str">
        <f>VLOOKUP(A:A,INVENTÁRIO_07_2025!A:A,1,0)</f>
        <v>SPRDAPVPRGRU07</v>
      </c>
    </row>
    <row r="326" spans="1:7" hidden="1">
      <c r="A326" t="s">
        <v>443</v>
      </c>
      <c r="B326" t="s">
        <v>61</v>
      </c>
      <c r="C326" t="s">
        <v>116</v>
      </c>
      <c r="D326" t="s">
        <v>129</v>
      </c>
      <c r="E326" t="s">
        <v>156</v>
      </c>
      <c r="F326" t="s">
        <v>327</v>
      </c>
      <c r="G326" t="str">
        <f>VLOOKUP(A:A,INVENTÁRIO_07_2025!A:A,1,0)</f>
        <v>SPRDAPVPXGRU01</v>
      </c>
    </row>
    <row r="327" spans="1:7" hidden="1">
      <c r="A327" t="s">
        <v>444</v>
      </c>
      <c r="B327" t="s">
        <v>61</v>
      </c>
      <c r="C327" t="s">
        <v>116</v>
      </c>
      <c r="D327" t="s">
        <v>129</v>
      </c>
      <c r="E327" t="s">
        <v>156</v>
      </c>
      <c r="F327" t="s">
        <v>327</v>
      </c>
      <c r="G327" t="str">
        <f>VLOOKUP(A:A,INVENTÁRIO_07_2025!A:A,1,0)</f>
        <v>SPRDAPVPXGRU02</v>
      </c>
    </row>
    <row r="328" spans="1:7" hidden="1">
      <c r="A328" t="s">
        <v>445</v>
      </c>
      <c r="B328" t="s">
        <v>61</v>
      </c>
      <c r="C328" t="s">
        <v>116</v>
      </c>
      <c r="D328" t="s">
        <v>129</v>
      </c>
      <c r="E328" t="s">
        <v>156</v>
      </c>
      <c r="F328" t="s">
        <v>327</v>
      </c>
      <c r="G328" t="str">
        <f>VLOOKUP(A:A,INVENTÁRIO_07_2025!A:A,1,0)</f>
        <v>SPRDAPVPXGRU03</v>
      </c>
    </row>
    <row r="329" spans="1:7" hidden="1">
      <c r="A329" t="s">
        <v>446</v>
      </c>
      <c r="B329" t="s">
        <v>61</v>
      </c>
      <c r="C329" t="s">
        <v>116</v>
      </c>
      <c r="D329" t="s">
        <v>129</v>
      </c>
      <c r="E329" t="s">
        <v>156</v>
      </c>
      <c r="F329" t="s">
        <v>327</v>
      </c>
      <c r="G329" t="str">
        <f>VLOOKUP(A:A,INVENTÁRIO_07_2025!A:A,1,0)</f>
        <v>SPRDAPVPXGRU04</v>
      </c>
    </row>
    <row r="330" spans="1:7" hidden="1">
      <c r="A330" t="s">
        <v>393</v>
      </c>
      <c r="B330" t="s">
        <v>61</v>
      </c>
      <c r="C330" t="s">
        <v>116</v>
      </c>
      <c r="D330" t="s">
        <v>117</v>
      </c>
      <c r="E330" t="s">
        <v>156</v>
      </c>
      <c r="F330" t="s">
        <v>327</v>
      </c>
      <c r="G330" t="str">
        <f>VLOOKUP(A:A,INVENTÁRIO_07_2025!A:A,1,0)</f>
        <v>SPRDAPWEBGRU01</v>
      </c>
    </row>
    <row r="331" spans="1:7" hidden="1">
      <c r="A331" t="s">
        <v>394</v>
      </c>
      <c r="B331" t="s">
        <v>61</v>
      </c>
      <c r="C331" t="s">
        <v>116</v>
      </c>
      <c r="D331" t="s">
        <v>117</v>
      </c>
      <c r="E331" t="s">
        <v>156</v>
      </c>
      <c r="F331" t="s">
        <v>327</v>
      </c>
      <c r="G331" t="str">
        <f>VLOOKUP(A:A,INVENTÁRIO_07_2025!A:A,1,0)</f>
        <v>SPRDAPWEBGRU02</v>
      </c>
    </row>
    <row r="332" spans="1:7" hidden="1">
      <c r="A332" t="s">
        <v>447</v>
      </c>
      <c r="B332" t="s">
        <v>61</v>
      </c>
      <c r="C332" t="s">
        <v>116</v>
      </c>
      <c r="D332" t="s">
        <v>425</v>
      </c>
      <c r="E332" t="s">
        <v>156</v>
      </c>
      <c r="F332" t="s">
        <v>327</v>
      </c>
      <c r="G332" t="str">
        <f>VLOOKUP(A:A,INVENTÁRIO_07_2025!A:A,1,0)</f>
        <v>SPRDAPWSGRU02</v>
      </c>
    </row>
    <row r="333" spans="1:7" hidden="1">
      <c r="A333" t="s">
        <v>395</v>
      </c>
      <c r="B333" t="s">
        <v>61</v>
      </c>
      <c r="C333" t="s">
        <v>116</v>
      </c>
      <c r="D333" t="s">
        <v>122</v>
      </c>
      <c r="E333" t="s">
        <v>156</v>
      </c>
      <c r="F333" t="s">
        <v>327</v>
      </c>
      <c r="G333" t="str">
        <f>VLOOKUP(A:A,INVENTÁRIO_07_2025!A:A,1,0)</f>
        <v>SPRDAUTGRU02</v>
      </c>
    </row>
    <row r="334" spans="1:7" hidden="1">
      <c r="A334" t="s">
        <v>234</v>
      </c>
      <c r="B334" t="s">
        <v>61</v>
      </c>
      <c r="C334" t="s">
        <v>116</v>
      </c>
      <c r="D334" t="s">
        <v>425</v>
      </c>
      <c r="E334" t="s">
        <v>156</v>
      </c>
      <c r="F334" t="s">
        <v>733</v>
      </c>
      <c r="G334" t="str">
        <f>VLOOKUP(A:A,INVENTÁRIO_07_2025!A:A,1,0)</f>
        <v>SPRDAZADGRU01</v>
      </c>
    </row>
    <row r="335" spans="1:7">
      <c r="A335" t="s">
        <v>333</v>
      </c>
      <c r="B335" t="s">
        <v>61</v>
      </c>
      <c r="C335" t="s">
        <v>51</v>
      </c>
      <c r="D335" t="s">
        <v>329</v>
      </c>
      <c r="E335" t="s">
        <v>156</v>
      </c>
      <c r="F335" t="s">
        <v>327</v>
      </c>
      <c r="G335" t="str">
        <f>VLOOKUP(A:A,INVENTÁRIO_07_2025!A:A,1,0)</f>
        <v>SPRDBDDACGRU01</v>
      </c>
    </row>
    <row r="336" spans="1:7" hidden="1">
      <c r="A336" t="s">
        <v>235</v>
      </c>
      <c r="B336" t="s">
        <v>61</v>
      </c>
      <c r="C336" t="s">
        <v>116</v>
      </c>
      <c r="D336" t="s">
        <v>136</v>
      </c>
      <c r="E336" t="s">
        <v>156</v>
      </c>
      <c r="F336" t="s">
        <v>733</v>
      </c>
      <c r="G336" t="str">
        <f>VLOOKUP(A:A,INVENTÁRIO_07_2025!A:A,1,0)</f>
        <v>SPRDBDHSQLGRU06</v>
      </c>
    </row>
    <row r="337" spans="1:7" hidden="1">
      <c r="A337" t="s">
        <v>582</v>
      </c>
      <c r="B337" t="s">
        <v>61</v>
      </c>
      <c r="C337" t="s">
        <v>116</v>
      </c>
      <c r="D337" t="s">
        <v>572</v>
      </c>
      <c r="E337" t="s">
        <v>156</v>
      </c>
      <c r="F337" t="s">
        <v>733</v>
      </c>
      <c r="G337" t="str">
        <f>VLOOKUP(A:A,INVENTÁRIO_07_2025!A:A,1,0)</f>
        <v>SPRDBDHSQLGRU07</v>
      </c>
    </row>
    <row r="338" spans="1:7" hidden="1">
      <c r="A338" t="s">
        <v>583</v>
      </c>
      <c r="B338" t="s">
        <v>61</v>
      </c>
      <c r="C338" t="s">
        <v>116</v>
      </c>
      <c r="D338" t="s">
        <v>572</v>
      </c>
      <c r="E338" t="s">
        <v>156</v>
      </c>
      <c r="F338" t="s">
        <v>733</v>
      </c>
      <c r="G338" t="str">
        <f>VLOOKUP(A:A,INVENTÁRIO_07_2025!A:A,1,0)</f>
        <v>SPRDBDHSQLGRU09</v>
      </c>
    </row>
    <row r="339" spans="1:7" hidden="1">
      <c r="A339" t="s">
        <v>584</v>
      </c>
      <c r="B339" t="s">
        <v>61</v>
      </c>
      <c r="C339" t="s">
        <v>116</v>
      </c>
      <c r="D339" t="s">
        <v>572</v>
      </c>
      <c r="E339" t="s">
        <v>156</v>
      </c>
      <c r="F339" t="s">
        <v>733</v>
      </c>
      <c r="G339" t="str">
        <f>VLOOKUP(A:A,INVENTÁRIO_07_2025!A:A,1,0)</f>
        <v>SPRDBDHSQLGRU10</v>
      </c>
    </row>
    <row r="340" spans="1:7" hidden="1">
      <c r="A340" t="s">
        <v>633</v>
      </c>
      <c r="B340" t="s">
        <v>61</v>
      </c>
      <c r="C340" t="s">
        <v>116</v>
      </c>
      <c r="D340" t="s">
        <v>572</v>
      </c>
      <c r="E340" t="s">
        <v>156</v>
      </c>
      <c r="F340" t="s">
        <v>733</v>
      </c>
      <c r="G340" t="str">
        <f>VLOOKUP(A:A,INVENTÁRIO_07_2025!A:A,1,0)</f>
        <v>SPRDBDHSQLGRU12</v>
      </c>
    </row>
    <row r="341" spans="1:7" hidden="1">
      <c r="A341" t="s">
        <v>634</v>
      </c>
      <c r="B341" t="s">
        <v>61</v>
      </c>
      <c r="C341" t="s">
        <v>116</v>
      </c>
      <c r="D341" t="s">
        <v>572</v>
      </c>
      <c r="E341" t="s">
        <v>156</v>
      </c>
      <c r="F341" t="s">
        <v>733</v>
      </c>
      <c r="G341" t="str">
        <f>VLOOKUP(A:A,INVENTÁRIO_07_2025!A:A,1,0)</f>
        <v>SPRDBDHSQLGRU13</v>
      </c>
    </row>
    <row r="342" spans="1:7" hidden="1">
      <c r="A342" t="s">
        <v>635</v>
      </c>
      <c r="B342" t="s">
        <v>61</v>
      </c>
      <c r="C342" t="s">
        <v>116</v>
      </c>
      <c r="D342" t="s">
        <v>572</v>
      </c>
      <c r="E342" t="s">
        <v>156</v>
      </c>
      <c r="F342" t="s">
        <v>733</v>
      </c>
      <c r="G342" t="str">
        <f>VLOOKUP(A:A,INVENTÁRIO_07_2025!A:A,1,0)</f>
        <v>SPRDBDHSQLGRU14</v>
      </c>
    </row>
    <row r="343" spans="1:7" hidden="1">
      <c r="A343" t="s">
        <v>661</v>
      </c>
      <c r="B343" t="s">
        <v>61</v>
      </c>
      <c r="C343" t="s">
        <v>116</v>
      </c>
      <c r="D343" t="s">
        <v>572</v>
      </c>
      <c r="E343" t="s">
        <v>156</v>
      </c>
      <c r="F343" t="s">
        <v>733</v>
      </c>
      <c r="G343" t="str">
        <f>VLOOKUP(A:A,INVENTÁRIO_07_2025!A:A,1,0)</f>
        <v>SPRDBDHSQLGRU15</v>
      </c>
    </row>
    <row r="344" spans="1:7">
      <c r="A344" t="s">
        <v>721</v>
      </c>
      <c r="B344" t="s">
        <v>61</v>
      </c>
      <c r="C344" t="s">
        <v>51</v>
      </c>
      <c r="D344" t="s">
        <v>735</v>
      </c>
      <c r="E344" t="s">
        <v>156</v>
      </c>
      <c r="F344" t="s">
        <v>733</v>
      </c>
      <c r="G344" t="e">
        <f>VLOOKUP(A:A,INVENTÁRIO_07_2025!A:A,1,0)</f>
        <v>#N/A</v>
      </c>
    </row>
    <row r="345" spans="1:7">
      <c r="A345" t="s">
        <v>82</v>
      </c>
      <c r="B345" t="s">
        <v>61</v>
      </c>
      <c r="C345" t="s">
        <v>51</v>
      </c>
      <c r="D345" t="s">
        <v>83</v>
      </c>
      <c r="E345" t="s">
        <v>53</v>
      </c>
      <c r="F345" t="s">
        <v>63</v>
      </c>
      <c r="G345" t="str">
        <f>VLOOKUP(A:A,INVENTÁRIO_07_2025!A:A,1,0)</f>
        <v>SPRDBDORAGRU03</v>
      </c>
    </row>
    <row r="346" spans="1:7">
      <c r="A346" t="s">
        <v>87</v>
      </c>
      <c r="B346" t="s">
        <v>61</v>
      </c>
      <c r="C346" t="s">
        <v>51</v>
      </c>
      <c r="D346" t="s">
        <v>85</v>
      </c>
      <c r="E346" t="s">
        <v>53</v>
      </c>
      <c r="F346" t="s">
        <v>63</v>
      </c>
      <c r="G346" t="str">
        <f>VLOOKUP(A:A,INVENTÁRIO_07_2025!A:A,1,0)</f>
        <v>SPRDBDORAGRU04</v>
      </c>
    </row>
    <row r="347" spans="1:7">
      <c r="A347" t="s">
        <v>93</v>
      </c>
      <c r="B347" t="s">
        <v>61</v>
      </c>
      <c r="C347" t="s">
        <v>51</v>
      </c>
      <c r="D347" t="s">
        <v>85</v>
      </c>
      <c r="E347" t="s">
        <v>53</v>
      </c>
      <c r="F347" t="s">
        <v>67</v>
      </c>
      <c r="G347" t="str">
        <f>VLOOKUP(A:A,INVENTÁRIO_07_2025!A:A,1,0)</f>
        <v>SPRDBDORAGRU05</v>
      </c>
    </row>
    <row r="348" spans="1:7">
      <c r="A348" t="s">
        <v>100</v>
      </c>
      <c r="B348" t="s">
        <v>61</v>
      </c>
      <c r="C348" t="s">
        <v>51</v>
      </c>
      <c r="D348" t="s">
        <v>85</v>
      </c>
      <c r="E348" t="s">
        <v>53</v>
      </c>
      <c r="F348" t="s">
        <v>56</v>
      </c>
      <c r="G348" t="str">
        <f>VLOOKUP(A:A,INVENTÁRIO_07_2025!A:A,1,0)</f>
        <v>SPRDBDORAGRU09</v>
      </c>
    </row>
    <row r="349" spans="1:7">
      <c r="A349" t="s">
        <v>107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VLOOKUP(A:A,INVENTÁRIO_07_2025!A:A,1,0)</f>
        <v>SPRDBDORAGRU11</v>
      </c>
    </row>
    <row r="350" spans="1:7">
      <c r="A350" t="s">
        <v>302</v>
      </c>
      <c r="B350" t="s">
        <v>61</v>
      </c>
      <c r="C350" t="s">
        <v>51</v>
      </c>
      <c r="D350" t="s">
        <v>111</v>
      </c>
      <c r="E350" t="s">
        <v>156</v>
      </c>
      <c r="F350" t="s">
        <v>733</v>
      </c>
      <c r="G350" t="str">
        <f>VLOOKUP(A:A,INVENTÁRIO_07_2025!A:A,1,0)</f>
        <v>SPRDAPRPGRU15</v>
      </c>
    </row>
    <row r="351" spans="1:7">
      <c r="A351" t="s">
        <v>722</v>
      </c>
      <c r="B351" t="s">
        <v>61</v>
      </c>
      <c r="C351" t="s">
        <v>51</v>
      </c>
      <c r="D351" t="s">
        <v>295</v>
      </c>
      <c r="E351" t="s">
        <v>156</v>
      </c>
      <c r="F351" t="s">
        <v>733</v>
      </c>
      <c r="G351" t="e">
        <f>VLOOKUP(A:A,INVENTÁRIO_07_2025!A:A,1,0)</f>
        <v>#N/A</v>
      </c>
    </row>
    <row r="352" spans="1:7">
      <c r="A352" t="s">
        <v>315</v>
      </c>
      <c r="B352" t="s">
        <v>61</v>
      </c>
      <c r="C352" t="s">
        <v>51</v>
      </c>
      <c r="D352" t="s">
        <v>114</v>
      </c>
      <c r="E352" t="s">
        <v>156</v>
      </c>
      <c r="F352" t="s">
        <v>733</v>
      </c>
      <c r="G352" t="str">
        <f>VLOOKUP(A:A,INVENTÁRIO_07_2025!A:A,1,0)</f>
        <v>SPRDBDOTRSGRU01</v>
      </c>
    </row>
    <row r="353" spans="1:7">
      <c r="A353" t="s">
        <v>693</v>
      </c>
      <c r="B353" t="s">
        <v>61</v>
      </c>
      <c r="C353" t="s">
        <v>51</v>
      </c>
      <c r="D353" t="s">
        <v>295</v>
      </c>
      <c r="E353" t="s">
        <v>156</v>
      </c>
      <c r="F353" t="s">
        <v>733</v>
      </c>
      <c r="G353" t="str">
        <f>VLOOKUP(A:A,INVENTÁRIO_07_2025!A:A,1,0)</f>
        <v>SPRDBDSPGGRU01</v>
      </c>
    </row>
    <row r="354" spans="1:7" hidden="1">
      <c r="A354" t="s">
        <v>498</v>
      </c>
      <c r="B354" t="s">
        <v>61</v>
      </c>
      <c r="C354" t="s">
        <v>116</v>
      </c>
      <c r="D354" t="s">
        <v>153</v>
      </c>
      <c r="E354" t="s">
        <v>156</v>
      </c>
      <c r="F354" t="s">
        <v>327</v>
      </c>
      <c r="G354" t="str">
        <f>VLOOKUP(A:A,INVENTÁRIO_07_2025!A:A,1,0)</f>
        <v>SPRDBKPPSTGRU01</v>
      </c>
    </row>
    <row r="355" spans="1:7" hidden="1">
      <c r="A355" t="s">
        <v>137</v>
      </c>
      <c r="B355" t="s">
        <v>61</v>
      </c>
      <c r="C355" t="s">
        <v>116</v>
      </c>
      <c r="D355" t="s">
        <v>136</v>
      </c>
      <c r="E355" t="s">
        <v>53</v>
      </c>
      <c r="F355" t="s">
        <v>133</v>
      </c>
      <c r="G355" t="str">
        <f>VLOOKUP(A:A,INVENTÁRIO_07_2025!A:A,1,0)</f>
        <v>SPRDCCTVGRU01</v>
      </c>
    </row>
    <row r="356" spans="1:7" hidden="1">
      <c r="A356" t="s">
        <v>140</v>
      </c>
      <c r="B356" t="s">
        <v>61</v>
      </c>
      <c r="C356" t="s">
        <v>116</v>
      </c>
      <c r="D356" t="s">
        <v>141</v>
      </c>
      <c r="E356" t="s">
        <v>53</v>
      </c>
      <c r="F356" t="s">
        <v>133</v>
      </c>
      <c r="G356" t="str">
        <f>VLOOKUP(A:A,INVENTÁRIO_07_2025!A:A,1,0)</f>
        <v>SPRDCCTVGRU02</v>
      </c>
    </row>
    <row r="357" spans="1:7" hidden="1">
      <c r="A357" t="s">
        <v>142</v>
      </c>
      <c r="B357" t="s">
        <v>61</v>
      </c>
      <c r="C357" t="s">
        <v>116</v>
      </c>
      <c r="D357" t="s">
        <v>141</v>
      </c>
      <c r="E357" t="s">
        <v>53</v>
      </c>
      <c r="F357" t="s">
        <v>133</v>
      </c>
      <c r="G357" t="str">
        <f>VLOOKUP(A:A,INVENTÁRIO_07_2025!A:A,1,0)</f>
        <v>SPRDCCTVGRU05</v>
      </c>
    </row>
    <row r="358" spans="1:7" hidden="1">
      <c r="A358" t="s">
        <v>143</v>
      </c>
      <c r="B358" t="s">
        <v>61</v>
      </c>
      <c r="C358" t="s">
        <v>116</v>
      </c>
      <c r="D358" t="s">
        <v>141</v>
      </c>
      <c r="E358" t="s">
        <v>53</v>
      </c>
      <c r="F358" t="s">
        <v>133</v>
      </c>
      <c r="G358" t="str">
        <f>VLOOKUP(A:A,INVENTÁRIO_07_2025!A:A,1,0)</f>
        <v>SPRDCCTVGRU07</v>
      </c>
    </row>
    <row r="359" spans="1:7" hidden="1">
      <c r="A359" t="s">
        <v>132</v>
      </c>
      <c r="B359" t="s">
        <v>61</v>
      </c>
      <c r="C359" t="s">
        <v>116</v>
      </c>
      <c r="D359" t="s">
        <v>129</v>
      </c>
      <c r="E359" t="s">
        <v>53</v>
      </c>
      <c r="F359" t="s">
        <v>133</v>
      </c>
      <c r="G359" t="str">
        <f>VLOOKUP(A:A,INVENTÁRIO_07_2025!A:A,1,0)</f>
        <v>SPRDCCTVGRU08</v>
      </c>
    </row>
    <row r="360" spans="1:7" hidden="1">
      <c r="A360" t="s">
        <v>144</v>
      </c>
      <c r="B360" t="s">
        <v>61</v>
      </c>
      <c r="C360" t="s">
        <v>116</v>
      </c>
      <c r="D360" t="s">
        <v>141</v>
      </c>
      <c r="E360" t="s">
        <v>53</v>
      </c>
      <c r="F360" t="s">
        <v>133</v>
      </c>
      <c r="G360" t="str">
        <f>VLOOKUP(A:A,INVENTÁRIO_07_2025!A:A,1,0)</f>
        <v>SPRDCCTVGRU09</v>
      </c>
    </row>
    <row r="361" spans="1:7" hidden="1">
      <c r="A361" t="s">
        <v>134</v>
      </c>
      <c r="B361" t="s">
        <v>61</v>
      </c>
      <c r="C361" t="s">
        <v>116</v>
      </c>
      <c r="D361" t="s">
        <v>129</v>
      </c>
      <c r="E361" t="s">
        <v>53</v>
      </c>
      <c r="F361" t="s">
        <v>133</v>
      </c>
      <c r="G361" t="str">
        <f>VLOOKUP(A:A,INVENTÁRIO_07_2025!A:A,1,0)</f>
        <v>SPRDCCTVGRU10</v>
      </c>
    </row>
    <row r="362" spans="1:7" hidden="1">
      <c r="A362" t="s">
        <v>145</v>
      </c>
      <c r="B362" t="s">
        <v>61</v>
      </c>
      <c r="C362" t="s">
        <v>116</v>
      </c>
      <c r="D362" t="s">
        <v>141</v>
      </c>
      <c r="E362" t="s">
        <v>53</v>
      </c>
      <c r="F362" t="s">
        <v>133</v>
      </c>
      <c r="G362" t="str">
        <f>VLOOKUP(A:A,INVENTÁRIO_07_2025!A:A,1,0)</f>
        <v>SPRDCCTVGRU11</v>
      </c>
    </row>
    <row r="363" spans="1:7" hidden="1">
      <c r="A363" t="s">
        <v>138</v>
      </c>
      <c r="B363" t="s">
        <v>61</v>
      </c>
      <c r="C363" t="s">
        <v>116</v>
      </c>
      <c r="D363" t="s">
        <v>136</v>
      </c>
      <c r="E363" t="s">
        <v>53</v>
      </c>
      <c r="F363" t="s">
        <v>133</v>
      </c>
      <c r="G363" t="str">
        <f>VLOOKUP(A:A,INVENTÁRIO_07_2025!A:A,1,0)</f>
        <v>SPRDCCTVGRU20</v>
      </c>
    </row>
    <row r="364" spans="1:7" hidden="1">
      <c r="A364" t="s">
        <v>139</v>
      </c>
      <c r="B364" t="s">
        <v>61</v>
      </c>
      <c r="C364" t="s">
        <v>116</v>
      </c>
      <c r="D364" t="s">
        <v>136</v>
      </c>
      <c r="E364" t="s">
        <v>53</v>
      </c>
      <c r="F364" t="s">
        <v>133</v>
      </c>
      <c r="G364" t="str">
        <f>VLOOKUP(A:A,INVENTÁRIO_07_2025!A:A,1,0)</f>
        <v>SPRDCCTVGRU21</v>
      </c>
    </row>
    <row r="365" spans="1:7" hidden="1">
      <c r="A365" t="s">
        <v>146</v>
      </c>
      <c r="B365" t="s">
        <v>61</v>
      </c>
      <c r="C365" t="s">
        <v>116</v>
      </c>
      <c r="D365" t="s">
        <v>141</v>
      </c>
      <c r="E365" t="s">
        <v>53</v>
      </c>
      <c r="F365" t="s">
        <v>133</v>
      </c>
      <c r="G365" t="str">
        <f>VLOOKUP(A:A,INVENTÁRIO_07_2025!A:A,1,0)</f>
        <v>SPRDCCTVGRU25</v>
      </c>
    </row>
    <row r="366" spans="1:7" hidden="1">
      <c r="A366" t="s">
        <v>147</v>
      </c>
      <c r="B366" t="s">
        <v>61</v>
      </c>
      <c r="C366" t="s">
        <v>116</v>
      </c>
      <c r="D366" t="s">
        <v>141</v>
      </c>
      <c r="E366" t="s">
        <v>53</v>
      </c>
      <c r="F366" t="s">
        <v>133</v>
      </c>
      <c r="G366" t="str">
        <f>VLOOKUP(A:A,INVENTÁRIO_07_2025!A:A,1,0)</f>
        <v>SPRDCCTVGRU26</v>
      </c>
    </row>
    <row r="367" spans="1:7" hidden="1">
      <c r="A367" t="s">
        <v>148</v>
      </c>
      <c r="B367" t="s">
        <v>61</v>
      </c>
      <c r="C367" t="s">
        <v>116</v>
      </c>
      <c r="D367" t="s">
        <v>141</v>
      </c>
      <c r="E367" t="s">
        <v>53</v>
      </c>
      <c r="F367" t="s">
        <v>133</v>
      </c>
      <c r="G367" t="str">
        <f>VLOOKUP(A:A,INVENTÁRIO_07_2025!A:A,1,0)</f>
        <v>SPRDCCTVGRU28</v>
      </c>
    </row>
    <row r="368" spans="1:7" hidden="1">
      <c r="A368" t="s">
        <v>149</v>
      </c>
      <c r="B368" t="s">
        <v>61</v>
      </c>
      <c r="C368" t="s">
        <v>116</v>
      </c>
      <c r="D368" t="s">
        <v>141</v>
      </c>
      <c r="E368" t="s">
        <v>53</v>
      </c>
      <c r="F368" t="s">
        <v>133</v>
      </c>
      <c r="G368" t="str">
        <f>VLOOKUP(A:A,INVENTÁRIO_07_2025!A:A,1,0)</f>
        <v>SPRDCCTVGRU29</v>
      </c>
    </row>
    <row r="369" spans="1:7" hidden="1">
      <c r="A369" t="s">
        <v>150</v>
      </c>
      <c r="B369" t="s">
        <v>61</v>
      </c>
      <c r="C369" t="s">
        <v>116</v>
      </c>
      <c r="D369" t="s">
        <v>141</v>
      </c>
      <c r="E369" t="s">
        <v>53</v>
      </c>
      <c r="F369" t="s">
        <v>133</v>
      </c>
      <c r="G369" t="str">
        <f>VLOOKUP(A:A,INVENTÁRIO_07_2025!A:A,1,0)</f>
        <v>SPRDCCTVGRU30</v>
      </c>
    </row>
    <row r="370" spans="1:7" hidden="1">
      <c r="A370" t="s">
        <v>558</v>
      </c>
      <c r="B370" t="s">
        <v>61</v>
      </c>
      <c r="C370" t="s">
        <v>51</v>
      </c>
      <c r="D370" t="s">
        <v>559</v>
      </c>
      <c r="E370" t="s">
        <v>53</v>
      </c>
      <c r="F370" t="s">
        <v>560</v>
      </c>
      <c r="G370" t="str">
        <f>VLOOKUP(A:A,INVENTÁRIO_07_2025!A:A,1,0)</f>
        <v>SPRDCCTVGRU31-OLD</v>
      </c>
    </row>
    <row r="371" spans="1:7" hidden="1">
      <c r="A371" t="s">
        <v>339</v>
      </c>
      <c r="B371" t="s">
        <v>61</v>
      </c>
      <c r="C371" t="s">
        <v>116</v>
      </c>
      <c r="D371" t="s">
        <v>337</v>
      </c>
      <c r="E371" t="s">
        <v>156</v>
      </c>
      <c r="F371" t="s">
        <v>327</v>
      </c>
      <c r="G371" t="str">
        <f>VLOOKUP(A:A,INVENTÁRIO_07_2025!A:A,1,0)</f>
        <v>SPRDCFGEXTGRU01</v>
      </c>
    </row>
    <row r="372" spans="1:7" hidden="1">
      <c r="A372" t="s">
        <v>723</v>
      </c>
      <c r="B372" t="s">
        <v>61</v>
      </c>
      <c r="C372" t="s">
        <v>116</v>
      </c>
      <c r="D372" t="s">
        <v>734</v>
      </c>
      <c r="E372" t="s">
        <v>156</v>
      </c>
      <c r="F372" t="s">
        <v>733</v>
      </c>
      <c r="G372" t="e">
        <f>VLOOKUP(A:A,INVENTÁRIO_07_2025!A:A,1,0)</f>
        <v>#N/A</v>
      </c>
    </row>
    <row r="373" spans="1:7" hidden="1">
      <c r="A373" t="s">
        <v>724</v>
      </c>
      <c r="B373" t="s">
        <v>61</v>
      </c>
      <c r="C373" t="s">
        <v>116</v>
      </c>
      <c r="D373" t="s">
        <v>734</v>
      </c>
      <c r="E373" t="s">
        <v>156</v>
      </c>
      <c r="F373" t="s">
        <v>733</v>
      </c>
      <c r="G373" t="e">
        <f>VLOOKUP(A:A,INVENTÁRIO_07_2025!A:A,1,0)</f>
        <v>#N/A</v>
      </c>
    </row>
    <row r="374" spans="1:7" hidden="1">
      <c r="A374" t="s">
        <v>74</v>
      </c>
      <c r="B374" t="s">
        <v>61</v>
      </c>
      <c r="C374" t="s">
        <v>51</v>
      </c>
      <c r="D374" t="s">
        <v>62</v>
      </c>
      <c r="E374" t="s">
        <v>53</v>
      </c>
      <c r="F374" t="s">
        <v>75</v>
      </c>
      <c r="G374" t="str">
        <f>VLOOKUP(A:A,INVENTÁRIO_07_2025!A:A,1,0)</f>
        <v>SPRDESXIGRU01</v>
      </c>
    </row>
    <row r="375" spans="1:7" hidden="1">
      <c r="A375" t="s">
        <v>76</v>
      </c>
      <c r="B375" t="s">
        <v>61</v>
      </c>
      <c r="C375" t="s">
        <v>51</v>
      </c>
      <c r="D375" t="s">
        <v>62</v>
      </c>
      <c r="E375" t="s">
        <v>53</v>
      </c>
      <c r="F375" t="s">
        <v>75</v>
      </c>
      <c r="G375" t="str">
        <f>VLOOKUP(A:A,INVENTÁRIO_07_2025!A:A,1,0)</f>
        <v>SPRDESXIGRU02</v>
      </c>
    </row>
    <row r="376" spans="1:7" hidden="1">
      <c r="A376" t="s">
        <v>77</v>
      </c>
      <c r="B376" t="s">
        <v>61</v>
      </c>
      <c r="C376" t="s">
        <v>51</v>
      </c>
      <c r="D376" t="s">
        <v>62</v>
      </c>
      <c r="E376" t="s">
        <v>53</v>
      </c>
      <c r="F376" t="s">
        <v>75</v>
      </c>
      <c r="G376" t="str">
        <f>VLOOKUP(A:A,INVENTÁRIO_07_2025!A:A,1,0)</f>
        <v>SPRDESXIGRU03</v>
      </c>
    </row>
    <row r="377" spans="1:7" hidden="1">
      <c r="A377" t="s">
        <v>78</v>
      </c>
      <c r="B377" t="s">
        <v>61</v>
      </c>
      <c r="C377" t="s">
        <v>51</v>
      </c>
      <c r="D377" t="s">
        <v>62</v>
      </c>
      <c r="E377" t="s">
        <v>53</v>
      </c>
      <c r="F377" t="s">
        <v>75</v>
      </c>
      <c r="G377" t="str">
        <f>VLOOKUP(A:A,INVENTÁRIO_07_2025!A:A,1,0)</f>
        <v>SPRDESXIGRU04</v>
      </c>
    </row>
    <row r="378" spans="1:7" hidden="1">
      <c r="A378" t="s">
        <v>79</v>
      </c>
      <c r="B378" t="s">
        <v>61</v>
      </c>
      <c r="C378" t="s">
        <v>51</v>
      </c>
      <c r="D378" t="s">
        <v>62</v>
      </c>
      <c r="E378" t="s">
        <v>53</v>
      </c>
      <c r="F378" t="s">
        <v>75</v>
      </c>
      <c r="G378" t="str">
        <f>VLOOKUP(A:A,INVENTÁRIO_07_2025!A:A,1,0)</f>
        <v>SPRDESXIGRU05</v>
      </c>
    </row>
    <row r="379" spans="1:7" hidden="1">
      <c r="A379" t="s">
        <v>80</v>
      </c>
      <c r="B379" t="s">
        <v>61</v>
      </c>
      <c r="C379" t="s">
        <v>51</v>
      </c>
      <c r="D379" t="s">
        <v>62</v>
      </c>
      <c r="E379" t="s">
        <v>53</v>
      </c>
      <c r="F379" t="s">
        <v>75</v>
      </c>
      <c r="G379" t="str">
        <f>VLOOKUP(A:A,INVENTÁRIO_07_2025!A:A,1,0)</f>
        <v>SPRDESXIGRU06</v>
      </c>
    </row>
    <row r="380" spans="1:7" hidden="1">
      <c r="A380" t="s">
        <v>81</v>
      </c>
      <c r="B380" t="s">
        <v>61</v>
      </c>
      <c r="C380" t="s">
        <v>51</v>
      </c>
      <c r="D380" t="s">
        <v>62</v>
      </c>
      <c r="E380" t="s">
        <v>53</v>
      </c>
      <c r="F380" t="s">
        <v>75</v>
      </c>
      <c r="G380" t="str">
        <f>VLOOKUP(A:A,INVENTÁRIO_07_2025!A:A,1,0)</f>
        <v>SPRDESXIGRU07</v>
      </c>
    </row>
    <row r="381" spans="1:7" hidden="1">
      <c r="A381" t="s">
        <v>616</v>
      </c>
      <c r="B381" t="s">
        <v>61</v>
      </c>
      <c r="C381" t="s">
        <v>116</v>
      </c>
      <c r="D381" t="s">
        <v>572</v>
      </c>
      <c r="E381" t="s">
        <v>156</v>
      </c>
      <c r="F381" t="s">
        <v>327</v>
      </c>
      <c r="G381" t="str">
        <f>VLOOKUP(A:A,INVENTÁRIO_07_2025!A:A,1,0)</f>
        <v>SPRDFSQUA01</v>
      </c>
    </row>
    <row r="382" spans="1:7" hidden="1">
      <c r="A382" t="s">
        <v>400</v>
      </c>
      <c r="B382" t="s">
        <v>61</v>
      </c>
      <c r="C382" t="s">
        <v>116</v>
      </c>
      <c r="D382" t="s">
        <v>122</v>
      </c>
      <c r="E382" t="s">
        <v>156</v>
      </c>
      <c r="F382" t="s">
        <v>327</v>
      </c>
      <c r="G382" t="str">
        <f>VLOOKUP(A:A,INVENTÁRIO_07_2025!A:A,1,0)</f>
        <v>SPRDIAMDATGRU01</v>
      </c>
    </row>
    <row r="383" spans="1:7" hidden="1">
      <c r="A383" t="s">
        <v>499</v>
      </c>
      <c r="B383" t="s">
        <v>61</v>
      </c>
      <c r="C383" t="s">
        <v>116</v>
      </c>
      <c r="D383" t="s">
        <v>425</v>
      </c>
      <c r="E383" t="s">
        <v>156</v>
      </c>
      <c r="F383" t="s">
        <v>327</v>
      </c>
      <c r="G383" t="str">
        <f>VLOOKUP(A:A,INVENTÁRIO_07_2025!A:A,1,0)</f>
        <v>SPRDIRGRU01</v>
      </c>
    </row>
    <row r="384" spans="1:7" hidden="1">
      <c r="A384" t="s">
        <v>500</v>
      </c>
      <c r="B384" t="s">
        <v>61</v>
      </c>
      <c r="C384" t="s">
        <v>116</v>
      </c>
      <c r="D384" t="s">
        <v>136</v>
      </c>
      <c r="E384" t="s">
        <v>156</v>
      </c>
      <c r="F384" t="s">
        <v>327</v>
      </c>
      <c r="G384" t="str">
        <f>VLOOKUP(A:A,INVENTÁRIO_07_2025!A:A,1,0)</f>
        <v>SPRDJPBEUMER-01</v>
      </c>
    </row>
    <row r="385" spans="1:7">
      <c r="A385" t="s">
        <v>552</v>
      </c>
      <c r="B385" t="s">
        <v>61</v>
      </c>
      <c r="C385" t="s">
        <v>51</v>
      </c>
      <c r="D385" t="s">
        <v>114</v>
      </c>
      <c r="E385" t="s">
        <v>156</v>
      </c>
      <c r="F385" t="s">
        <v>733</v>
      </c>
      <c r="G385" t="str">
        <f>VLOOKUP(A:A,INVENTÁRIO_07_2025!A:A,1,0)</f>
        <v>SPRDMONGRU01</v>
      </c>
    </row>
    <row r="386" spans="1:7">
      <c r="A386" t="s">
        <v>334</v>
      </c>
      <c r="B386" t="s">
        <v>61</v>
      </c>
      <c r="C386" t="s">
        <v>51</v>
      </c>
      <c r="D386" t="s">
        <v>329</v>
      </c>
      <c r="E386" t="s">
        <v>156</v>
      </c>
      <c r="F386" t="s">
        <v>733</v>
      </c>
      <c r="G386" t="str">
        <f>VLOOKUP(A:A,INVENTÁRIO_07_2025!A:A,1,0)</f>
        <v>SPRDMYSQLGRU02</v>
      </c>
    </row>
    <row r="387" spans="1:7">
      <c r="A387" t="s">
        <v>316</v>
      </c>
      <c r="B387" t="s">
        <v>61</v>
      </c>
      <c r="C387" t="s">
        <v>51</v>
      </c>
      <c r="D387" t="s">
        <v>114</v>
      </c>
      <c r="E387" t="s">
        <v>156</v>
      </c>
      <c r="F387" t="s">
        <v>733</v>
      </c>
      <c r="G387" t="str">
        <f>VLOOKUP(A:A,INVENTÁRIO_07_2025!A:A,1,0)</f>
        <v>SPRDMYSQLGRU03</v>
      </c>
    </row>
    <row r="388" spans="1:7">
      <c r="A388" t="s">
        <v>317</v>
      </c>
      <c r="B388" t="s">
        <v>61</v>
      </c>
      <c r="C388" t="s">
        <v>51</v>
      </c>
      <c r="D388" t="s">
        <v>114</v>
      </c>
      <c r="E388" t="s">
        <v>156</v>
      </c>
      <c r="F388" t="s">
        <v>733</v>
      </c>
      <c r="G388" t="str">
        <f>VLOOKUP(A:A,INVENTÁRIO_07_2025!A:A,1,0)</f>
        <v>SPRDNTDGRU03</v>
      </c>
    </row>
    <row r="389" spans="1:7">
      <c r="A389" t="s">
        <v>318</v>
      </c>
      <c r="B389" t="s">
        <v>61</v>
      </c>
      <c r="C389" t="s">
        <v>51</v>
      </c>
      <c r="D389" t="s">
        <v>114</v>
      </c>
      <c r="E389" t="s">
        <v>156</v>
      </c>
      <c r="F389" t="s">
        <v>733</v>
      </c>
      <c r="G389" t="str">
        <f>VLOOKUP(A:A,INVENTÁRIO_07_2025!A:A,1,0)</f>
        <v>SPRDOTRSGRU01</v>
      </c>
    </row>
    <row r="390" spans="1:7" hidden="1">
      <c r="A390" t="s">
        <v>401</v>
      </c>
      <c r="B390" t="s">
        <v>61</v>
      </c>
      <c r="C390" t="s">
        <v>116</v>
      </c>
      <c r="D390" t="s">
        <v>122</v>
      </c>
      <c r="E390" t="s">
        <v>156</v>
      </c>
      <c r="F390" t="s">
        <v>327</v>
      </c>
      <c r="G390" t="str">
        <f>VLOOKUP(A:A,INVENTÁRIO_07_2025!A:A,1,0)</f>
        <v>SPRDPRGGRU02</v>
      </c>
    </row>
    <row r="391" spans="1:7">
      <c r="A391" t="s">
        <v>725</v>
      </c>
      <c r="B391" t="s">
        <v>61</v>
      </c>
      <c r="C391" t="s">
        <v>51</v>
      </c>
      <c r="D391" t="s">
        <v>295</v>
      </c>
      <c r="E391" t="s">
        <v>156</v>
      </c>
      <c r="F391" t="s">
        <v>733</v>
      </c>
      <c r="G391" t="e">
        <f>VLOOKUP(A:A,INVENTÁRIO_07_2025!A:A,1,0)</f>
        <v>#N/A</v>
      </c>
    </row>
    <row r="392" spans="1:7">
      <c r="A392" t="s">
        <v>726</v>
      </c>
      <c r="B392" t="s">
        <v>61</v>
      </c>
      <c r="C392" t="s">
        <v>51</v>
      </c>
      <c r="D392" t="s">
        <v>295</v>
      </c>
      <c r="E392" t="s">
        <v>156</v>
      </c>
      <c r="F392" t="s">
        <v>733</v>
      </c>
      <c r="G392" t="e">
        <f>VLOOKUP(A:A,INVENTÁRIO_07_2025!A:A,1,0)</f>
        <v>#N/A</v>
      </c>
    </row>
    <row r="393" spans="1:7" hidden="1">
      <c r="A393" t="s">
        <v>448</v>
      </c>
      <c r="B393" t="s">
        <v>50</v>
      </c>
      <c r="C393" t="s">
        <v>116</v>
      </c>
      <c r="D393" t="s">
        <v>126</v>
      </c>
      <c r="E393" t="s">
        <v>156</v>
      </c>
      <c r="F393" t="s">
        <v>327</v>
      </c>
      <c r="G393" t="str">
        <f>VLOOKUP(A:A,INVENTÁRIO_07_2025!A:A,1,0)</f>
        <v>SPRDSAPECFGRU01</v>
      </c>
    </row>
    <row r="394" spans="1:7">
      <c r="A394" t="s">
        <v>290</v>
      </c>
      <c r="B394" t="s">
        <v>61</v>
      </c>
      <c r="C394" t="s">
        <v>51</v>
      </c>
      <c r="D394" t="s">
        <v>85</v>
      </c>
      <c r="E394" t="s">
        <v>156</v>
      </c>
      <c r="F394" t="s">
        <v>733</v>
      </c>
      <c r="G394" t="str">
        <f>VLOOKUP(A:A,INVENTÁRIO_07_2025!A:A,1,0)</f>
        <v>SPRDSAPNASGRU01</v>
      </c>
    </row>
    <row r="395" spans="1:7">
      <c r="A395" t="s">
        <v>518</v>
      </c>
      <c r="B395" t="s">
        <v>61</v>
      </c>
      <c r="C395" t="s">
        <v>51</v>
      </c>
      <c r="D395" t="s">
        <v>85</v>
      </c>
      <c r="E395" t="s">
        <v>156</v>
      </c>
      <c r="F395" t="s">
        <v>733</v>
      </c>
      <c r="G395" t="str">
        <f>VLOOKUP(A:A,INVENTÁRIO_07_2025!A:A,1,0)</f>
        <v>SPRDSCANVUL01</v>
      </c>
    </row>
    <row r="396" spans="1:7" hidden="1">
      <c r="A396" t="s">
        <v>449</v>
      </c>
      <c r="B396" t="s">
        <v>61</v>
      </c>
      <c r="C396" t="s">
        <v>116</v>
      </c>
      <c r="D396" t="s">
        <v>126</v>
      </c>
      <c r="E396" t="s">
        <v>156</v>
      </c>
      <c r="F396" t="s">
        <v>327</v>
      </c>
      <c r="G396" t="str">
        <f>VLOOKUP(A:A,INVENTÁRIO_07_2025!A:A,1,0)</f>
        <v>SPRDSHPINTGRU01</v>
      </c>
    </row>
    <row r="397" spans="1:7" hidden="1">
      <c r="A397" t="s">
        <v>450</v>
      </c>
      <c r="B397" t="s">
        <v>61</v>
      </c>
      <c r="C397" t="s">
        <v>116</v>
      </c>
      <c r="D397" t="s">
        <v>126</v>
      </c>
      <c r="E397" t="s">
        <v>156</v>
      </c>
      <c r="F397" t="s">
        <v>327</v>
      </c>
      <c r="G397" t="str">
        <f>VLOOKUP(A:A,INVENTÁRIO_07_2025!A:A,1,0)</f>
        <v>SPRDSHPINTGRU02</v>
      </c>
    </row>
    <row r="398" spans="1:7" hidden="1">
      <c r="A398" t="s">
        <v>451</v>
      </c>
      <c r="B398" t="s">
        <v>61</v>
      </c>
      <c r="C398" t="s">
        <v>116</v>
      </c>
      <c r="D398" t="s">
        <v>126</v>
      </c>
      <c r="E398" t="s">
        <v>156</v>
      </c>
      <c r="F398" t="s">
        <v>327</v>
      </c>
      <c r="G398" t="str">
        <f>VLOOKUP(A:A,INVENTÁRIO_07_2025!A:A,1,0)</f>
        <v>SPRDSHPINTGRU03</v>
      </c>
    </row>
    <row r="399" spans="1:7" hidden="1">
      <c r="A399" t="s">
        <v>452</v>
      </c>
      <c r="B399" t="s">
        <v>61</v>
      </c>
      <c r="C399" t="s">
        <v>116</v>
      </c>
      <c r="D399" t="s">
        <v>734</v>
      </c>
      <c r="E399" t="s">
        <v>156</v>
      </c>
      <c r="F399" t="s">
        <v>733</v>
      </c>
      <c r="G399" t="e">
        <f>VLOOKUP(A:A,INVENTÁRIO_07_2025!A:A,1,0)</f>
        <v>#N/A</v>
      </c>
    </row>
    <row r="400" spans="1:7" hidden="1">
      <c r="A400" t="s">
        <v>453</v>
      </c>
      <c r="B400" t="s">
        <v>61</v>
      </c>
      <c r="C400" t="s">
        <v>116</v>
      </c>
      <c r="D400" t="s">
        <v>126</v>
      </c>
      <c r="E400" t="s">
        <v>156</v>
      </c>
      <c r="F400" t="s">
        <v>733</v>
      </c>
      <c r="G400" t="str">
        <f>VLOOKUP(A:A,INVENTÁRIO_07_2025!A:A,1,0)</f>
        <v>SPRDSHPINTGRU05</v>
      </c>
    </row>
    <row r="401" spans="1:7">
      <c r="A401" t="s">
        <v>157</v>
      </c>
      <c r="B401" t="s">
        <v>61</v>
      </c>
      <c r="C401" t="s">
        <v>51</v>
      </c>
      <c r="D401" t="s">
        <v>158</v>
      </c>
      <c r="E401" t="s">
        <v>156</v>
      </c>
      <c r="F401" t="s">
        <v>733</v>
      </c>
      <c r="G401" t="str">
        <f>VLOOKUP(A:A,INVENTÁRIO_07_2025!A:A,1,0)</f>
        <v>SPRDSIEM01</v>
      </c>
    </row>
    <row r="402" spans="1:7">
      <c r="A402" t="s">
        <v>159</v>
      </c>
      <c r="B402" t="s">
        <v>61</v>
      </c>
      <c r="C402" t="s">
        <v>51</v>
      </c>
      <c r="D402" t="s">
        <v>158</v>
      </c>
      <c r="E402" t="s">
        <v>156</v>
      </c>
      <c r="F402" t="s">
        <v>733</v>
      </c>
      <c r="G402" t="str">
        <f>VLOOKUP(A:A,INVENTÁRIO_07_2025!A:A,1,0)</f>
        <v>SPRDSIEM02</v>
      </c>
    </row>
    <row r="403" spans="1:7" hidden="1">
      <c r="A403" t="s">
        <v>236</v>
      </c>
      <c r="B403" t="s">
        <v>61</v>
      </c>
      <c r="C403" t="s">
        <v>116</v>
      </c>
      <c r="D403" t="s">
        <v>188</v>
      </c>
      <c r="E403" t="s">
        <v>156</v>
      </c>
      <c r="F403" t="s">
        <v>733</v>
      </c>
      <c r="G403" t="str">
        <f>VLOOKUP(A:A,INVENTÁRIO_07_2025!A:A,1,0)</f>
        <v>SPRDSKDAUGRU02</v>
      </c>
    </row>
    <row r="404" spans="1:7" hidden="1">
      <c r="A404" t="s">
        <v>187</v>
      </c>
      <c r="B404" t="s">
        <v>61</v>
      </c>
      <c r="C404" t="s">
        <v>116</v>
      </c>
      <c r="D404" t="s">
        <v>188</v>
      </c>
      <c r="E404" t="s">
        <v>156</v>
      </c>
      <c r="F404" t="s">
        <v>733</v>
      </c>
      <c r="G404" t="str">
        <f>VLOOKUP(A:A,INVENTÁRIO_07_2025!A:A,1,0)</f>
        <v>SPRDSKDCGRU01</v>
      </c>
    </row>
    <row r="405" spans="1:7" hidden="1">
      <c r="A405" t="s">
        <v>641</v>
      </c>
      <c r="B405" t="s">
        <v>50</v>
      </c>
      <c r="C405" t="s">
        <v>116</v>
      </c>
      <c r="D405" t="s">
        <v>188</v>
      </c>
      <c r="E405" t="s">
        <v>156</v>
      </c>
      <c r="F405" t="s">
        <v>733</v>
      </c>
      <c r="G405" t="e">
        <f>VLOOKUP(A:A,INVENTÁRIO_07_2025!A:A,1,0)</f>
        <v>#N/A</v>
      </c>
    </row>
    <row r="406" spans="1:7" hidden="1">
      <c r="A406" t="s">
        <v>189</v>
      </c>
      <c r="B406" t="s">
        <v>61</v>
      </c>
      <c r="C406" t="s">
        <v>116</v>
      </c>
      <c r="D406" t="s">
        <v>188</v>
      </c>
      <c r="E406" t="s">
        <v>156</v>
      </c>
      <c r="F406" t="s">
        <v>733</v>
      </c>
      <c r="G406" t="str">
        <f>VLOOKUP(A:A,INVENTÁRIO_07_2025!A:A,1,0)</f>
        <v>SPRDSKDCGRU02</v>
      </c>
    </row>
    <row r="407" spans="1:7" hidden="1">
      <c r="A407" t="s">
        <v>643</v>
      </c>
      <c r="B407" t="s">
        <v>50</v>
      </c>
      <c r="C407" t="s">
        <v>116</v>
      </c>
      <c r="D407" t="s">
        <v>188</v>
      </c>
      <c r="E407" t="s">
        <v>156</v>
      </c>
      <c r="F407" t="s">
        <v>733</v>
      </c>
      <c r="G407" t="e">
        <f>VLOOKUP(A:A,INVENTÁRIO_07_2025!A:A,1,0)</f>
        <v>#N/A</v>
      </c>
    </row>
    <row r="408" spans="1:7" hidden="1">
      <c r="A408" t="s">
        <v>190</v>
      </c>
      <c r="B408" t="s">
        <v>61</v>
      </c>
      <c r="C408" t="s">
        <v>116</v>
      </c>
      <c r="D408" t="s">
        <v>191</v>
      </c>
      <c r="E408" t="s">
        <v>156</v>
      </c>
      <c r="F408" t="s">
        <v>733</v>
      </c>
      <c r="G408" t="str">
        <f>VLOOKUP(A:A,INVENTÁRIO_07_2025!A:A,1,0)</f>
        <v>SPRDSKESBGRU01</v>
      </c>
    </row>
    <row r="409" spans="1:7">
      <c r="A409" t="s">
        <v>512</v>
      </c>
      <c r="B409" t="s">
        <v>61</v>
      </c>
      <c r="C409" t="s">
        <v>51</v>
      </c>
      <c r="D409" t="s">
        <v>285</v>
      </c>
      <c r="E409" t="s">
        <v>156</v>
      </c>
      <c r="F409" t="s">
        <v>733</v>
      </c>
      <c r="G409" t="str">
        <f>VLOOKUP(A:A,INVENTÁRIO_07_2025!A:A,1,0)</f>
        <v>SPRDSKINTGRU01</v>
      </c>
    </row>
    <row r="410" spans="1:7" hidden="1">
      <c r="A410" t="s">
        <v>737</v>
      </c>
      <c r="B410" t="s">
        <v>50</v>
      </c>
      <c r="C410" t="s">
        <v>51</v>
      </c>
      <c r="D410" t="s">
        <v>285</v>
      </c>
      <c r="E410" t="s">
        <v>156</v>
      </c>
      <c r="F410" t="s">
        <v>327</v>
      </c>
      <c r="G410" t="e">
        <f>VLOOKUP(A:A,INVENTÁRIO_07_2025!A:A,1,0)</f>
        <v>#N/A</v>
      </c>
    </row>
    <row r="411" spans="1:7" hidden="1">
      <c r="A411" t="s">
        <v>192</v>
      </c>
      <c r="B411" t="s">
        <v>61</v>
      </c>
      <c r="C411" t="s">
        <v>116</v>
      </c>
      <c r="D411" t="s">
        <v>188</v>
      </c>
      <c r="E411" t="s">
        <v>156</v>
      </c>
      <c r="F411" t="s">
        <v>733</v>
      </c>
      <c r="G411" t="str">
        <f>VLOOKUP(A:A,INVENTÁRIO_07_2025!A:A,1,0)</f>
        <v>SPRDSKPPCGRU01</v>
      </c>
    </row>
    <row r="412" spans="1:7" hidden="1">
      <c r="A412" t="s">
        <v>193</v>
      </c>
      <c r="B412" t="s">
        <v>61</v>
      </c>
      <c r="C412" t="s">
        <v>116</v>
      </c>
      <c r="D412" t="s">
        <v>188</v>
      </c>
      <c r="E412" t="s">
        <v>156</v>
      </c>
      <c r="F412" t="s">
        <v>733</v>
      </c>
      <c r="G412" t="str">
        <f>VLOOKUP(A:A,INVENTÁRIO_07_2025!A:A,1,0)</f>
        <v>SPRDSKPPCGRU02</v>
      </c>
    </row>
    <row r="413" spans="1:7" hidden="1">
      <c r="A413" t="s">
        <v>194</v>
      </c>
      <c r="B413" t="s">
        <v>61</v>
      </c>
      <c r="C413" t="s">
        <v>116</v>
      </c>
      <c r="D413" t="s">
        <v>188</v>
      </c>
      <c r="E413" t="s">
        <v>156</v>
      </c>
      <c r="F413" t="s">
        <v>733</v>
      </c>
      <c r="G413" t="str">
        <f>VLOOKUP(A:A,INVENTÁRIO_07_2025!A:A,1,0)</f>
        <v>SPRDSKPPCGRU03</v>
      </c>
    </row>
    <row r="414" spans="1:7" hidden="1">
      <c r="A414" t="s">
        <v>195</v>
      </c>
      <c r="B414" t="s">
        <v>61</v>
      </c>
      <c r="C414" t="s">
        <v>116</v>
      </c>
      <c r="D414" t="s">
        <v>188</v>
      </c>
      <c r="E414" t="s">
        <v>156</v>
      </c>
      <c r="F414" t="s">
        <v>733</v>
      </c>
      <c r="G414" t="str">
        <f>VLOOKUP(A:A,INVENTÁRIO_07_2025!A:A,1,0)</f>
        <v>SPRDSKPPCGRU04</v>
      </c>
    </row>
    <row r="415" spans="1:7" hidden="1">
      <c r="A415" t="s">
        <v>196</v>
      </c>
      <c r="B415" t="s">
        <v>61</v>
      </c>
      <c r="C415" t="s">
        <v>116</v>
      </c>
      <c r="D415" t="s">
        <v>188</v>
      </c>
      <c r="E415" t="s">
        <v>156</v>
      </c>
      <c r="F415" t="s">
        <v>733</v>
      </c>
      <c r="G415" t="str">
        <f>VLOOKUP(A:A,INVENTÁRIO_07_2025!A:A,1,0)</f>
        <v>SPRDSKPPCGRU05</v>
      </c>
    </row>
    <row r="416" spans="1:7" hidden="1">
      <c r="A416" t="s">
        <v>197</v>
      </c>
      <c r="B416" t="s">
        <v>61</v>
      </c>
      <c r="C416" t="s">
        <v>116</v>
      </c>
      <c r="D416" t="s">
        <v>188</v>
      </c>
      <c r="E416" t="s">
        <v>156</v>
      </c>
      <c r="F416" t="s">
        <v>733</v>
      </c>
      <c r="G416" t="str">
        <f>VLOOKUP(A:A,INVENTÁRIO_07_2025!A:A,1,0)</f>
        <v>SPRDSKPPCGRU06</v>
      </c>
    </row>
    <row r="417" spans="1:7" hidden="1">
      <c r="A417" t="s">
        <v>727</v>
      </c>
      <c r="B417" t="s">
        <v>50</v>
      </c>
      <c r="C417" t="s">
        <v>116</v>
      </c>
      <c r="D417" t="s">
        <v>188</v>
      </c>
      <c r="E417" t="s">
        <v>156</v>
      </c>
      <c r="F417" t="s">
        <v>733</v>
      </c>
      <c r="G417" t="e">
        <f>VLOOKUP(A:A,INVENTÁRIO_07_2025!A:A,1,0)</f>
        <v>#N/A</v>
      </c>
    </row>
    <row r="418" spans="1:7" hidden="1">
      <c r="A418" t="s">
        <v>198</v>
      </c>
      <c r="B418" t="s">
        <v>61</v>
      </c>
      <c r="C418" t="s">
        <v>116</v>
      </c>
      <c r="D418" t="s">
        <v>188</v>
      </c>
      <c r="E418" t="s">
        <v>156</v>
      </c>
      <c r="F418" t="s">
        <v>733</v>
      </c>
      <c r="G418" t="str">
        <f>VLOOKUP(A:A,INVENTÁRIO_07_2025!A:A,1,0)</f>
        <v>SPRDSKPPCGRU07</v>
      </c>
    </row>
    <row r="419" spans="1:7" hidden="1">
      <c r="A419" t="s">
        <v>728</v>
      </c>
      <c r="B419" t="s">
        <v>50</v>
      </c>
      <c r="C419" t="s">
        <v>116</v>
      </c>
      <c r="D419" t="s">
        <v>188</v>
      </c>
      <c r="E419" t="s">
        <v>156</v>
      </c>
      <c r="F419" t="s">
        <v>733</v>
      </c>
      <c r="G419" t="e">
        <f>VLOOKUP(A:A,INVENTÁRIO_07_2025!A:A,1,0)</f>
        <v>#N/A</v>
      </c>
    </row>
    <row r="420" spans="1:7" hidden="1">
      <c r="A420" t="s">
        <v>237</v>
      </c>
      <c r="B420" t="s">
        <v>61</v>
      </c>
      <c r="C420" t="s">
        <v>116</v>
      </c>
      <c r="D420" t="s">
        <v>188</v>
      </c>
      <c r="E420" t="s">
        <v>156</v>
      </c>
      <c r="F420" t="s">
        <v>733</v>
      </c>
      <c r="G420" t="str">
        <f>VLOOKUP(A:A,INVENTÁRIO_07_2025!A:A,1,0)</f>
        <v>SPRDSKPPCGRU08</v>
      </c>
    </row>
    <row r="421" spans="1:7" hidden="1">
      <c r="A421" t="s">
        <v>729</v>
      </c>
      <c r="B421" t="s">
        <v>50</v>
      </c>
      <c r="C421" t="s">
        <v>116</v>
      </c>
      <c r="D421" t="s">
        <v>188</v>
      </c>
      <c r="E421" t="s">
        <v>156</v>
      </c>
      <c r="F421" t="s">
        <v>733</v>
      </c>
      <c r="G421" t="e">
        <f>VLOOKUP(A:A,INVENTÁRIO_07_2025!A:A,1,0)</f>
        <v>#N/A</v>
      </c>
    </row>
    <row r="422" spans="1:7" hidden="1">
      <c r="A422" t="s">
        <v>199</v>
      </c>
      <c r="B422" t="s">
        <v>61</v>
      </c>
      <c r="C422" t="s">
        <v>116</v>
      </c>
      <c r="D422" t="s">
        <v>188</v>
      </c>
      <c r="E422" t="s">
        <v>156</v>
      </c>
      <c r="F422" t="s">
        <v>733</v>
      </c>
      <c r="G422" t="str">
        <f>VLOOKUP(A:A,INVENTÁRIO_07_2025!A:A,1,0)</f>
        <v>SPRDSKPPCGRU09</v>
      </c>
    </row>
    <row r="423" spans="1:7" hidden="1">
      <c r="A423" t="s">
        <v>200</v>
      </c>
      <c r="B423" t="s">
        <v>61</v>
      </c>
      <c r="C423" t="s">
        <v>116</v>
      </c>
      <c r="D423" t="s">
        <v>188</v>
      </c>
      <c r="E423" t="s">
        <v>156</v>
      </c>
      <c r="F423" t="s">
        <v>733</v>
      </c>
      <c r="G423" t="str">
        <f>VLOOKUP(A:A,INVENTÁRIO_07_2025!A:A,1,0)</f>
        <v>SPRDSKPPCGRU10</v>
      </c>
    </row>
    <row r="424" spans="1:7" hidden="1">
      <c r="A424" t="s">
        <v>201</v>
      </c>
      <c r="B424" t="s">
        <v>61</v>
      </c>
      <c r="C424" t="s">
        <v>116</v>
      </c>
      <c r="D424" t="s">
        <v>188</v>
      </c>
      <c r="E424" t="s">
        <v>156</v>
      </c>
      <c r="F424" t="s">
        <v>733</v>
      </c>
      <c r="G424" t="str">
        <f>VLOOKUP(A:A,INVENTÁRIO_07_2025!A:A,1,0)</f>
        <v>SPRDSKPPCGRU11</v>
      </c>
    </row>
    <row r="425" spans="1:7" hidden="1">
      <c r="A425" t="s">
        <v>202</v>
      </c>
      <c r="B425" t="s">
        <v>61</v>
      </c>
      <c r="C425" t="s">
        <v>116</v>
      </c>
      <c r="D425" t="s">
        <v>188</v>
      </c>
      <c r="E425" t="s">
        <v>156</v>
      </c>
      <c r="F425" t="s">
        <v>733</v>
      </c>
      <c r="G425" t="str">
        <f>VLOOKUP(A:A,INVENTÁRIO_07_2025!A:A,1,0)</f>
        <v>SPRDSKPPCGRU12</v>
      </c>
    </row>
    <row r="426" spans="1:7" hidden="1">
      <c r="A426" t="s">
        <v>203</v>
      </c>
      <c r="B426" t="s">
        <v>61</v>
      </c>
      <c r="C426" t="s">
        <v>116</v>
      </c>
      <c r="D426" t="s">
        <v>188</v>
      </c>
      <c r="E426" t="s">
        <v>156</v>
      </c>
      <c r="F426" t="s">
        <v>733</v>
      </c>
      <c r="G426" t="str">
        <f>VLOOKUP(A:A,INVENTÁRIO_07_2025!A:A,1,0)</f>
        <v>SPRDSKPPCGRU13</v>
      </c>
    </row>
    <row r="427" spans="1:7" hidden="1">
      <c r="A427" t="s">
        <v>204</v>
      </c>
      <c r="B427" t="s">
        <v>61</v>
      </c>
      <c r="C427" t="s">
        <v>116</v>
      </c>
      <c r="D427" t="s">
        <v>188</v>
      </c>
      <c r="E427" t="s">
        <v>156</v>
      </c>
      <c r="F427" t="s">
        <v>733</v>
      </c>
      <c r="G427" t="str">
        <f>VLOOKUP(A:A,INVENTÁRIO_07_2025!A:A,1,0)</f>
        <v>SPRDSKPPCGRU14</v>
      </c>
    </row>
    <row r="428" spans="1:7" hidden="1">
      <c r="A428" t="s">
        <v>730</v>
      </c>
      <c r="B428" t="s">
        <v>50</v>
      </c>
      <c r="C428" t="s">
        <v>116</v>
      </c>
      <c r="D428" t="s">
        <v>188</v>
      </c>
      <c r="E428" t="s">
        <v>156</v>
      </c>
      <c r="F428" t="s">
        <v>733</v>
      </c>
      <c r="G428" t="e">
        <f>VLOOKUP(A:A,INVENTÁRIO_07_2025!A:A,1,0)</f>
        <v>#N/A</v>
      </c>
    </row>
    <row r="429" spans="1:7" hidden="1">
      <c r="A429" t="s">
        <v>205</v>
      </c>
      <c r="B429" t="s">
        <v>61</v>
      </c>
      <c r="C429" t="s">
        <v>116</v>
      </c>
      <c r="D429" t="s">
        <v>188</v>
      </c>
      <c r="E429" t="s">
        <v>156</v>
      </c>
      <c r="F429" t="s">
        <v>733</v>
      </c>
      <c r="G429" t="str">
        <f>VLOOKUP(A:A,INVENTÁRIO_07_2025!A:A,1,0)</f>
        <v>SPRDSKPPCGRU15</v>
      </c>
    </row>
    <row r="430" spans="1:7" hidden="1">
      <c r="A430" t="s">
        <v>731</v>
      </c>
      <c r="B430" t="s">
        <v>61</v>
      </c>
      <c r="C430" t="s">
        <v>116</v>
      </c>
      <c r="D430" t="s">
        <v>188</v>
      </c>
      <c r="E430" t="s">
        <v>156</v>
      </c>
      <c r="F430" t="s">
        <v>733</v>
      </c>
      <c r="G430" t="e">
        <f>VLOOKUP(A:A,INVENTÁRIO_07_2025!A:A,1,0)</f>
        <v>#N/A</v>
      </c>
    </row>
    <row r="431" spans="1:7" hidden="1">
      <c r="A431" t="s">
        <v>206</v>
      </c>
      <c r="B431" t="s">
        <v>61</v>
      </c>
      <c r="C431" t="s">
        <v>116</v>
      </c>
      <c r="D431" t="s">
        <v>188</v>
      </c>
      <c r="E431" t="s">
        <v>156</v>
      </c>
      <c r="F431" t="s">
        <v>733</v>
      </c>
      <c r="G431" t="str">
        <f>VLOOKUP(A:A,INVENTÁRIO_07_2025!A:A,1,0)</f>
        <v>SPRDSKPPCGRU16</v>
      </c>
    </row>
    <row r="432" spans="1:7" hidden="1">
      <c r="A432" t="s">
        <v>513</v>
      </c>
      <c r="B432" t="s">
        <v>61</v>
      </c>
      <c r="C432" t="s">
        <v>51</v>
      </c>
      <c r="D432" t="s">
        <v>278</v>
      </c>
      <c r="E432" t="s">
        <v>156</v>
      </c>
      <c r="F432" t="s">
        <v>733</v>
      </c>
      <c r="G432" t="str">
        <f>VLOOKUP(A:A,INVENTÁRIO_07_2025!A:A,1,0)</f>
        <v>SPRDSKQRCGRU01</v>
      </c>
    </row>
    <row r="433" spans="1:7" hidden="1">
      <c r="A433" t="s">
        <v>738</v>
      </c>
      <c r="B433" t="s">
        <v>50</v>
      </c>
      <c r="C433" t="s">
        <v>51</v>
      </c>
      <c r="D433" t="s">
        <v>278</v>
      </c>
      <c r="E433" t="s">
        <v>156</v>
      </c>
      <c r="F433" t="s">
        <v>327</v>
      </c>
      <c r="G433" t="e">
        <f>VLOOKUP(A:A,INVENTÁRIO_07_2025!A:A,1,0)</f>
        <v>#N/A</v>
      </c>
    </row>
    <row r="434" spans="1:7" hidden="1">
      <c r="A434" t="s">
        <v>257</v>
      </c>
      <c r="B434" t="s">
        <v>61</v>
      </c>
      <c r="C434" t="s">
        <v>116</v>
      </c>
      <c r="D434" t="s">
        <v>136</v>
      </c>
      <c r="E434" t="s">
        <v>156</v>
      </c>
      <c r="F434" t="s">
        <v>733</v>
      </c>
      <c r="G434" t="str">
        <f>VLOOKUP(A:A,INVENTÁRIO_07_2025!A:A,1,0)</f>
        <v>SPRDSKSQLGRU01</v>
      </c>
    </row>
    <row r="435" spans="1:7" hidden="1">
      <c r="A435" t="s">
        <v>258</v>
      </c>
      <c r="B435" t="s">
        <v>61</v>
      </c>
      <c r="C435" t="s">
        <v>116</v>
      </c>
      <c r="D435" t="s">
        <v>136</v>
      </c>
      <c r="E435" t="s">
        <v>156</v>
      </c>
      <c r="F435" t="s">
        <v>733</v>
      </c>
      <c r="G435" t="str">
        <f>VLOOKUP(A:A,INVENTÁRIO_07_2025!A:A,1,0)</f>
        <v>SPRDSQL021</v>
      </c>
    </row>
    <row r="436" spans="1:7" hidden="1">
      <c r="A436" t="s">
        <v>402</v>
      </c>
      <c r="B436" t="s">
        <v>50</v>
      </c>
      <c r="C436" t="s">
        <v>116</v>
      </c>
      <c r="D436" t="s">
        <v>163</v>
      </c>
      <c r="E436" t="s">
        <v>156</v>
      </c>
      <c r="F436" t="s">
        <v>327</v>
      </c>
      <c r="G436" t="str">
        <f>VLOOKUP(A:A,INVENTÁRIO_07_2025!A:A,1,0)</f>
        <v>SPRDSQLGRU01_NÂOLIGAR_2024071045001124</v>
      </c>
    </row>
    <row r="437" spans="1:7" hidden="1">
      <c r="A437" t="s">
        <v>403</v>
      </c>
      <c r="B437" t="s">
        <v>61</v>
      </c>
      <c r="C437" t="s">
        <v>116</v>
      </c>
      <c r="D437" t="s">
        <v>117</v>
      </c>
      <c r="E437" t="s">
        <v>156</v>
      </c>
      <c r="F437" t="s">
        <v>327</v>
      </c>
      <c r="G437" t="str">
        <f>VLOOKUP(A:A,INVENTÁRIO_07_2025!A:A,1,0)</f>
        <v>SPRDSQLGRU02</v>
      </c>
    </row>
    <row r="438" spans="1:7" hidden="1">
      <c r="A438" t="s">
        <v>404</v>
      </c>
      <c r="B438" t="s">
        <v>61</v>
      </c>
      <c r="C438" t="s">
        <v>116</v>
      </c>
      <c r="D438" t="s">
        <v>117</v>
      </c>
      <c r="E438" t="s">
        <v>156</v>
      </c>
      <c r="F438" t="s">
        <v>327</v>
      </c>
      <c r="G438" t="str">
        <f>VLOOKUP(A:A,INVENTÁRIO_07_2025!A:A,1,0)</f>
        <v>SPRDSQLGRU07</v>
      </c>
    </row>
    <row r="439" spans="1:7" hidden="1">
      <c r="A439" t="s">
        <v>125</v>
      </c>
      <c r="B439" t="s">
        <v>61</v>
      </c>
      <c r="C439" t="s">
        <v>116</v>
      </c>
      <c r="D439" t="s">
        <v>126</v>
      </c>
      <c r="E439" t="s">
        <v>53</v>
      </c>
      <c r="F439" t="s">
        <v>63</v>
      </c>
      <c r="G439" t="str">
        <f>VLOOKUP(A:A,INVENTÁRIO_07_2025!A:A,1,0)</f>
        <v>SPRDSQLGRU10</v>
      </c>
    </row>
    <row r="440" spans="1:7" hidden="1">
      <c r="A440" t="s">
        <v>127</v>
      </c>
      <c r="B440" t="s">
        <v>50</v>
      </c>
      <c r="C440" t="s">
        <v>116</v>
      </c>
      <c r="D440" t="s">
        <v>126</v>
      </c>
      <c r="E440" t="s">
        <v>53</v>
      </c>
      <c r="F440" t="s">
        <v>67</v>
      </c>
      <c r="G440" t="str">
        <f>VLOOKUP(A:A,INVENTÁRIO_07_2025!A:A,1,0)</f>
        <v>SPRDSQLGRU11</v>
      </c>
    </row>
    <row r="441" spans="1:7" hidden="1">
      <c r="A441" t="s">
        <v>260</v>
      </c>
      <c r="B441" t="s">
        <v>61</v>
      </c>
      <c r="C441" t="s">
        <v>116</v>
      </c>
      <c r="D441" t="s">
        <v>136</v>
      </c>
      <c r="E441" t="s">
        <v>156</v>
      </c>
      <c r="F441" t="s">
        <v>733</v>
      </c>
      <c r="G441" t="str">
        <f>VLOOKUP(A:A,INVENTÁRIO_07_2025!A:A,1,0)</f>
        <v>SPRDSQLLGGRU02</v>
      </c>
    </row>
    <row r="442" spans="1:7" hidden="1">
      <c r="A442" t="s">
        <v>152</v>
      </c>
      <c r="B442" t="s">
        <v>61</v>
      </c>
      <c r="C442" t="s">
        <v>116</v>
      </c>
      <c r="D442" t="s">
        <v>153</v>
      </c>
      <c r="E442" t="s">
        <v>53</v>
      </c>
      <c r="F442" t="s">
        <v>56</v>
      </c>
      <c r="G442" t="str">
        <f>VLOOKUP(A:A,INVENTÁRIO_07_2025!A:A,1,0)</f>
        <v>SPRDTSQGRU01</v>
      </c>
    </row>
    <row r="443" spans="1:7" hidden="1">
      <c r="A443" t="s">
        <v>152</v>
      </c>
      <c r="B443" t="s">
        <v>61</v>
      </c>
      <c r="C443" t="s">
        <v>116</v>
      </c>
      <c r="D443" t="s">
        <v>153</v>
      </c>
      <c r="E443" t="s">
        <v>156</v>
      </c>
      <c r="F443" t="s">
        <v>733</v>
      </c>
      <c r="G443" t="str">
        <f>VLOOKUP(A:A,INVENTÁRIO_07_2025!A:A,1,0)</f>
        <v>SPRDTSQGRU01</v>
      </c>
    </row>
    <row r="444" spans="1:7" hidden="1">
      <c r="A444" t="s">
        <v>508</v>
      </c>
      <c r="B444" t="s">
        <v>61</v>
      </c>
      <c r="C444" t="s">
        <v>116</v>
      </c>
      <c r="D444" t="s">
        <v>153</v>
      </c>
      <c r="E444" t="s">
        <v>156</v>
      </c>
      <c r="F444" t="s">
        <v>733</v>
      </c>
      <c r="G444" t="str">
        <f>VLOOKUP(A:A,INVENTÁRIO_07_2025!A:A,1,0)</f>
        <v>SPRDTSQGRU02</v>
      </c>
    </row>
    <row r="445" spans="1:7" hidden="1">
      <c r="A445" t="s">
        <v>261</v>
      </c>
      <c r="B445" t="s">
        <v>61</v>
      </c>
      <c r="C445" t="s">
        <v>116</v>
      </c>
      <c r="D445" t="s">
        <v>136</v>
      </c>
      <c r="E445" t="s">
        <v>156</v>
      </c>
      <c r="F445" t="s">
        <v>733</v>
      </c>
      <c r="G445" t="str">
        <f>VLOOKUP(A:A,INVENTÁRIO_07_2025!A:A,1,0)</f>
        <v>SPRDVCAMSGRU01</v>
      </c>
    </row>
    <row r="446" spans="1:7" hidden="1">
      <c r="A446" t="s">
        <v>262</v>
      </c>
      <c r="B446" t="s">
        <v>61</v>
      </c>
      <c r="C446" t="s">
        <v>116</v>
      </c>
      <c r="D446" t="s">
        <v>136</v>
      </c>
      <c r="E446" t="s">
        <v>156</v>
      </c>
      <c r="F446" t="s">
        <v>733</v>
      </c>
      <c r="G446" t="str">
        <f>VLOOKUP(A:A,INVENTÁRIO_07_2025!A:A,1,0)</f>
        <v>SPRDVCAMSGRU02</v>
      </c>
    </row>
    <row r="447" spans="1:7" hidden="1">
      <c r="A447" t="s">
        <v>263</v>
      </c>
      <c r="B447" t="s">
        <v>61</v>
      </c>
      <c r="C447" t="s">
        <v>116</v>
      </c>
      <c r="D447" t="s">
        <v>136</v>
      </c>
      <c r="E447" t="s">
        <v>156</v>
      </c>
      <c r="F447" t="s">
        <v>733</v>
      </c>
      <c r="G447" t="str">
        <f>VLOOKUP(A:A,INVENTÁRIO_07_2025!A:A,1,0)</f>
        <v>SPRDVCAPVGRU01</v>
      </c>
    </row>
    <row r="448" spans="1:7" hidden="1">
      <c r="A448" t="s">
        <v>238</v>
      </c>
      <c r="B448" t="s">
        <v>61</v>
      </c>
      <c r="C448" t="s">
        <v>116</v>
      </c>
      <c r="D448" t="s">
        <v>136</v>
      </c>
      <c r="E448" t="s">
        <v>156</v>
      </c>
      <c r="F448" t="s">
        <v>733</v>
      </c>
      <c r="G448" t="str">
        <f>VLOOKUP(A:A,INVENTÁRIO_07_2025!A:A,1,0)</f>
        <v>SPRDVCBKPGRU01</v>
      </c>
    </row>
    <row r="449" spans="1:7">
      <c r="A449" t="s">
        <v>275</v>
      </c>
      <c r="B449" t="s">
        <v>61</v>
      </c>
      <c r="C449" t="s">
        <v>51</v>
      </c>
      <c r="D449" t="s">
        <v>276</v>
      </c>
      <c r="E449" t="s">
        <v>156</v>
      </c>
      <c r="F449" t="s">
        <v>733</v>
      </c>
      <c r="G449" t="str">
        <f>VLOOKUP(A:A,INVENTÁRIO_07_2025!A:A,1,0)</f>
        <v>SPRDVCCHOGRU01</v>
      </c>
    </row>
    <row r="450" spans="1:7" hidden="1">
      <c r="A450" t="s">
        <v>239</v>
      </c>
      <c r="B450" t="s">
        <v>61</v>
      </c>
      <c r="C450" t="s">
        <v>116</v>
      </c>
      <c r="D450" t="s">
        <v>136</v>
      </c>
      <c r="E450" t="s">
        <v>156</v>
      </c>
      <c r="F450" t="s">
        <v>733</v>
      </c>
      <c r="G450" t="str">
        <f>VLOOKUP(A:A,INVENTÁRIO_07_2025!A:A,1,0)</f>
        <v>SPRDVCHSEGRU03</v>
      </c>
    </row>
    <row r="451" spans="1:7" hidden="1">
      <c r="A451" t="s">
        <v>510</v>
      </c>
      <c r="B451" t="s">
        <v>61</v>
      </c>
      <c r="C451" t="s">
        <v>116</v>
      </c>
      <c r="D451" t="s">
        <v>136</v>
      </c>
      <c r="E451" t="s">
        <v>156</v>
      </c>
      <c r="F451" t="s">
        <v>327</v>
      </c>
      <c r="G451" t="str">
        <f>VLOOKUP(A:A,INVENTÁRIO_07_2025!A:A,1,0)</f>
        <v>SPRDVCHSEGRU04</v>
      </c>
    </row>
    <row r="452" spans="1:7" hidden="1">
      <c r="A452" t="s">
        <v>511</v>
      </c>
      <c r="B452" t="s">
        <v>61</v>
      </c>
      <c r="C452" t="s">
        <v>116</v>
      </c>
      <c r="D452" t="s">
        <v>136</v>
      </c>
      <c r="E452" t="s">
        <v>156</v>
      </c>
      <c r="F452" t="s">
        <v>327</v>
      </c>
      <c r="G452" t="str">
        <f>VLOOKUP(A:A,INVENTÁRIO_07_2025!A:A,1,0)</f>
        <v>SPRDVCHSEGRU05</v>
      </c>
    </row>
    <row r="453" spans="1:7" hidden="1">
      <c r="A453" t="s">
        <v>264</v>
      </c>
      <c r="B453" t="s">
        <v>61</v>
      </c>
      <c r="C453" t="s">
        <v>116</v>
      </c>
      <c r="D453" t="s">
        <v>136</v>
      </c>
      <c r="E453" t="s">
        <v>156</v>
      </c>
      <c r="F453" t="s">
        <v>733</v>
      </c>
      <c r="G453" t="str">
        <f>VLOOKUP(A:A,INVENTÁRIO_07_2025!A:A,1,0)</f>
        <v>SPRDVCRMQGRU01</v>
      </c>
    </row>
    <row r="454" spans="1:7" hidden="1">
      <c r="A454" t="s">
        <v>265</v>
      </c>
      <c r="B454" t="s">
        <v>61</v>
      </c>
      <c r="C454" t="s">
        <v>116</v>
      </c>
      <c r="D454" t="s">
        <v>136</v>
      </c>
      <c r="E454" t="s">
        <v>156</v>
      </c>
      <c r="F454" t="s">
        <v>733</v>
      </c>
      <c r="G454" t="str">
        <f>VLOOKUP(A:A,INVENTÁRIO_07_2025!A:A,1,0)</f>
        <v>SPRDVCRPTGRU01</v>
      </c>
    </row>
    <row r="455" spans="1:7" hidden="1">
      <c r="A455" t="s">
        <v>282</v>
      </c>
      <c r="B455" t="s">
        <v>61</v>
      </c>
      <c r="C455" t="s">
        <v>51</v>
      </c>
      <c r="D455" t="s">
        <v>283</v>
      </c>
      <c r="E455" t="s">
        <v>156</v>
      </c>
      <c r="F455" t="s">
        <v>733</v>
      </c>
      <c r="G455" t="str">
        <f>VLOOKUP(A:A,INVENTÁRIO_07_2025!A:A,1,0)</f>
        <v>sprdvcsagru01</v>
      </c>
    </row>
    <row r="456" spans="1:7" hidden="1">
      <c r="A456" t="s">
        <v>266</v>
      </c>
      <c r="B456" t="s">
        <v>50</v>
      </c>
      <c r="C456" t="s">
        <v>116</v>
      </c>
      <c r="D456" t="s">
        <v>247</v>
      </c>
      <c r="E456" t="s">
        <v>156</v>
      </c>
      <c r="F456" t="s">
        <v>733</v>
      </c>
      <c r="G456" t="str">
        <f>VLOOKUP(A:A,INVENTÁRIO_07_2025!A:A,1,0)</f>
        <v>SPRDVCSQLGRU06</v>
      </c>
    </row>
    <row r="457" spans="1:7" hidden="1">
      <c r="A457" t="s">
        <v>267</v>
      </c>
      <c r="B457" t="s">
        <v>61</v>
      </c>
      <c r="C457" t="s">
        <v>116</v>
      </c>
      <c r="D457" t="s">
        <v>136</v>
      </c>
      <c r="E457" t="s">
        <v>156</v>
      </c>
      <c r="F457" t="s">
        <v>733</v>
      </c>
      <c r="G457" t="str">
        <f>VLOOKUP(A:A,INVENTÁRIO_07_2025!A:A,1,0)</f>
        <v>SPRDVCSQLGRU07</v>
      </c>
    </row>
    <row r="458" spans="1:7" hidden="1">
      <c r="A458" t="s">
        <v>268</v>
      </c>
      <c r="B458" t="s">
        <v>61</v>
      </c>
      <c r="C458" t="s">
        <v>116</v>
      </c>
      <c r="D458" t="s">
        <v>136</v>
      </c>
      <c r="E458" t="s">
        <v>156</v>
      </c>
      <c r="F458" t="s">
        <v>733</v>
      </c>
      <c r="G458" t="str">
        <f>VLOOKUP(A:A,INVENTÁRIO_07_2025!A:A,1,0)</f>
        <v>SPRDVCWEBGRU01</v>
      </c>
    </row>
    <row r="459" spans="1:7" hidden="1">
      <c r="A459" t="s">
        <v>269</v>
      </c>
      <c r="B459" t="s">
        <v>61</v>
      </c>
      <c r="C459" t="s">
        <v>116</v>
      </c>
      <c r="D459" t="s">
        <v>136</v>
      </c>
      <c r="E459" t="s">
        <v>156</v>
      </c>
      <c r="F459" t="s">
        <v>733</v>
      </c>
      <c r="G459" t="str">
        <f>VLOOKUP(A:A,INVENTÁRIO_07_2025!A:A,1,0)</f>
        <v>SPRDVCWEBGRU02</v>
      </c>
    </row>
    <row r="460" spans="1:7" hidden="1">
      <c r="A460" t="s">
        <v>60</v>
      </c>
      <c r="B460" t="s">
        <v>61</v>
      </c>
      <c r="C460" t="s">
        <v>51</v>
      </c>
      <c r="D460" t="s">
        <v>62</v>
      </c>
      <c r="E460" t="s">
        <v>53</v>
      </c>
      <c r="F460" t="s">
        <v>63</v>
      </c>
      <c r="G460" t="str">
        <f>VLOOKUP(A:A,INVENTÁRIO_07_2025!A:A,1,0)</f>
        <v>SPRDVMGRU01</v>
      </c>
    </row>
    <row r="461" spans="1:7" hidden="1">
      <c r="A461" t="s">
        <v>64</v>
      </c>
      <c r="B461" t="s">
        <v>61</v>
      </c>
      <c r="C461" t="s">
        <v>51</v>
      </c>
      <c r="D461" t="s">
        <v>62</v>
      </c>
      <c r="E461" t="s">
        <v>53</v>
      </c>
      <c r="F461" t="s">
        <v>63</v>
      </c>
      <c r="G461" t="str">
        <f>VLOOKUP(A:A,INVENTÁRIO_07_2025!A:A,1,0)</f>
        <v>SPRDVMGRU02</v>
      </c>
    </row>
    <row r="462" spans="1:7" hidden="1">
      <c r="A462" t="s">
        <v>66</v>
      </c>
      <c r="B462" t="s">
        <v>61</v>
      </c>
      <c r="C462" t="s">
        <v>51</v>
      </c>
      <c r="D462" t="s">
        <v>62</v>
      </c>
      <c r="E462" t="s">
        <v>53</v>
      </c>
      <c r="F462" t="s">
        <v>67</v>
      </c>
      <c r="G462" t="str">
        <f>VLOOKUP(A:A,INVENTÁRIO_07_2025!A:A,1,0)</f>
        <v>SPRDVMGRU03</v>
      </c>
    </row>
    <row r="463" spans="1:7" hidden="1">
      <c r="A463" t="s">
        <v>68</v>
      </c>
      <c r="B463" t="s">
        <v>61</v>
      </c>
      <c r="C463" t="s">
        <v>51</v>
      </c>
      <c r="D463" t="s">
        <v>62</v>
      </c>
      <c r="E463" t="s">
        <v>53</v>
      </c>
      <c r="F463" t="s">
        <v>67</v>
      </c>
      <c r="G463" t="str">
        <f>VLOOKUP(A:A,INVENTÁRIO_07_2025!A:A,1,0)</f>
        <v>SPRDVMGRU04</v>
      </c>
    </row>
    <row r="464" spans="1:7" hidden="1">
      <c r="A464" t="s">
        <v>65</v>
      </c>
      <c r="B464" t="s">
        <v>61</v>
      </c>
      <c r="C464" t="s">
        <v>51</v>
      </c>
      <c r="D464" t="s">
        <v>62</v>
      </c>
      <c r="E464" t="s">
        <v>53</v>
      </c>
      <c r="F464" t="s">
        <v>63</v>
      </c>
      <c r="G464" t="str">
        <f>VLOOKUP(A:A,INVENTÁRIO_07_2025!A:A,1,0)</f>
        <v>SPRDVMGRU05</v>
      </c>
    </row>
    <row r="465" spans="1:7" hidden="1">
      <c r="A465" t="s">
        <v>69</v>
      </c>
      <c r="B465" t="s">
        <v>61</v>
      </c>
      <c r="C465" t="s">
        <v>51</v>
      </c>
      <c r="D465" t="s">
        <v>62</v>
      </c>
      <c r="E465" t="s">
        <v>53</v>
      </c>
      <c r="F465" t="s">
        <v>67</v>
      </c>
      <c r="G465" t="str">
        <f>VLOOKUP(A:A,INVENTÁRIO_07_2025!A:A,1,0)</f>
        <v>SPRDVMGRU06</v>
      </c>
    </row>
    <row r="466" spans="1:7" hidden="1">
      <c r="A466" t="s">
        <v>70</v>
      </c>
      <c r="B466" t="s">
        <v>61</v>
      </c>
      <c r="C466" t="s">
        <v>51</v>
      </c>
      <c r="D466" t="s">
        <v>62</v>
      </c>
      <c r="E466" t="s">
        <v>53</v>
      </c>
      <c r="F466" t="s">
        <v>56</v>
      </c>
      <c r="G466" t="str">
        <f>VLOOKUP(A:A,INVENTÁRIO_07_2025!A:A,1,0)</f>
        <v>SPRDVMSAPGRU01</v>
      </c>
    </row>
    <row r="467" spans="1:7" hidden="1">
      <c r="A467" t="s">
        <v>71</v>
      </c>
      <c r="B467" t="s">
        <v>61</v>
      </c>
      <c r="C467" t="s">
        <v>51</v>
      </c>
      <c r="D467" t="s">
        <v>62</v>
      </c>
      <c r="E467" t="s">
        <v>53</v>
      </c>
      <c r="F467" t="s">
        <v>56</v>
      </c>
      <c r="G467" t="str">
        <f>VLOOKUP(A:A,INVENTÁRIO_07_2025!A:A,1,0)</f>
        <v>SPRDVMSAPGRU02</v>
      </c>
    </row>
    <row r="468" spans="1:7" hidden="1">
      <c r="A468" t="s">
        <v>72</v>
      </c>
      <c r="B468" t="s">
        <v>61</v>
      </c>
      <c r="C468" t="s">
        <v>51</v>
      </c>
      <c r="D468" t="s">
        <v>62</v>
      </c>
      <c r="E468" t="s">
        <v>53</v>
      </c>
      <c r="F468" t="s">
        <v>58</v>
      </c>
      <c r="G468" t="str">
        <f>VLOOKUP(A:A,INVENTÁRIO_07_2025!A:A,1,0)</f>
        <v>SPRDVMSAPGRU03</v>
      </c>
    </row>
    <row r="469" spans="1:7" hidden="1">
      <c r="A469" t="s">
        <v>73</v>
      </c>
      <c r="B469" t="s">
        <v>61</v>
      </c>
      <c r="C469" t="s">
        <v>51</v>
      </c>
      <c r="D469" t="s">
        <v>62</v>
      </c>
      <c r="E469" t="s">
        <v>53</v>
      </c>
      <c r="F469" t="s">
        <v>58</v>
      </c>
      <c r="G469" t="str">
        <f>VLOOKUP(A:A,INVENTÁRIO_07_2025!A:A,1,0)</f>
        <v>SPRDVMSAPGRU04</v>
      </c>
    </row>
    <row r="470" spans="1:7">
      <c r="A470" t="s">
        <v>287</v>
      </c>
      <c r="B470" t="s">
        <v>61</v>
      </c>
      <c r="C470" t="s">
        <v>51</v>
      </c>
      <c r="D470" t="s">
        <v>288</v>
      </c>
      <c r="E470" t="s">
        <v>156</v>
      </c>
      <c r="F470" t="s">
        <v>733</v>
      </c>
      <c r="G470" t="str">
        <f>VLOOKUP(A:A,INVENTÁRIO_07_2025!A:A,1,0)</f>
        <v>sprdvxrmgru01</v>
      </c>
    </row>
    <row r="471" spans="1:7" hidden="1">
      <c r="A471" t="s">
        <v>240</v>
      </c>
      <c r="B471" t="s">
        <v>61</v>
      </c>
      <c r="C471" t="s">
        <v>116</v>
      </c>
      <c r="D471" t="s">
        <v>136</v>
      </c>
      <c r="E471" t="s">
        <v>156</v>
      </c>
      <c r="F471" t="s">
        <v>733</v>
      </c>
      <c r="G471" t="str">
        <f>VLOOKUP(A:A,INVENTÁRIO_07_2025!A:A,1,0)</f>
        <v>SPRDWBBENGRU01</v>
      </c>
    </row>
    <row r="472" spans="1:7" hidden="1">
      <c r="A472" t="s">
        <v>684</v>
      </c>
      <c r="B472" t="s">
        <v>61</v>
      </c>
      <c r="C472" t="s">
        <v>116</v>
      </c>
      <c r="D472" t="s">
        <v>572</v>
      </c>
      <c r="E472" t="s">
        <v>156</v>
      </c>
      <c r="F472" t="s">
        <v>733</v>
      </c>
      <c r="G472" t="str">
        <f>VLOOKUP(A:A,INVENTÁRIO_07_2025!A:A,1,0)</f>
        <v>SPRDWSUSGRU01</v>
      </c>
    </row>
    <row r="473" spans="1:7">
      <c r="A473" t="s">
        <v>320</v>
      </c>
      <c r="B473" t="s">
        <v>61</v>
      </c>
      <c r="C473" t="s">
        <v>51</v>
      </c>
      <c r="D473" t="s">
        <v>114</v>
      </c>
      <c r="E473" t="s">
        <v>156</v>
      </c>
      <c r="F473" t="s">
        <v>733</v>
      </c>
      <c r="G473" t="str">
        <f>VLOOKUP(A:A,INVENTÁRIO_07_2025!A:A,1,0)</f>
        <v>SPRDZBGRU01</v>
      </c>
    </row>
    <row r="474" spans="1:7">
      <c r="A474" t="s">
        <v>321</v>
      </c>
      <c r="B474" t="s">
        <v>61</v>
      </c>
      <c r="C474" t="s">
        <v>51</v>
      </c>
      <c r="D474" t="s">
        <v>114</v>
      </c>
      <c r="E474" t="s">
        <v>156</v>
      </c>
      <c r="F474" t="s">
        <v>733</v>
      </c>
      <c r="G474" t="str">
        <f>VLOOKUP(A:A,INVENTÁRIO_07_2025!A:A,1,0)</f>
        <v>SPRDZBGRU02</v>
      </c>
    </row>
    <row r="475" spans="1:7">
      <c r="A475" t="s">
        <v>322</v>
      </c>
      <c r="B475" t="s">
        <v>61</v>
      </c>
      <c r="C475" t="s">
        <v>51</v>
      </c>
      <c r="D475" t="s">
        <v>114</v>
      </c>
      <c r="E475" t="s">
        <v>156</v>
      </c>
      <c r="F475" t="s">
        <v>733</v>
      </c>
      <c r="G475" t="str">
        <f>VLOOKUP(A:A,INVENTÁRIO_07_2025!A:A,1,0)</f>
        <v>SPRDZBGRU03</v>
      </c>
    </row>
    <row r="476" spans="1:7">
      <c r="A476" t="s">
        <v>732</v>
      </c>
      <c r="B476" t="s">
        <v>61</v>
      </c>
      <c r="C476" t="s">
        <v>51</v>
      </c>
      <c r="D476" t="s">
        <v>114</v>
      </c>
      <c r="E476" t="s">
        <v>156</v>
      </c>
      <c r="F476" t="s">
        <v>733</v>
      </c>
      <c r="G476" t="e">
        <f>VLOOKUP(A:A,INVENTÁRIO_07_2025!A:A,1,0)</f>
        <v>#N/A</v>
      </c>
    </row>
    <row r="477" spans="1:7">
      <c r="A477" t="s">
        <v>323</v>
      </c>
      <c r="B477" t="s">
        <v>61</v>
      </c>
      <c r="C477" t="s">
        <v>51</v>
      </c>
      <c r="D477" t="s">
        <v>114</v>
      </c>
      <c r="E477" t="s">
        <v>156</v>
      </c>
      <c r="F477" t="s">
        <v>733</v>
      </c>
      <c r="G477" t="str">
        <f>VLOOKUP(A:A,INVENTÁRIO_07_2025!A:A,1,0)</f>
        <v>SPRDZBGRU04</v>
      </c>
    </row>
    <row r="478" spans="1:7">
      <c r="A478" t="s">
        <v>324</v>
      </c>
      <c r="B478" t="s">
        <v>61</v>
      </c>
      <c r="C478" t="s">
        <v>51</v>
      </c>
      <c r="D478" t="s">
        <v>114</v>
      </c>
      <c r="E478" t="s">
        <v>156</v>
      </c>
      <c r="F478" t="s">
        <v>733</v>
      </c>
      <c r="G478" t="str">
        <f>VLOOKUP(A:A,INVENTÁRIO_07_2025!A:A,1,0)</f>
        <v>SPRDZBGRU05</v>
      </c>
    </row>
    <row r="479" spans="1:7" hidden="1">
      <c r="A479" t="s">
        <v>527</v>
      </c>
      <c r="B479" t="s">
        <v>61</v>
      </c>
      <c r="C479" t="s">
        <v>51</v>
      </c>
      <c r="D479" t="s">
        <v>85</v>
      </c>
      <c r="E479" t="s">
        <v>156</v>
      </c>
      <c r="F479" t="s">
        <v>327</v>
      </c>
      <c r="G479" t="str">
        <f>VLOOKUP(A:A,INVENTÁRIO_07_2025!A:A,1,0)</f>
        <v>SQASAPECGRU01</v>
      </c>
    </row>
    <row r="480" spans="1:7" hidden="1">
      <c r="A480" t="s">
        <v>171</v>
      </c>
      <c r="B480" t="s">
        <v>61</v>
      </c>
      <c r="C480" t="s">
        <v>116</v>
      </c>
      <c r="D480" t="s">
        <v>122</v>
      </c>
      <c r="E480" t="s">
        <v>156</v>
      </c>
      <c r="F480" t="s">
        <v>733</v>
      </c>
      <c r="G480" t="str">
        <f>VLOOKUP(A:A,INVENTÁRIO_07_2025!A:A,1,0)</f>
        <v>SSERV1-GRU</v>
      </c>
    </row>
    <row r="481" spans="1:7" hidden="1">
      <c r="A481" t="s">
        <v>407</v>
      </c>
      <c r="B481" t="s">
        <v>61</v>
      </c>
      <c r="C481" t="s">
        <v>116</v>
      </c>
      <c r="D481" t="s">
        <v>163</v>
      </c>
      <c r="E481" t="s">
        <v>156</v>
      </c>
      <c r="F481" t="s">
        <v>327</v>
      </c>
      <c r="G481" t="str">
        <f>VLOOKUP(A:A,INVENTÁRIO_07_2025!A:A,1,0)</f>
        <v>SSHAREPOINT2-GRU</v>
      </c>
    </row>
    <row r="482" spans="1:7" hidden="1">
      <c r="A482" t="s">
        <v>454</v>
      </c>
      <c r="B482" t="s">
        <v>61</v>
      </c>
      <c r="C482" t="s">
        <v>116</v>
      </c>
      <c r="D482" t="s">
        <v>126</v>
      </c>
      <c r="E482" t="s">
        <v>156</v>
      </c>
      <c r="F482" t="s">
        <v>327</v>
      </c>
      <c r="G482" t="str">
        <f>VLOOKUP(A:A,INVENTÁRIO_07_2025!A:A,1,0)</f>
        <v>STESAPCLLGRU01</v>
      </c>
    </row>
    <row r="483" spans="1:7" hidden="1">
      <c r="A483" t="s">
        <v>408</v>
      </c>
      <c r="B483" t="s">
        <v>61</v>
      </c>
      <c r="C483" t="s">
        <v>116</v>
      </c>
      <c r="D483" t="s">
        <v>117</v>
      </c>
      <c r="E483" t="s">
        <v>156</v>
      </c>
      <c r="F483" t="s">
        <v>327</v>
      </c>
      <c r="G483" t="str">
        <f>VLOOKUP(A:A,INVENTÁRIO_07_2025!A:A,1,0)</f>
        <v>STESAPPVGRU01</v>
      </c>
    </row>
    <row r="484" spans="1:7" hidden="1">
      <c r="A484" t="s">
        <v>343</v>
      </c>
      <c r="B484" t="s">
        <v>61</v>
      </c>
      <c r="C484" t="s">
        <v>116</v>
      </c>
      <c r="D484" t="s">
        <v>341</v>
      </c>
      <c r="E484" t="s">
        <v>156</v>
      </c>
      <c r="F484" t="s">
        <v>327</v>
      </c>
      <c r="G484" t="str">
        <f>VLOOKUP(A:A,INVENTÁRIO_07_2025!A:A,1,0)</f>
        <v>SVEDI2-GRU</v>
      </c>
    </row>
    <row r="485" spans="1:7">
      <c r="A485" t="s">
        <v>739</v>
      </c>
      <c r="B485" t="s">
        <v>61</v>
      </c>
      <c r="C485" t="s">
        <v>51</v>
      </c>
      <c r="D485" t="s">
        <v>111</v>
      </c>
      <c r="E485" t="s">
        <v>53</v>
      </c>
      <c r="F485" t="s">
        <v>560</v>
      </c>
    </row>
  </sheetData>
  <autoFilter ref="A1:F485">
    <filterColumn colId="0">
      <filters>
        <filter val="PRDRMADS02"/>
        <filter val="SPRDAPBIGRU01"/>
        <filter val="SPRDAPBIGRU02"/>
        <filter val="SPRDAPCCPRGRU01"/>
        <filter val="SPRDAPCCPRGRU02"/>
        <filter val="SPRDAPCMSGRU02"/>
        <filter val="SPRDAPCMSGRU04"/>
        <filter val="SPRDAPCMSGRU05"/>
        <filter val="SPRDAPCMSGRU07"/>
        <filter val="SPRDAPCMSGRU08"/>
        <filter val="SPRDAPCMSM01"/>
        <filter val="SPRDAPCMSP01"/>
        <filter val="SPRDAPCMSP02"/>
        <filter val="SPRDAPCMSP03"/>
        <filter val="SPRDAPCMSW01"/>
        <filter val="SPRDAPCMSW02"/>
        <filter val="SPRDAPCUPSGRU03"/>
        <filter val="SPRDAPCUPSGRU04"/>
        <filter val="SPRDAPDIPGRU01"/>
        <filter val="SPRDAPDPCGRU01"/>
        <filter val="SPRDAPDSMGRU01"/>
        <filter val="SPRDAPECCGRU07"/>
        <filter val="SPRDAPECGRU01"/>
        <filter val="SPRDAPECGRU02"/>
        <filter val="SPRDAPECGRU03"/>
        <filter val="SPRDAPECGRU04"/>
        <filter val="SPRDAPECGRU05"/>
        <filter val="SPRDAPECGRU06"/>
        <filter val="SPRDAPGFNGRU02"/>
        <filter val="SPRDAPGLPIGRU01"/>
        <filter val="SPRDAPGLPIGRU02"/>
        <filter val="SPRDAPGRFGRU01"/>
        <filter val="SPRDAPIHSGRU01"/>
        <filter val="SPRDAPIHSGRU02"/>
        <filter val="SPRDAPIHSGRU03"/>
        <filter val="SPRDAPINSGRU01"/>
        <filter val="SPRDAPIPAMGRU01"/>
        <filter val="SPRDAPITSMGRU01"/>
        <filter val="SPRDAPLOGSGRU01"/>
        <filter val="SPRDAPMISP01"/>
        <filter val="SPRDAPNAGGRU01"/>
        <filter val="SPRDAPNBKGRU01"/>
        <filter val="SPRDAPNFSGRU01"/>
        <filter val="SPRDAPNMCGRU01"/>
        <filter val="SPRDAPNTWSGRU01"/>
        <filter val="SPRDAPOCSGRU01"/>
        <filter val="SPRDAPPIGRU01"/>
        <filter val="SPRDAPPIGRU02"/>
        <filter val="SPRDAPPOSTGRU01"/>
        <filter val="SPRDAPPRMGRU01"/>
        <filter val="SPRDAPRMAGRU01"/>
        <filter val="SPRDAPRMAGRU02"/>
        <filter val="SPRDAPRMAGRU03"/>
        <filter val="SPRDAPRMAGRU04"/>
        <filter val="SPRDAPRMAGRU05"/>
        <filter val="SPRDAPRPGRU09"/>
        <filter val="SPRDAPRPGRU10"/>
        <filter val="SPRDAPRPGRU12"/>
        <filter val="SPRDAPRPGRU13"/>
        <filter val="SPRDAPRPGRU14"/>
        <filter val="SPRDAPRPGRU15"/>
        <filter val="SPRDAPSMGRU01"/>
        <filter val="SPRDAPSMGRU02"/>
        <filter val="SPRDAPSPGGRU01"/>
        <filter val="SPRDAPSQBGRU01"/>
        <filter val="SPRDAPSSAGRU01"/>
        <filter val="SPRDAPSSGRU01"/>
        <filter val="SPRDAPSSGRU02"/>
        <filter val="SPRDAPSSHGRU01"/>
        <filter val="SPRDAPSSP0200"/>
        <filter val="SPRDAPTSGRU05"/>
        <filter val="SPRDAPVPRGRU01"/>
        <filter val="SPRDAPVPRGRU02"/>
        <filter val="SPRDAPVPRGRU03"/>
        <filter val="SPRDAPVPRGRU04"/>
        <filter val="SPRDAPVPRGRU05"/>
        <filter val="SPRDAPVPRGRU06"/>
        <filter val="SPRDAPVPRGRU07"/>
        <filter val="SPRDBDDACGRU01"/>
        <filter val="SPRDBDITSMGRU01"/>
        <filter val="SPRDBDORAGRU03"/>
        <filter val="SPRDBDORAGRU04"/>
        <filter val="SPRDBDORAGRU05"/>
        <filter val="SPRDBDORAGRU09"/>
        <filter val="SPRDBDORAGRU11"/>
        <filter val="SPRDBDORAGRU12"/>
        <filter val="SPRDBDORAGRU13"/>
        <filter val="SPRDBDOTRSGRU01"/>
        <filter val="SPRDBDSPGGRU01"/>
        <filter val="SPRDMONGRU01"/>
        <filter val="SPRDMYSQLGRU02"/>
        <filter val="SPRDMYSQLGRU03"/>
        <filter val="SPRDNTDGRU03"/>
        <filter val="SPRDOTRSGRU01"/>
        <filter val="SPRDPRXEGTGRU01"/>
        <filter val="SPRDPRXEGTGRU02"/>
        <filter val="SPRDSAPNASGRU01"/>
        <filter val="SPRDSCANVUL01"/>
        <filter val="SPRDSIEM01"/>
        <filter val="SPRDSIEM02"/>
        <filter val="SPRDSKINTGRU01"/>
        <filter val="SPRDSTNGRU01"/>
        <filter val="SPRDVCCHOGRU01"/>
        <filter val="sprdvxrmgru01"/>
        <filter val="SPRDZBGRU01"/>
        <filter val="SPRDZBGRU02"/>
        <filter val="SPRDZBGRU03"/>
        <filter val="SPRDZBGRU03_RESTORE_TESTE"/>
        <filter val="SPRDZBGRU04"/>
        <filter val="SPRDZBGRU05"/>
      </filters>
    </filterColumn>
    <filterColumn colId="1">
      <filters>
        <filter val="poweredOn"/>
      </filters>
    </filterColumn>
    <filterColumn colId="2">
      <filters>
        <filter val="Linux"/>
      </filters>
    </filterColumn>
    <filterColumn colId="3">
      <filters>
        <filter val="CentOS 4/5 or later (64-bit)"/>
        <filter val="Centos 7"/>
        <filter val="CentOS 7 (64-bit)"/>
        <filter val="Debian GNU/Linux 10 (64-bit)"/>
        <filter val="Debian GNU/Linux 11 (64-bit)"/>
        <filter val="FreeBSD (64-bit)"/>
        <filter val="Oracle Linux 9 (64-bit)"/>
        <filter val="RedHat 5"/>
        <filter val="RedHat 6"/>
        <filter val="RedHat 7"/>
        <filter val="RedHat 8"/>
        <filter val="RedHat 9"/>
        <filter val="SUSE Linux Enterprise 12 (64-bit)"/>
        <filter val="SUSE Linux Enterprise 15 (64-bit)"/>
        <filter val="Ubuntu 24"/>
        <filter val="Ubuntu Linux (64-bit)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DA7F11BFF8348A281123FA759489B" ma:contentTypeVersion="18" ma:contentTypeDescription="Create a new document." ma:contentTypeScope="" ma:versionID="55960894e9b9eca623b501acff1d77a1">
  <xsd:schema xmlns:xsd="http://www.w3.org/2001/XMLSchema" xmlns:xs="http://www.w3.org/2001/XMLSchema" xmlns:p="http://schemas.microsoft.com/office/2006/metadata/properties" xmlns:ns2="7a85f6cd-20e2-4f4b-a58b-48e6cf62fddf" xmlns:ns3="71dd692b-de43-4715-84c1-c9a20cc2277a" targetNamespace="http://schemas.microsoft.com/office/2006/metadata/properties" ma:root="true" ma:fieldsID="352f121306374fb6fb8bd532b32e72a9" ns2:_="" ns3:_="">
    <xsd:import namespace="7a85f6cd-20e2-4f4b-a58b-48e6cf62fddf"/>
    <xsd:import namespace="71dd692b-de43-4715-84c1-c9a20cc22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5f6cd-20e2-4f4b-a58b-48e6cf62fd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9d7919-2225-45b9-be17-ee3f4662be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d692b-de43-4715-84c1-c9a20cc2277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308206-48b0-4e59-90f9-94ae004952ae}" ma:internalName="TaxCatchAll" ma:showField="CatchAllData" ma:web="71dd692b-de43-4715-84c1-c9a20cc22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dd692b-de43-4715-84c1-c9a20cc2277a" xsi:nil="true"/>
    <lcf76f155ced4ddcb4097134ff3c332f xmlns="7a85f6cd-20e2-4f4b-a58b-48e6cf62fd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8489D6-0ADD-489D-B80D-9DB8511C3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25AA98-F9E1-41A3-BD11-70175C01C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85f6cd-20e2-4f4b-a58b-48e6cf62fddf"/>
    <ds:schemaRef ds:uri="71dd692b-de43-4715-84c1-c9a20cc22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110AB0-86DC-4983-8701-D8A6929772FC}">
  <ds:schemaRefs>
    <ds:schemaRef ds:uri="http://purl.org/dc/elements/1.1/"/>
    <ds:schemaRef ds:uri="71dd692b-de43-4715-84c1-c9a20cc2277a"/>
    <ds:schemaRef ds:uri="http://schemas.microsoft.com/office/2006/documentManagement/types"/>
    <ds:schemaRef ds:uri="http://www.w3.org/XML/1998/namespace"/>
    <ds:schemaRef ds:uri="http://purl.org/dc/terms/"/>
    <ds:schemaRef ds:uri="7a85f6cd-20e2-4f4b-a58b-48e6cf62fdd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DASHBOARD_01_205</vt:lpstr>
      <vt:lpstr>INVENTÁRIO_01_2025</vt:lpstr>
      <vt:lpstr>DASHBOARD_03_205</vt:lpstr>
      <vt:lpstr>INVENTÁRIO_03_2025</vt:lpstr>
      <vt:lpstr>DASHBOARD_04_2025</vt:lpstr>
      <vt:lpstr>INVENTÁRIO_04_2025</vt:lpstr>
      <vt:lpstr>DASHBOARD_05_2025</vt:lpstr>
      <vt:lpstr>INVENTÁRIO_05_2025</vt:lpstr>
      <vt:lpstr>DASHBOARD_06_2025</vt:lpstr>
      <vt:lpstr>INVENTÁRIO_06_2025</vt:lpstr>
      <vt:lpstr>DASHBOARD_07_2025</vt:lpstr>
      <vt:lpstr>INVENTÁRIO_07_2025</vt:lpstr>
      <vt:lpstr>DASHBOARD_08_2025</vt:lpstr>
      <vt:lpstr>INVENTÁRIO_08_2025</vt:lpstr>
      <vt:lpstr>DASHBOARD_09_2025</vt:lpstr>
      <vt:lpstr>INVENTÁRIO_09_2025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 Pereira Santiago</dc:creator>
  <cp:keywords/>
  <dc:description/>
  <cp:lastModifiedBy>Evandro Pereira Santiago</cp:lastModifiedBy>
  <cp:revision/>
  <dcterms:created xsi:type="dcterms:W3CDTF">2024-09-09T17:39:40Z</dcterms:created>
  <dcterms:modified xsi:type="dcterms:W3CDTF">2025-09-26T14:54:16Z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0x0101006E7DA7F11BFF8348A281123FA759489B</vt:lpwstr>
  </property>
  <property fmtid="{D5CDD505-2E9C-101B-9397-08002B2CF9AE}" pid="3" name="MediaServiceImageTags">
    <vt:lpwstr/>
  </property>
</Properties>
</file>