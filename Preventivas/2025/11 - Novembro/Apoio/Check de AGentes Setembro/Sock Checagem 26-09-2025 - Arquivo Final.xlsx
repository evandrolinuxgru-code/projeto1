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9 - Setembro\"/>
    </mc:Choice>
  </mc:AlternateContent>
  <bookViews>
    <workbookView xWindow="0" yWindow="0" windowWidth="23040" windowHeight="9072"/>
  </bookViews>
  <sheets>
    <sheet name="SOC CHeck" sheetId="1" r:id="rId1"/>
    <sheet name="Qualys" sheetId="6" r:id="rId2"/>
    <sheet name="Sentinel" sheetId="3" r:id="rId3"/>
    <sheet name="Elastic" sheetId="4" r:id="rId4"/>
  </sheets>
  <definedNames>
    <definedName name="_xlnm._FilterDatabase" localSheetId="1" hidden="1">Qualys!$A$1:$A$92</definedName>
    <definedName name="_xlnm._FilterDatabase" localSheetId="0" hidden="1">'SOC CHeck'!$A$1:$E$101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7" i="1"/>
  <c r="D88" i="1"/>
  <c r="D89" i="1"/>
  <c r="D90" i="1"/>
  <c r="D91" i="1"/>
  <c r="D93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9" i="1"/>
  <c r="B80" i="1"/>
  <c r="B81" i="1"/>
  <c r="B82" i="1"/>
  <c r="B83" i="1"/>
  <c r="B84" i="1"/>
  <c r="B85" i="1"/>
  <c r="B87" i="1"/>
  <c r="B88" i="1"/>
  <c r="B89" i="1"/>
  <c r="B90" i="1"/>
  <c r="B91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<sst xmlns="http://schemas.openxmlformats.org/spreadsheetml/2006/main" count="525" uniqueCount="165">
  <si>
    <t>SPRDAPDIPGRU01</t>
  </si>
  <si>
    <t>SPRDBDDACGRU01</t>
  </si>
  <si>
    <t>SPRDAPRPGRU12</t>
  </si>
  <si>
    <t>SPRDAPRPGRU13</t>
  </si>
  <si>
    <t>SPRDAPIHSGRU03</t>
  </si>
  <si>
    <t>SPRDAPIHSGRU02</t>
  </si>
  <si>
    <t>SPRDAPIHSGRU01</t>
  </si>
  <si>
    <t>SPRDAPRPGRU10</t>
  </si>
  <si>
    <t>SPRDAPRMAGRU04</t>
  </si>
  <si>
    <t>SPRDAPRPGRU09</t>
  </si>
  <si>
    <t>SPRDAPRPGRU14</t>
  </si>
  <si>
    <t>SPRDAPRPGRU15</t>
  </si>
  <si>
    <t>SPRDAPVPRGRU06</t>
  </si>
  <si>
    <t>SPRDAPVPRGRU05</t>
  </si>
  <si>
    <t>SPRDAPVPRGRU04</t>
  </si>
  <si>
    <t>SPRDAPVPRGRU03</t>
  </si>
  <si>
    <t>SPRDAPVPRGRU02</t>
  </si>
  <si>
    <t>SPRDAPVPRGRU01</t>
  </si>
  <si>
    <t>SPRDAPNMCGRU01</t>
  </si>
  <si>
    <t>SPRDAPNTWSGRU01</t>
  </si>
  <si>
    <t>SPRDAPGLPIGRU02</t>
  </si>
  <si>
    <t>SPRDAPGLPIGRU01</t>
  </si>
  <si>
    <t>SPRDBDORAGRU03</t>
  </si>
  <si>
    <t>SPRDAPPRMGRU01</t>
  </si>
  <si>
    <t>SPRDAPGRFGRU01</t>
  </si>
  <si>
    <t>SPRDAPRMAGRU05</t>
  </si>
  <si>
    <t>SPRDAPRMAGRU03</t>
  </si>
  <si>
    <t>SPRDAPRMAGRU02</t>
  </si>
  <si>
    <t>SPRDAPRMAGRU01</t>
  </si>
  <si>
    <t>SPRDAPCMSGRU07</t>
  </si>
  <si>
    <t>SPRDBDORAGRU05</t>
  </si>
  <si>
    <t>SPRDBDORAGRU04</t>
  </si>
  <si>
    <t>SPRDAPCMSGRU05</t>
  </si>
  <si>
    <t>SPRDAPCMSGRU04</t>
  </si>
  <si>
    <t>SPRDAPCMSGRU02</t>
  </si>
  <si>
    <t>SPRDBDORAGRU12</t>
  </si>
  <si>
    <t>SPRDAPNFSGRU01</t>
  </si>
  <si>
    <t>PRDRMADS02</t>
  </si>
  <si>
    <t>SPRDOTRSGRU01</t>
  </si>
  <si>
    <t>SPRDMONGRU01</t>
  </si>
  <si>
    <t>SPRDMYSQLGRU03</t>
  </si>
  <si>
    <t>SPRDBDOTRSGRU02</t>
  </si>
  <si>
    <t>SPRDAPLOGSGRU01</t>
  </si>
  <si>
    <t>SPRDAPNBKGRU01</t>
  </si>
  <si>
    <t>SPRDAPCUPSGRU04</t>
  </si>
  <si>
    <t>SPRDAPCUPSGRU03</t>
  </si>
  <si>
    <t>SPRDSAPNASGRU01</t>
  </si>
  <si>
    <t>SPRDAPCMSGRU08</t>
  </si>
  <si>
    <t>SPRDAPSSHGRU01</t>
  </si>
  <si>
    <t>SPRDAPBIGRU02</t>
  </si>
  <si>
    <t>SPRDAPPIGRU02</t>
  </si>
  <si>
    <t>SPRDAPECGRU06</t>
  </si>
  <si>
    <t>SPRDAPECGRU05</t>
  </si>
  <si>
    <t>SPRDAPECGRU04</t>
  </si>
  <si>
    <t>SPRDBDOTRSGRU01</t>
  </si>
  <si>
    <t>SPRDAPBIGRU01</t>
  </si>
  <si>
    <t>SPRDAPPIGRU01</t>
  </si>
  <si>
    <t>SPRDAPECGRU03</t>
  </si>
  <si>
    <t>SPRDAPECGRU02</t>
  </si>
  <si>
    <t>SPRDAPECGRU01</t>
  </si>
  <si>
    <t>SPRDAPSMGRU02</t>
  </si>
  <si>
    <t>SPRDAPSMGRU01</t>
  </si>
  <si>
    <t>SPRDAPCCPRGRU02</t>
  </si>
  <si>
    <t>SPRDAPCCPRGRU01</t>
  </si>
  <si>
    <t>SPRDAPPOSTGRU01</t>
  </si>
  <si>
    <t>SPRDSIEM02</t>
  </si>
  <si>
    <t>SPRDSIEM01</t>
  </si>
  <si>
    <t>SPRDNTDGRU03</t>
  </si>
  <si>
    <t>SPRDMYSQLGRU02</t>
  </si>
  <si>
    <t>SPRDAPOCSGRU01</t>
  </si>
  <si>
    <t>SPRDAPGFNGRU02</t>
  </si>
  <si>
    <t>SPRDZBGRU05</t>
  </si>
  <si>
    <t>SPRDZBGRU04</t>
  </si>
  <si>
    <t>SPRDZBGRU03</t>
  </si>
  <si>
    <t>SPRDZBGRU02</t>
  </si>
  <si>
    <t>SPRDZBGRU01</t>
  </si>
  <si>
    <t>Qualys</t>
  </si>
  <si>
    <t>Sentinel</t>
  </si>
  <si>
    <t>Elastic</t>
  </si>
  <si>
    <t>SUATBDORAGRU01</t>
  </si>
  <si>
    <t>SHOMRMAGRU05</t>
  </si>
  <si>
    <t>SHOMRMAGRU01</t>
  </si>
  <si>
    <t>SHOMAPRMAGRU02</t>
  </si>
  <si>
    <t>SHOMRMAGRU03</t>
  </si>
  <si>
    <t>SENHASEGURA_ARBRITO</t>
  </si>
  <si>
    <t>SHOMBDMOOGRU01</t>
  </si>
  <si>
    <t>SHOMRMAGRU04</t>
  </si>
  <si>
    <t>SPRDVCCHOGRU01</t>
  </si>
  <si>
    <t>SHOMAPCMSGRU01</t>
  </si>
  <si>
    <t>SHOMWBCMSGRU01</t>
  </si>
  <si>
    <t>SDESAPNWGRU01</t>
  </si>
  <si>
    <t>SHOMAPCMSGRU11</t>
  </si>
  <si>
    <t>SHOMAPBISCCGRU01</t>
  </si>
  <si>
    <t>SHOMAPIHSGRU02</t>
  </si>
  <si>
    <t>SHOMAPNFSGRU01</t>
  </si>
  <si>
    <t>SHOMAPCMSGRU02</t>
  </si>
  <si>
    <t>SHOMBDOTRSGRU01</t>
  </si>
  <si>
    <t>SHOMRMAGRU02</t>
  </si>
  <si>
    <t>SHOMAPMOOGRU01</t>
  </si>
  <si>
    <t>SHOMAPCMSGRU03</t>
  </si>
  <si>
    <t>Servidores de Produção</t>
  </si>
  <si>
    <t>SPRDAPSSAGRU01</t>
  </si>
  <si>
    <t>SPRDAPSSP0200</t>
  </si>
  <si>
    <t>SPRDAPCMSM01</t>
  </si>
  <si>
    <t>SPRDAPCMSP01</t>
  </si>
  <si>
    <t>SPRDAPCMSP02</t>
  </si>
  <si>
    <t>SPRDAPCMSP03</t>
  </si>
  <si>
    <t>SPRDAPCMSW01</t>
  </si>
  <si>
    <t>SPRDAPCMSW02</t>
  </si>
  <si>
    <t>SPRDAPDPCGRU01</t>
  </si>
  <si>
    <t>SPRDAPECCGRU07</t>
  </si>
  <si>
    <t>SPRDAPIPAMGRU01</t>
  </si>
  <si>
    <t>SPRDAPITSMGRU01</t>
  </si>
  <si>
    <t>SPRDAPMISP01</t>
  </si>
  <si>
    <t>SPRDAPSPGGRU01</t>
  </si>
  <si>
    <t>SPRDAPSQBGRU01</t>
  </si>
  <si>
    <t>SPRDAPSSGRU01</t>
  </si>
  <si>
    <t>SPRDAPSSGRU02</t>
  </si>
  <si>
    <t>SPRDAPTSGRU05</t>
  </si>
  <si>
    <t>SPRDAPVPRGRU07</t>
  </si>
  <si>
    <t>SPRDBDITSMGRU01</t>
  </si>
  <si>
    <t>SPRDBDORAGRU13</t>
  </si>
  <si>
    <t>SPRDBDSPGGRU01</t>
  </si>
  <si>
    <t>SPRDPRXEGTGRU01</t>
  </si>
  <si>
    <t>SPRDPRXEGTGRU02</t>
  </si>
  <si>
    <t>SHOMAPCUPSGRU01</t>
  </si>
  <si>
    <t>SHOMAPGPROGRU01</t>
  </si>
  <si>
    <t>SHOMAPPOSTGRU01</t>
  </si>
  <si>
    <t>SHOMAPREPGRU01</t>
  </si>
  <si>
    <t>SHOMBDOTRSGRU02</t>
  </si>
  <si>
    <t>SPRDAPECGRU07</t>
  </si>
  <si>
    <t>SPRDAPOTRSGRU02</t>
  </si>
  <si>
    <t>SHOMAPGRFGRU02</t>
  </si>
  <si>
    <t>SHOMAPIHSGRU01</t>
  </si>
  <si>
    <t>SHOMAPOTRSGRU01</t>
  </si>
  <si>
    <t>SHOMAPPRMGRU01</t>
  </si>
  <si>
    <t>SHOMAPPHPIGRU01</t>
  </si>
  <si>
    <t>TEMPLATE-REDHAT9.4</t>
  </si>
  <si>
    <t>SDQBDORAGRU02</t>
  </si>
  <si>
    <t>SHOMAPGRFGRU01</t>
  </si>
  <si>
    <t>SHOMAPGLPIGRU02</t>
  </si>
  <si>
    <t>SHOMAPGLPIGRU01</t>
  </si>
  <si>
    <t>SPBDORAGRU11</t>
  </si>
  <si>
    <t>SDEVAPECGRU01</t>
  </si>
  <si>
    <t>SDQBDORAGRU01</t>
  </si>
  <si>
    <t>SQASAPECGRU01</t>
  </si>
  <si>
    <t>DACDB-GRU</t>
  </si>
  <si>
    <t>SPBDORAGRU09</t>
  </si>
  <si>
    <t>SHOMBDORAGRU02</t>
  </si>
  <si>
    <t>SHOMBDORAGRU01</t>
  </si>
  <si>
    <t>NAME</t>
  </si>
  <si>
    <t>Observação</t>
  </si>
  <si>
    <t>ok</t>
  </si>
  <si>
    <t>RedHat 6 Não Suporta Elastic</t>
  </si>
  <si>
    <t>Sem Acesso, Policia Federal</t>
  </si>
  <si>
    <t>Instalação ok, pendente liberar firewall</t>
  </si>
  <si>
    <t>Rede Isolada</t>
  </si>
  <si>
    <t>Servidor excluido/desativado</t>
  </si>
  <si>
    <t>Sem acesso, sistema de SI</t>
  </si>
  <si>
    <t>Sem acesso, pendente verificação</t>
  </si>
  <si>
    <t xml:space="preserve">Elastic instalado </t>
  </si>
  <si>
    <t>Impossivel proteger, RedHat 5</t>
  </si>
  <si>
    <t>ok, servidor renomeado</t>
  </si>
  <si>
    <t>Hostname alterado</t>
  </si>
  <si>
    <t>Qualys 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</si>
</sst>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F1" sqref="F1"/>
    </sheetView>
  </sheetViews>
  <sheetFormatPr defaultRowHeight="14.4" x14ac:dyDescent="0.3"/>
  <cols>
    <col min="1" max="1" width="22.6640625" customWidth="1"/>
    <col min="2" max="3" width="18.21875" bestFit="1" customWidth="1"/>
    <col min="4" max="4" width="33.77734375" customWidth="1"/>
    <col min="5" max="5" width="39.88671875" customWidth="1"/>
  </cols>
  <sheetData>
    <row r="1" spans="1:5" x14ac:dyDescent="0.3">
      <c r="A1" s="2" t="s">
        <v>100</v>
      </c>
      <c r="B1" s="2" t="s">
        <v>76</v>
      </c>
      <c r="C1" s="2" t="s">
        <v>77</v>
      </c>
      <c r="D1" s="2" t="s">
        <v>78</v>
      </c>
      <c r="E1" s="2" t="s">
        <v>151</v>
      </c>
    </row>
    <row r="2" spans="1:5" x14ac:dyDescent="0.3">
      <c r="A2" t="s">
        <v>6</v>
      </c>
      <c r="B2" t="str">
        <f>VLOOKUP(A:A,Qualys!A:A,1,0)</f>
        <v>SPRDAPIHSGRU01</v>
      </c>
      <c r="C2" t="str">
        <f>VLOOKUP(A:A,Sentinel!A:A,1,0)</f>
        <v>SPRDAPIHSGRU01</v>
      </c>
      <c r="D2" t="str">
        <f>VLOOKUP(A:A,Elastic!A:A,1,0)</f>
        <v>SPRDAPIHSGRU01</v>
      </c>
      <c r="E2" t="s">
        <v>152</v>
      </c>
    </row>
    <row r="3" spans="1:5" x14ac:dyDescent="0.3">
      <c r="A3" t="s">
        <v>5</v>
      </c>
      <c r="B3" t="str">
        <f>VLOOKUP(A:A,Qualys!A:A,1,0)</f>
        <v>SPRDAPIHSGRU02</v>
      </c>
      <c r="C3" t="str">
        <f>VLOOKUP(A:A,Sentinel!A:A,1,0)</f>
        <v>SPRDAPIHSGRU02</v>
      </c>
      <c r="D3" t="str">
        <f>VLOOKUP(A:A,Elastic!A:A,1,0)</f>
        <v>SPRDAPIHSGRU02</v>
      </c>
      <c r="E3" t="s">
        <v>152</v>
      </c>
    </row>
    <row r="4" spans="1:5" x14ac:dyDescent="0.3">
      <c r="A4" t="s">
        <v>55</v>
      </c>
      <c r="B4" t="str">
        <f>VLOOKUP(A:A,Qualys!A:A,1,0)</f>
        <v>SPRDAPBIGRU01</v>
      </c>
      <c r="C4" t="str">
        <f>VLOOKUP(A:A,Sentinel!A:A,1,0)</f>
        <v>SPRDAPBIGRU01</v>
      </c>
      <c r="D4" t="e">
        <f>VLOOKUP(A:A,Elastic!A:A,1,0)</f>
        <v>#N/A</v>
      </c>
      <c r="E4" t="s">
        <v>153</v>
      </c>
    </row>
    <row r="5" spans="1:5" x14ac:dyDescent="0.3">
      <c r="A5" t="s">
        <v>49</v>
      </c>
      <c r="B5" t="str">
        <f>VLOOKUP(A:A,Qualys!A:A,1,0)</f>
        <v>SPRDAPBIGRU02</v>
      </c>
      <c r="C5" t="str">
        <f>VLOOKUP(A:A,Sentinel!A:A,1,0)</f>
        <v>SPRDAPBIGRU02</v>
      </c>
      <c r="D5" t="e">
        <f>VLOOKUP(A:A,Elastic!A:A,1,0)</f>
        <v>#N/A</v>
      </c>
      <c r="E5" t="s">
        <v>153</v>
      </c>
    </row>
    <row r="6" spans="1:5" x14ac:dyDescent="0.3">
      <c r="A6" t="s">
        <v>42</v>
      </c>
      <c r="B6" t="str">
        <f>VLOOKUP(A:A,Qualys!A:A,1,0)</f>
        <v>SPRDAPLOGSGRU01</v>
      </c>
      <c r="C6" t="str">
        <f>VLOOKUP(A:A,Sentinel!A:A,1,0)</f>
        <v>SPRDAPLOGSGRU01</v>
      </c>
      <c r="D6" t="str">
        <f>VLOOKUP(A:A,Elastic!A:A,1,0)</f>
        <v>SPRDAPLOGSGRU01</v>
      </c>
      <c r="E6" t="s">
        <v>152</v>
      </c>
    </row>
    <row r="7" spans="1:5" x14ac:dyDescent="0.3">
      <c r="A7" t="s">
        <v>102</v>
      </c>
      <c r="B7" t="e">
        <f>VLOOKUP(A:A,Qualys!A:A,1,0)</f>
        <v>#N/A</v>
      </c>
      <c r="C7" t="e">
        <f>VLOOKUP(A:A,Sentinel!A:A,1,0)</f>
        <v>#N/A</v>
      </c>
      <c r="D7" t="e">
        <f>VLOOKUP(A:A,Elastic!A:A,1,0)</f>
        <v>#N/A</v>
      </c>
      <c r="E7" t="s">
        <v>154</v>
      </c>
    </row>
    <row r="8" spans="1:5" x14ac:dyDescent="0.3">
      <c r="A8" t="s">
        <v>34</v>
      </c>
      <c r="B8" t="str">
        <f>VLOOKUP(A:A,Qualys!A:A,1,0)</f>
        <v>SPRDAPCMSGRU02</v>
      </c>
      <c r="C8" t="str">
        <f>VLOOKUP(A:A,Sentinel!A:A,1,0)</f>
        <v>SPRDAPCMSGRU02</v>
      </c>
      <c r="D8" t="e">
        <f>VLOOKUP(A:A,Elastic!A:A,1,0)</f>
        <v>#N/A</v>
      </c>
      <c r="E8" t="s">
        <v>153</v>
      </c>
    </row>
    <row r="9" spans="1:5" x14ac:dyDescent="0.3">
      <c r="A9" t="s">
        <v>33</v>
      </c>
      <c r="B9" t="str">
        <f>VLOOKUP(A:A,Qualys!A:A,1,0)</f>
        <v>SPRDAPCMSGRU04</v>
      </c>
      <c r="C9" t="str">
        <f>VLOOKUP(A:A,Sentinel!A:A,1,0)</f>
        <v>SPRDAPCMSGRU04</v>
      </c>
      <c r="D9" t="e">
        <f>VLOOKUP(A:A,Elastic!A:A,1,0)</f>
        <v>#N/A</v>
      </c>
      <c r="E9" t="s">
        <v>153</v>
      </c>
    </row>
    <row r="10" spans="1:5" x14ac:dyDescent="0.3">
      <c r="A10" t="s">
        <v>32</v>
      </c>
      <c r="B10" t="str">
        <f>VLOOKUP(A:A,Qualys!A:A,1,0)</f>
        <v>SPRDAPCMSGRU05</v>
      </c>
      <c r="C10" t="str">
        <f>VLOOKUP(A:A,Sentinel!A:A,1,0)</f>
        <v>SPRDAPCMSGRU05</v>
      </c>
      <c r="D10" t="e">
        <f>VLOOKUP(A:A,Elastic!A:A,1,0)</f>
        <v>#N/A</v>
      </c>
      <c r="E10" t="s">
        <v>153</v>
      </c>
    </row>
    <row r="11" spans="1:5" x14ac:dyDescent="0.3">
      <c r="A11" t="s">
        <v>35</v>
      </c>
      <c r="B11" t="str">
        <f>VLOOKUP(A:A,Qualys!A:A,1,0)</f>
        <v>SPRDBDORAGRU12</v>
      </c>
      <c r="C11" t="str">
        <f>VLOOKUP(A:A,Sentinel!A:A,1,0)</f>
        <v>SPRDBDORAGRU12</v>
      </c>
      <c r="D11" t="str">
        <f>VLOOKUP(A:A,Elastic!A:A,1,0)</f>
        <v>SPRDBDORAGRU12</v>
      </c>
      <c r="E11" t="s">
        <v>152</v>
      </c>
    </row>
    <row r="12" spans="1:5" x14ac:dyDescent="0.3">
      <c r="A12" t="s">
        <v>29</v>
      </c>
      <c r="B12" t="str">
        <f>VLOOKUP(A:A,Qualys!A:A,1,0)</f>
        <v>SPRDAPCMSGRU07</v>
      </c>
      <c r="C12" t="str">
        <f>VLOOKUP(A:A,Sentinel!A:A,1,0)</f>
        <v>SPRDAPCMSGRU07</v>
      </c>
      <c r="D12" t="str">
        <f>VLOOKUP(A:A,Elastic!A:A,1,0)</f>
        <v>SPRDAPCMSGRU07</v>
      </c>
      <c r="E12" t="s">
        <v>152</v>
      </c>
    </row>
    <row r="13" spans="1:5" x14ac:dyDescent="0.3">
      <c r="A13" t="s">
        <v>37</v>
      </c>
      <c r="B13" t="str">
        <f>VLOOKUP(A:A,Qualys!A:A,1,0)</f>
        <v>PRDRMADS02</v>
      </c>
      <c r="C13" t="str">
        <f>VLOOKUP(A:A,Sentinel!A:A,1,0)</f>
        <v>PRDRMADS02</v>
      </c>
      <c r="D13" t="str">
        <f>VLOOKUP(A:A,Elastic!A:A,1,0)</f>
        <v>PRDRMADS02</v>
      </c>
      <c r="E13" t="s">
        <v>152</v>
      </c>
    </row>
    <row r="14" spans="1:5" x14ac:dyDescent="0.3">
      <c r="A14" t="s">
        <v>103</v>
      </c>
      <c r="B14" t="str">
        <f>VLOOKUP(A:A,Qualys!A:A,1,0)</f>
        <v>SPRDAPCMSM01</v>
      </c>
      <c r="C14" t="str">
        <f>VLOOKUP(A:A,Sentinel!A:A,1,0)</f>
        <v>SPRDAPCMSM01</v>
      </c>
      <c r="D14" t="str">
        <f>VLOOKUP(A:A,Elastic!A:A,1,0)</f>
        <v>SPRDAPCMSM01</v>
      </c>
      <c r="E14" t="s">
        <v>152</v>
      </c>
    </row>
    <row r="15" spans="1:5" x14ac:dyDescent="0.3">
      <c r="A15" t="s">
        <v>104</v>
      </c>
      <c r="B15" t="str">
        <f>VLOOKUP(A:A,Qualys!A:A,1,0)</f>
        <v>SPRDAPCMSP01</v>
      </c>
      <c r="C15" t="str">
        <f>VLOOKUP(A:A,Sentinel!A:A,1,0)</f>
        <v>SPRDAPCMSP01</v>
      </c>
      <c r="D15" t="str">
        <f>VLOOKUP(A:A,Elastic!A:A,1,0)</f>
        <v>SPRDAPCMSP01</v>
      </c>
      <c r="E15" t="s">
        <v>152</v>
      </c>
    </row>
    <row r="16" spans="1:5" x14ac:dyDescent="0.3">
      <c r="A16" t="s">
        <v>105</v>
      </c>
      <c r="B16" t="str">
        <f>VLOOKUP(A:A,Qualys!A:A,1,0)</f>
        <v>SPRDAPCMSP02</v>
      </c>
      <c r="C16" t="str">
        <f>VLOOKUP(A:A,Sentinel!A:A,1,0)</f>
        <v>SPRDAPCMSP02</v>
      </c>
      <c r="D16" t="str">
        <f>VLOOKUP(A:A,Elastic!A:A,1,0)</f>
        <v>SPRDAPCMSP02</v>
      </c>
      <c r="E16" t="s">
        <v>152</v>
      </c>
    </row>
    <row r="17" spans="1:5" x14ac:dyDescent="0.3">
      <c r="A17" t="s">
        <v>106</v>
      </c>
      <c r="B17" t="str">
        <f>VLOOKUP(A:A,Qualys!A:A,1,0)</f>
        <v>SPRDAPCMSP03</v>
      </c>
      <c r="C17" t="str">
        <f>VLOOKUP(A:A,Sentinel!A:A,1,0)</f>
        <v>SPRDAPCMSP03</v>
      </c>
      <c r="D17" t="str">
        <f>VLOOKUP(A:A,Elastic!A:A,1,0)</f>
        <v>SPRDAPCMSP03</v>
      </c>
      <c r="E17" t="s">
        <v>152</v>
      </c>
    </row>
    <row r="18" spans="1:5" x14ac:dyDescent="0.3">
      <c r="A18" t="s">
        <v>107</v>
      </c>
      <c r="B18" t="str">
        <f>VLOOKUP(A:A,Qualys!A:A,1,0)</f>
        <v>SPRDAPCMSW01</v>
      </c>
      <c r="C18" t="str">
        <f>VLOOKUP(A:A,Sentinel!A:A,1,0)</f>
        <v>SPRDAPCMSW01</v>
      </c>
      <c r="D18" t="e">
        <f>VLOOKUP(A:A,Elastic!A:A,1,0)</f>
        <v>#N/A</v>
      </c>
      <c r="E18" t="s">
        <v>155</v>
      </c>
    </row>
    <row r="19" spans="1:5" x14ac:dyDescent="0.3">
      <c r="A19" t="s">
        <v>108</v>
      </c>
      <c r="B19" t="str">
        <f>VLOOKUP(A:A,Qualys!A:A,1,0)</f>
        <v>SPRDAPCMSW02</v>
      </c>
      <c r="C19" t="str">
        <f>VLOOKUP(A:A,Sentinel!A:A,1,0)</f>
        <v>SPRDAPCMSW02</v>
      </c>
      <c r="D19" t="str">
        <f>VLOOKUP(A:A,Elastic!A:A,1,0)</f>
        <v>SPRDAPCMSW02</v>
      </c>
      <c r="E19" t="s">
        <v>152</v>
      </c>
    </row>
    <row r="20" spans="1:5" x14ac:dyDescent="0.3">
      <c r="A20" t="s">
        <v>45</v>
      </c>
      <c r="B20" t="str">
        <f>VLOOKUP(A:A,Qualys!A:A,1,0)</f>
        <v>SPRDAPCUPSGRU03</v>
      </c>
      <c r="C20" t="str">
        <f>VLOOKUP(A:A,Sentinel!A:A,1,0)</f>
        <v>SPRDAPCUPSGRU03</v>
      </c>
      <c r="D20" t="str">
        <f>VLOOKUP(A:A,Elastic!A:A,1,0)</f>
        <v>SPRDAPCUPSGRU03</v>
      </c>
      <c r="E20" t="s">
        <v>152</v>
      </c>
    </row>
    <row r="21" spans="1:5" x14ac:dyDescent="0.3">
      <c r="A21" t="s">
        <v>44</v>
      </c>
      <c r="B21" t="str">
        <f>VLOOKUP(A:A,Qualys!A:A,1,0)</f>
        <v>SPRDAPCUPSGRU04</v>
      </c>
      <c r="C21" t="str">
        <f>VLOOKUP(A:A,Sentinel!A:A,1,0)</f>
        <v>SPRDAPCUPSGRU04</v>
      </c>
      <c r="D21" t="e">
        <f>VLOOKUP(A:A,Elastic!A:A,1,0)</f>
        <v>#N/A</v>
      </c>
      <c r="E21" t="s">
        <v>160</v>
      </c>
    </row>
    <row r="22" spans="1:5" x14ac:dyDescent="0.3">
      <c r="A22" t="s">
        <v>0</v>
      </c>
      <c r="B22" t="str">
        <f>VLOOKUP(A:A,Qualys!A:A,1,0)</f>
        <v>SPRDAPDIPGRU01</v>
      </c>
      <c r="C22" t="str">
        <f>VLOOKUP(A:A,Sentinel!A:A,1,0)</f>
        <v>SPRDAPDIPGRU01</v>
      </c>
      <c r="D22" t="str">
        <f>VLOOKUP(A:A,Elastic!A:A,1,0)</f>
        <v>SPRDAPDIPGRU01</v>
      </c>
      <c r="E22" t="s">
        <v>152</v>
      </c>
    </row>
    <row r="23" spans="1:5" x14ac:dyDescent="0.3">
      <c r="A23" t="s">
        <v>109</v>
      </c>
      <c r="B23" t="e">
        <f>VLOOKUP(A:A,Qualys!A:A,1,0)</f>
        <v>#N/A</v>
      </c>
      <c r="C23" t="e">
        <f>VLOOKUP(A:A,Sentinel!A:A,1,0)</f>
        <v>#N/A</v>
      </c>
      <c r="D23" t="e">
        <f>VLOOKUP(A:A,Elastic!A:A,1,0)</f>
        <v>#N/A</v>
      </c>
      <c r="E23" t="s">
        <v>156</v>
      </c>
    </row>
    <row r="24" spans="1:5" x14ac:dyDescent="0.3">
      <c r="A24" t="s">
        <v>110</v>
      </c>
      <c r="B24" t="str">
        <f>VLOOKUP(A:A,Qualys!A:A,1,0)</f>
        <v>SPRDAPECCGRU07</v>
      </c>
      <c r="C24" t="str">
        <f>VLOOKUP(A:A,Sentinel!A:A,1,0)</f>
        <v>SPRDAPECCGRU07</v>
      </c>
      <c r="D24" t="e">
        <f>VLOOKUP(A:A,Elastic!A:A,1,0)</f>
        <v>#N/A</v>
      </c>
      <c r="E24" t="s">
        <v>153</v>
      </c>
    </row>
    <row r="25" spans="1:5" x14ac:dyDescent="0.3">
      <c r="A25" t="s">
        <v>59</v>
      </c>
      <c r="B25" t="str">
        <f>VLOOKUP(A:A,Qualys!A:A,1,0)</f>
        <v>SPRDAPECGRU01</v>
      </c>
      <c r="C25" t="str">
        <f>VLOOKUP(A:A,Sentinel!A:A,1,0)</f>
        <v>SPRDAPECGRU01</v>
      </c>
      <c r="D25" t="e">
        <f>VLOOKUP(A:A,Elastic!A:A,1,0)</f>
        <v>#N/A</v>
      </c>
      <c r="E25" t="s">
        <v>153</v>
      </c>
    </row>
    <row r="26" spans="1:5" x14ac:dyDescent="0.3">
      <c r="A26" t="s">
        <v>58</v>
      </c>
      <c r="B26" t="str">
        <f>VLOOKUP(A:A,Qualys!A:A,1,0)</f>
        <v>SPRDAPECGRU02</v>
      </c>
      <c r="C26" t="str">
        <f>VLOOKUP(A:A,Sentinel!A:A,1,0)</f>
        <v>SPRDAPECGRU02</v>
      </c>
      <c r="D26" t="e">
        <f>VLOOKUP(A:A,Elastic!A:A,1,0)</f>
        <v>#N/A</v>
      </c>
      <c r="E26" t="s">
        <v>153</v>
      </c>
    </row>
    <row r="27" spans="1:5" x14ac:dyDescent="0.3">
      <c r="A27" t="s">
        <v>57</v>
      </c>
      <c r="B27" t="str">
        <f>VLOOKUP(A:A,Qualys!A:A,1,0)</f>
        <v>SPRDAPECGRU03</v>
      </c>
      <c r="C27" t="str">
        <f>VLOOKUP(A:A,Sentinel!A:A,1,0)</f>
        <v>SPRDAPECGRU03</v>
      </c>
      <c r="D27" t="e">
        <f>VLOOKUP(A:A,Elastic!A:A,1,0)</f>
        <v>#N/A</v>
      </c>
      <c r="E27" t="s">
        <v>153</v>
      </c>
    </row>
    <row r="28" spans="1:5" x14ac:dyDescent="0.3">
      <c r="A28" t="s">
        <v>53</v>
      </c>
      <c r="B28" t="str">
        <f>VLOOKUP(A:A,Qualys!A:A,1,0)</f>
        <v>SPRDAPECGRU04</v>
      </c>
      <c r="C28" t="str">
        <f>VLOOKUP(A:A,Sentinel!A:A,1,0)</f>
        <v>SPRDAPECGRU04</v>
      </c>
      <c r="D28" t="e">
        <f>VLOOKUP(A:A,Elastic!A:A,1,0)</f>
        <v>#N/A</v>
      </c>
      <c r="E28" t="s">
        <v>153</v>
      </c>
    </row>
    <row r="29" spans="1:5" x14ac:dyDescent="0.3">
      <c r="A29" t="s">
        <v>52</v>
      </c>
      <c r="B29" t="str">
        <f>VLOOKUP(A:A,Qualys!A:A,1,0)</f>
        <v>SPRDAPECGRU05</v>
      </c>
      <c r="C29" t="str">
        <f>VLOOKUP(A:A,Sentinel!A:A,1,0)</f>
        <v>SPRDAPECGRU05</v>
      </c>
      <c r="D29" t="e">
        <f>VLOOKUP(A:A,Elastic!A:A,1,0)</f>
        <v>#N/A</v>
      </c>
      <c r="E29" t="s">
        <v>153</v>
      </c>
    </row>
    <row r="30" spans="1:5" x14ac:dyDescent="0.3">
      <c r="A30" t="s">
        <v>51</v>
      </c>
      <c r="B30" t="str">
        <f>VLOOKUP(A:A,Qualys!A:A,1,0)</f>
        <v>SPRDAPECGRU06</v>
      </c>
      <c r="C30" t="str">
        <f>VLOOKUP(A:A,Sentinel!A:A,1,0)</f>
        <v>SPRDAPECGRU06</v>
      </c>
      <c r="D30" t="e">
        <f>VLOOKUP(A:A,Elastic!A:A,1,0)</f>
        <v>#N/A</v>
      </c>
      <c r="E30" t="s">
        <v>153</v>
      </c>
    </row>
    <row r="31" spans="1:5" x14ac:dyDescent="0.3">
      <c r="A31" t="s">
        <v>70</v>
      </c>
      <c r="B31" t="str">
        <f>VLOOKUP(A:A,Qualys!A:A,1,0)</f>
        <v>SPRDAPGFNGRU02</v>
      </c>
      <c r="C31" t="str">
        <f>VLOOKUP(A:A,Sentinel!A:A,1,0)</f>
        <v>SPRDAPGFNGRU02</v>
      </c>
      <c r="D31" t="str">
        <f>VLOOKUP(A:A,Elastic!A:A,1,0)</f>
        <v>SPRDAPGFNGRU02</v>
      </c>
      <c r="E31" t="s">
        <v>152</v>
      </c>
    </row>
    <row r="32" spans="1:5" x14ac:dyDescent="0.3">
      <c r="A32" t="s">
        <v>21</v>
      </c>
      <c r="B32" t="str">
        <f>VLOOKUP(A:A,Qualys!A:A,1,0)</f>
        <v>SPRDAPGLPIGRU01</v>
      </c>
      <c r="C32" t="str">
        <f>VLOOKUP(A:A,Sentinel!A:A,1,0)</f>
        <v>SPRDAPGLPIGRU01</v>
      </c>
      <c r="D32" t="str">
        <f>VLOOKUP(A:A,Elastic!A:A,1,0)</f>
        <v>SPRDAPGLPIGRU01</v>
      </c>
      <c r="E32" t="s">
        <v>152</v>
      </c>
    </row>
    <row r="33" spans="1:5" x14ac:dyDescent="0.3">
      <c r="A33" t="s">
        <v>20</v>
      </c>
      <c r="B33" t="str">
        <f>VLOOKUP(A:A,Qualys!A:A,1,0)</f>
        <v>SPRDAPGLPIGRU02</v>
      </c>
      <c r="C33" t="str">
        <f>VLOOKUP(A:A,Sentinel!A:A,1,0)</f>
        <v>SPRDAPGLPIGRU02</v>
      </c>
      <c r="D33" t="str">
        <f>VLOOKUP(A:A,Elastic!A:A,1,0)</f>
        <v>SPRDAPGLPIGRU02</v>
      </c>
      <c r="E33" t="s">
        <v>152</v>
      </c>
    </row>
    <row r="34" spans="1:5" x14ac:dyDescent="0.3">
      <c r="A34" t="s">
        <v>24</v>
      </c>
      <c r="B34" t="str">
        <f>VLOOKUP(A:A,Qualys!A:A,1,0)</f>
        <v>SPRDAPGRFGRU01</v>
      </c>
      <c r="C34" t="str">
        <f>VLOOKUP(A:A,Sentinel!A:A,1,0)</f>
        <v>SPRDAPGRFGRU01</v>
      </c>
      <c r="D34" t="str">
        <f>VLOOKUP(A:A,Elastic!A:A,1,0)</f>
        <v>SPRDAPGRFGRU01</v>
      </c>
      <c r="E34" t="s">
        <v>152</v>
      </c>
    </row>
    <row r="35" spans="1:5" x14ac:dyDescent="0.3">
      <c r="A35" t="s">
        <v>63</v>
      </c>
      <c r="B35" t="str">
        <f>VLOOKUP(A:A,Qualys!A:A,1,0)</f>
        <v>SPRDAPCCPRGRU01</v>
      </c>
      <c r="C35" t="str">
        <f>VLOOKUP(A:A,Sentinel!A:A,1,0)</f>
        <v>SPRDAPCCPRGRU01</v>
      </c>
      <c r="D35" t="str">
        <f>VLOOKUP(A:A,Elastic!A:A,1,0)</f>
        <v>SPRDAPCCPRGRU01</v>
      </c>
      <c r="E35" t="s">
        <v>152</v>
      </c>
    </row>
    <row r="36" spans="1:5" x14ac:dyDescent="0.3">
      <c r="A36" t="s">
        <v>4</v>
      </c>
      <c r="B36" t="str">
        <f>VLOOKUP(A:A,Qualys!A:A,1,0)</f>
        <v>SPRDAPIHSGRU03</v>
      </c>
      <c r="C36" t="str">
        <f>VLOOKUP(A:A,Sentinel!A:A,1,0)</f>
        <v>SPRDAPIHSGRU03</v>
      </c>
      <c r="D36" t="str">
        <f>VLOOKUP(A:A,Elastic!A:A,1,0)</f>
        <v>SPRDAPIHSGRU03</v>
      </c>
      <c r="E36" t="s">
        <v>152</v>
      </c>
    </row>
    <row r="37" spans="1:5" x14ac:dyDescent="0.3">
      <c r="A37" t="s">
        <v>111</v>
      </c>
      <c r="B37" t="s">
        <v>111</v>
      </c>
      <c r="C37" t="s">
        <v>111</v>
      </c>
      <c r="D37" t="str">
        <f>VLOOKUP(A:A,Elastic!A:A,1,0)</f>
        <v>SPRDAPIPAMGRU01</v>
      </c>
      <c r="E37" t="s">
        <v>163</v>
      </c>
    </row>
    <row r="38" spans="1:5" x14ac:dyDescent="0.3">
      <c r="A38" t="s">
        <v>112</v>
      </c>
      <c r="B38" t="s">
        <v>112</v>
      </c>
      <c r="C38" t="s">
        <v>112</v>
      </c>
      <c r="D38" t="str">
        <f>VLOOKUP(A:A,Elastic!A:A,1,0)</f>
        <v>SPRDAPITSMGRU01</v>
      </c>
      <c r="E38" t="s">
        <v>163</v>
      </c>
    </row>
    <row r="39" spans="1:5" x14ac:dyDescent="0.3">
      <c r="A39" t="s">
        <v>62</v>
      </c>
      <c r="B39" t="str">
        <f>VLOOKUP(A:A,Qualys!A:A,1,0)</f>
        <v>SPRDAPCCPRGRU02</v>
      </c>
      <c r="C39" t="str">
        <f>VLOOKUP(A:A,Sentinel!A:A,1,0)</f>
        <v>SPRDAPCCPRGRU02</v>
      </c>
      <c r="D39" t="str">
        <f>VLOOKUP(A:A,Elastic!A:A,1,0)</f>
        <v>SPRDAPCCPRGRU02</v>
      </c>
      <c r="E39" t="s">
        <v>152</v>
      </c>
    </row>
    <row r="40" spans="1:5" x14ac:dyDescent="0.3">
      <c r="A40" t="s">
        <v>113</v>
      </c>
      <c r="B40" t="str">
        <f>VLOOKUP(A:A,Qualys!A:A,1,0)</f>
        <v>SPRDAPMISP01</v>
      </c>
      <c r="C40" t="str">
        <f>VLOOKUP(A:A,Sentinel!A:A,1,0)</f>
        <v>SPRDAPMISP01</v>
      </c>
      <c r="D40" t="str">
        <f>VLOOKUP(A:A,Elastic!A:A,1,0)</f>
        <v>SPRDAPMISP01</v>
      </c>
      <c r="E40" t="s">
        <v>152</v>
      </c>
    </row>
    <row r="41" spans="1:5" x14ac:dyDescent="0.3">
      <c r="A41" t="s">
        <v>43</v>
      </c>
      <c r="B41" t="str">
        <f>VLOOKUP(A:A,Qualys!A:A,1,0)</f>
        <v>SPRDAPNBKGRU01</v>
      </c>
      <c r="C41" t="str">
        <f>VLOOKUP(A:A,Sentinel!A:A,1,0)</f>
        <v>SPRDAPNBKGRU01</v>
      </c>
      <c r="D41" t="e">
        <f>VLOOKUP(A:A,Elastic!A:A,1,0)</f>
        <v>#N/A</v>
      </c>
      <c r="E41" t="s">
        <v>153</v>
      </c>
    </row>
    <row r="42" spans="1:5" x14ac:dyDescent="0.3">
      <c r="A42" t="s">
        <v>36</v>
      </c>
      <c r="B42" t="str">
        <f>VLOOKUP(A:A,Qualys!A:A,1,0)</f>
        <v>SPRDAPNFSGRU01</v>
      </c>
      <c r="C42" t="str">
        <f>VLOOKUP(A:A,Sentinel!A:A,1,0)</f>
        <v>SPRDAPNFSGRU01</v>
      </c>
      <c r="D42" t="str">
        <f>VLOOKUP(A:A,Elastic!A:A,1,0)</f>
        <v>SPRDAPNFSGRU01</v>
      </c>
      <c r="E42" t="s">
        <v>152</v>
      </c>
    </row>
    <row r="43" spans="1:5" x14ac:dyDescent="0.3">
      <c r="A43" t="s">
        <v>47</v>
      </c>
      <c r="B43" t="str">
        <f>VLOOKUP(A:A,Qualys!A:A,1,0)</f>
        <v>SPRDAPCMSGRU08</v>
      </c>
      <c r="C43" t="str">
        <f>VLOOKUP(A:A,Sentinel!A:A,1,0)</f>
        <v>SPRDAPCMSGRU08</v>
      </c>
      <c r="D43" t="str">
        <f>VLOOKUP(A:A,Elastic!A:A,1,0)</f>
        <v>SPRDAPCMSGRU08</v>
      </c>
      <c r="E43" t="s">
        <v>152</v>
      </c>
    </row>
    <row r="44" spans="1:5" x14ac:dyDescent="0.3">
      <c r="A44" t="s">
        <v>69</v>
      </c>
      <c r="B44" t="str">
        <f>VLOOKUP(A:A,Qualys!A:A,1,0)</f>
        <v>SPRDAPOCSGRU01</v>
      </c>
      <c r="C44" t="str">
        <f>VLOOKUP(A:A,Sentinel!A:A,1,0)</f>
        <v>SPRDAPOCSGRU01</v>
      </c>
      <c r="D44" t="str">
        <f>VLOOKUP(A:A,Elastic!A:A,1,0)</f>
        <v>SPRDAPOCSGRU01</v>
      </c>
      <c r="E44" t="s">
        <v>152</v>
      </c>
    </row>
    <row r="45" spans="1:5" x14ac:dyDescent="0.3">
      <c r="A45" t="s">
        <v>56</v>
      </c>
      <c r="B45" t="str">
        <f>VLOOKUP(A:A,Qualys!A:A,1,0)</f>
        <v>SPRDAPPIGRU01</v>
      </c>
      <c r="C45" t="str">
        <f>VLOOKUP(A:A,Sentinel!A:A,1,0)</f>
        <v>SPRDAPPIGRU01</v>
      </c>
      <c r="D45" t="e">
        <f>VLOOKUP(A:A,Elastic!A:A,1,0)</f>
        <v>#N/A</v>
      </c>
      <c r="E45" t="s">
        <v>153</v>
      </c>
    </row>
    <row r="46" spans="1:5" x14ac:dyDescent="0.3">
      <c r="A46" t="s">
        <v>50</v>
      </c>
      <c r="B46" t="str">
        <f>VLOOKUP(A:A,Qualys!A:A,1,0)</f>
        <v>SPRDAPPIGRU02</v>
      </c>
      <c r="C46" t="str">
        <f>VLOOKUP(A:A,Sentinel!A:A,1,0)</f>
        <v>SPRDAPPIGRU02</v>
      </c>
      <c r="D46" t="e">
        <f>VLOOKUP(A:A,Elastic!A:A,1,0)</f>
        <v>#N/A</v>
      </c>
      <c r="E46" t="s">
        <v>153</v>
      </c>
    </row>
    <row r="47" spans="1:5" x14ac:dyDescent="0.3">
      <c r="A47" t="s">
        <v>18</v>
      </c>
      <c r="B47" t="str">
        <f>VLOOKUP(A:A,Qualys!A:A,1,0)</f>
        <v>SPRDAPNMCGRU01</v>
      </c>
      <c r="C47" t="str">
        <f>VLOOKUP(A:A,Sentinel!A:A,1,0)</f>
        <v>SPRDAPNMCGRU01</v>
      </c>
      <c r="D47" t="str">
        <f>VLOOKUP(A:A,Elastic!A:A,1,0)</f>
        <v>SPRDAPNMCGRU01</v>
      </c>
      <c r="E47" t="s">
        <v>152</v>
      </c>
    </row>
    <row r="48" spans="1:5" x14ac:dyDescent="0.3">
      <c r="A48" t="s">
        <v>23</v>
      </c>
      <c r="B48" t="str">
        <f>VLOOKUP(A:A,Qualys!A:A,1,0)</f>
        <v>SPRDAPPRMGRU01</v>
      </c>
      <c r="C48" t="str">
        <f>VLOOKUP(A:A,Sentinel!A:A,1,0)</f>
        <v>SPRDAPPRMGRU01</v>
      </c>
      <c r="D48" t="str">
        <f>VLOOKUP(A:A,Elastic!A:A,1,0)</f>
        <v>SPRDAPPRMGRU01</v>
      </c>
      <c r="E48" t="s">
        <v>152</v>
      </c>
    </row>
    <row r="49" spans="1:5" x14ac:dyDescent="0.3">
      <c r="A49" t="s">
        <v>28</v>
      </c>
      <c r="B49" t="e">
        <f>VLOOKUP(A:A,Qualys!A:A,1,0)</f>
        <v>#N/A</v>
      </c>
      <c r="C49" t="e">
        <f>VLOOKUP(A:A,Sentinel!A:A,1,0)</f>
        <v>#N/A</v>
      </c>
      <c r="D49" t="e">
        <f>VLOOKUP(A:A,Elastic!A:A,1,0)</f>
        <v>#N/A</v>
      </c>
      <c r="E49" t="s">
        <v>157</v>
      </c>
    </row>
    <row r="50" spans="1:5" x14ac:dyDescent="0.3">
      <c r="A50" t="s">
        <v>27</v>
      </c>
      <c r="B50" t="e">
        <f>VLOOKUP(A:A,Qualys!A:A,1,0)</f>
        <v>#N/A</v>
      </c>
      <c r="C50" t="e">
        <f>VLOOKUP(A:A,Sentinel!A:A,1,0)</f>
        <v>#N/A</v>
      </c>
      <c r="D50" t="e">
        <f>VLOOKUP(A:A,Elastic!A:A,1,0)</f>
        <v>#N/A</v>
      </c>
      <c r="E50" t="s">
        <v>157</v>
      </c>
    </row>
    <row r="51" spans="1:5" x14ac:dyDescent="0.3">
      <c r="A51" t="s">
        <v>26</v>
      </c>
      <c r="B51" t="e">
        <f>VLOOKUP(A:A,Qualys!A:A,1,0)</f>
        <v>#N/A</v>
      </c>
      <c r="C51" t="e">
        <f>VLOOKUP(A:A,Sentinel!A:A,1,0)</f>
        <v>#N/A</v>
      </c>
      <c r="D51" t="e">
        <f>VLOOKUP(A:A,Elastic!A:A,1,0)</f>
        <v>#N/A</v>
      </c>
      <c r="E51" t="s">
        <v>157</v>
      </c>
    </row>
    <row r="52" spans="1:5" x14ac:dyDescent="0.3">
      <c r="A52" t="s">
        <v>8</v>
      </c>
      <c r="B52" t="e">
        <f>VLOOKUP(A:A,Qualys!A:A,1,0)</f>
        <v>#N/A</v>
      </c>
      <c r="C52" t="e">
        <f>VLOOKUP(A:A,Sentinel!A:A,1,0)</f>
        <v>#N/A</v>
      </c>
      <c r="D52" t="e">
        <f>VLOOKUP(A:A,Elastic!A:A,1,0)</f>
        <v>#N/A</v>
      </c>
      <c r="E52" t="s">
        <v>157</v>
      </c>
    </row>
    <row r="53" spans="1:5" x14ac:dyDescent="0.3">
      <c r="A53" t="s">
        <v>25</v>
      </c>
      <c r="B53" t="e">
        <f>VLOOKUP(A:A,Qualys!A:A,1,0)</f>
        <v>#N/A</v>
      </c>
      <c r="C53" t="e">
        <f>VLOOKUP(A:A,Sentinel!A:A,1,0)</f>
        <v>#N/A</v>
      </c>
      <c r="D53" t="e">
        <f>VLOOKUP(A:A,Elastic!A:A,1,0)</f>
        <v>#N/A</v>
      </c>
      <c r="E53" t="s">
        <v>157</v>
      </c>
    </row>
    <row r="54" spans="1:5" x14ac:dyDescent="0.3">
      <c r="A54" t="s">
        <v>9</v>
      </c>
      <c r="B54" t="str">
        <f>VLOOKUP(A:A,Qualys!A:A,1,0)</f>
        <v>SPRDAPRPGRU09</v>
      </c>
      <c r="C54" t="str">
        <f>VLOOKUP(A:A,Sentinel!A:A,1,0)</f>
        <v>SPRDAPRPGRU09</v>
      </c>
      <c r="D54" t="str">
        <f>VLOOKUP(A:A,Elastic!A:A,1,0)</f>
        <v>SPRDAPRPGRU09</v>
      </c>
      <c r="E54" t="s">
        <v>152</v>
      </c>
    </row>
    <row r="55" spans="1:5" x14ac:dyDescent="0.3">
      <c r="A55" t="s">
        <v>7</v>
      </c>
      <c r="B55" t="str">
        <f>VLOOKUP(A:A,Qualys!A:A,1,0)</f>
        <v>SPRDAPRPGRU10</v>
      </c>
      <c r="C55" t="str">
        <f>VLOOKUP(A:A,Sentinel!A:A,1,0)</f>
        <v>SPRDAPRPGRU10</v>
      </c>
      <c r="D55" t="str">
        <f>VLOOKUP(A:A,Elastic!A:A,1,0)</f>
        <v>SPRDAPRPGRU10</v>
      </c>
      <c r="E55" t="s">
        <v>152</v>
      </c>
    </row>
    <row r="56" spans="1:5" x14ac:dyDescent="0.3">
      <c r="A56" t="s">
        <v>2</v>
      </c>
      <c r="B56" t="str">
        <f>VLOOKUP(A:A,Qualys!A:A,1,0)</f>
        <v>SPRDAPRPGRU12</v>
      </c>
      <c r="C56" t="str">
        <f>VLOOKUP(A:A,Sentinel!A:A,1,0)</f>
        <v>SPRDAPRPGRU12</v>
      </c>
      <c r="D56" t="str">
        <f>VLOOKUP(A:A,Elastic!A:A,1,0)</f>
        <v>SPRDAPRPGRU12</v>
      </c>
      <c r="E56" t="s">
        <v>152</v>
      </c>
    </row>
    <row r="57" spans="1:5" x14ac:dyDescent="0.3">
      <c r="A57" t="s">
        <v>3</v>
      </c>
      <c r="B57" t="str">
        <f>VLOOKUP(A:A,Qualys!A:A,1,0)</f>
        <v>SPRDAPRPGRU13</v>
      </c>
      <c r="C57" t="str">
        <f>VLOOKUP(A:A,Sentinel!A:A,1,0)</f>
        <v>SPRDAPRPGRU13</v>
      </c>
      <c r="D57" t="str">
        <f>VLOOKUP(A:A,Elastic!A:A,1,0)</f>
        <v>SPRDAPRPGRU13</v>
      </c>
      <c r="E57" t="s">
        <v>152</v>
      </c>
    </row>
    <row r="58" spans="1:5" x14ac:dyDescent="0.3">
      <c r="A58" t="s">
        <v>19</v>
      </c>
      <c r="B58" t="str">
        <f>VLOOKUP(A:A,Qualys!A:A,1,0)</f>
        <v>SPRDAPNTWSGRU01</v>
      </c>
      <c r="C58" t="str">
        <f>VLOOKUP(A:A,Sentinel!A:A,1,0)</f>
        <v>SPRDAPNTWSGRU01</v>
      </c>
      <c r="D58" t="str">
        <f>VLOOKUP(A:A,Elastic!A:A,1,0)</f>
        <v>SPRDAPNTWSGRU01</v>
      </c>
      <c r="E58" t="s">
        <v>152</v>
      </c>
    </row>
    <row r="59" spans="1:5" x14ac:dyDescent="0.3">
      <c r="A59" t="s">
        <v>64</v>
      </c>
      <c r="B59" t="str">
        <f>VLOOKUP(A:A,Qualys!A:A,1,0)</f>
        <v>SPRDAPPOSTGRU01</v>
      </c>
      <c r="C59" t="str">
        <f>VLOOKUP(A:A,Sentinel!A:A,1,0)</f>
        <v>SPRDAPPOSTGRU01</v>
      </c>
      <c r="D59" t="str">
        <f>VLOOKUP(A:A,Elastic!A:A,1,0)</f>
        <v>SPRDAPPOSTGRU01</v>
      </c>
      <c r="E59" t="s">
        <v>152</v>
      </c>
    </row>
    <row r="60" spans="1:5" x14ac:dyDescent="0.3">
      <c r="A60" t="s">
        <v>61</v>
      </c>
      <c r="B60" t="str">
        <f>VLOOKUP(A:A,Qualys!A:A,1,0)</f>
        <v>SPRDAPSMGRU01</v>
      </c>
      <c r="C60" t="str">
        <f>VLOOKUP(A:A,Sentinel!A:A,1,0)</f>
        <v>SPRDAPSMGRU01</v>
      </c>
      <c r="D60" t="e">
        <f>VLOOKUP(A:A,Elastic!A:A,1,0)</f>
        <v>#N/A</v>
      </c>
      <c r="E60" t="s">
        <v>153</v>
      </c>
    </row>
    <row r="61" spans="1:5" x14ac:dyDescent="0.3">
      <c r="A61" t="s">
        <v>60</v>
      </c>
      <c r="B61" t="str">
        <f>VLOOKUP(A:A,Qualys!A:A,1,0)</f>
        <v>SPRDAPSMGRU02</v>
      </c>
      <c r="C61" t="str">
        <f>VLOOKUP(A:A,Sentinel!A:A,1,0)</f>
        <v>SPRDAPSMGRU02</v>
      </c>
      <c r="D61" t="e">
        <f>VLOOKUP(A:A,Elastic!A:A,1,0)</f>
        <v>#N/A</v>
      </c>
      <c r="E61" t="s">
        <v>153</v>
      </c>
    </row>
    <row r="62" spans="1:5" x14ac:dyDescent="0.3">
      <c r="A62" t="s">
        <v>114</v>
      </c>
      <c r="B62" t="str">
        <f>VLOOKUP(A:A,Qualys!A:A,1,0)</f>
        <v>SPRDAPSPGGRU01</v>
      </c>
      <c r="C62" t="str">
        <f>VLOOKUP(A:A,Sentinel!A:A,1,0)</f>
        <v>SPRDAPSPGGRU01</v>
      </c>
      <c r="D62" t="str">
        <f>VLOOKUP(A:A,Elastic!A:A,1,0)</f>
        <v>SPRDAPSPGGRU01</v>
      </c>
      <c r="E62" t="s">
        <v>152</v>
      </c>
    </row>
    <row r="63" spans="1:5" x14ac:dyDescent="0.3">
      <c r="A63" t="s">
        <v>115</v>
      </c>
      <c r="B63" t="str">
        <f>VLOOKUP(A:A,Qualys!A:A,1,0)</f>
        <v>SPRDAPSQBGRU01</v>
      </c>
      <c r="C63" t="str">
        <f>VLOOKUP(A:A,Sentinel!A:A,1,0)</f>
        <v>SPRDAPSQBGRU01</v>
      </c>
      <c r="D63" t="str">
        <f>VLOOKUP(A:A,Elastic!A:A,1,0)</f>
        <v>SPRDAPSQBGRU01</v>
      </c>
      <c r="E63" t="s">
        <v>152</v>
      </c>
    </row>
    <row r="64" spans="1:5" x14ac:dyDescent="0.3">
      <c r="A64" t="s">
        <v>101</v>
      </c>
      <c r="B64" t="e">
        <f>VLOOKUP(A:A,Qualys!A:A,1,0)</f>
        <v>#N/A</v>
      </c>
      <c r="C64" t="str">
        <f>VLOOKUP(A:A,Sentinel!A:A,1,0)</f>
        <v>SPRDAPSSAGRU01</v>
      </c>
      <c r="D64" t="str">
        <f>VLOOKUP(A:A,Elastic!A:A,1,0)</f>
        <v>SPRDAPSSAGRU01</v>
      </c>
      <c r="E64" t="s">
        <v>152</v>
      </c>
    </row>
    <row r="65" spans="1:5" x14ac:dyDescent="0.3">
      <c r="A65" t="s">
        <v>116</v>
      </c>
      <c r="B65" t="e">
        <f>VLOOKUP(A:A,Qualys!A:A,1,0)</f>
        <v>#N/A</v>
      </c>
      <c r="C65" t="e">
        <f>VLOOKUP(A:A,Sentinel!A:A,1,0)</f>
        <v>#N/A</v>
      </c>
      <c r="D65" t="e">
        <f>VLOOKUP(A:A,Elastic!A:A,1,0)</f>
        <v>#N/A</v>
      </c>
      <c r="E65" t="s">
        <v>158</v>
      </c>
    </row>
    <row r="66" spans="1:5" x14ac:dyDescent="0.3">
      <c r="A66" t="s">
        <v>117</v>
      </c>
      <c r="B66" t="e">
        <f>VLOOKUP(A:A,Qualys!A:A,1,0)</f>
        <v>#N/A</v>
      </c>
      <c r="C66" t="e">
        <f>VLOOKUP(A:A,Sentinel!A:A,1,0)</f>
        <v>#N/A</v>
      </c>
      <c r="D66" t="e">
        <f>VLOOKUP(A:A,Elastic!A:A,1,0)</f>
        <v>#N/A</v>
      </c>
      <c r="E66" t="s">
        <v>158</v>
      </c>
    </row>
    <row r="67" spans="1:5" x14ac:dyDescent="0.3">
      <c r="A67" t="s">
        <v>48</v>
      </c>
      <c r="B67" t="str">
        <f>VLOOKUP(A:A,Qualys!A:A,1,0)</f>
        <v>SPRDAPSSHGRU01</v>
      </c>
      <c r="C67" t="str">
        <f>VLOOKUP(A:A,Sentinel!A:A,1,0)</f>
        <v>SPRDAPSSHGRU01</v>
      </c>
      <c r="D67" t="str">
        <f>VLOOKUP(A:A,Elastic!A:A,1,0)</f>
        <v>SPRDAPSSHGRU01</v>
      </c>
      <c r="E67" t="s">
        <v>152</v>
      </c>
    </row>
    <row r="68" spans="1:5" x14ac:dyDescent="0.3">
      <c r="A68" t="s">
        <v>10</v>
      </c>
      <c r="B68" t="str">
        <f>VLOOKUP(A:A,Qualys!A:A,1,0)</f>
        <v>SPRDAPRPGRU14</v>
      </c>
      <c r="C68" t="str">
        <f>VLOOKUP(A:A,Sentinel!A:A,1,0)</f>
        <v>SPRDAPRPGRU14</v>
      </c>
      <c r="D68" t="e">
        <f>VLOOKUP(A:A,Elastic!A:A,1,0)</f>
        <v>#N/A</v>
      </c>
      <c r="E68" t="s">
        <v>160</v>
      </c>
    </row>
    <row r="69" spans="1:5" x14ac:dyDescent="0.3">
      <c r="A69" t="s">
        <v>118</v>
      </c>
      <c r="B69" t="e">
        <f>VLOOKUP(A:A,Qualys!A:A,1,0)</f>
        <v>#N/A</v>
      </c>
      <c r="C69" t="e">
        <f>VLOOKUP(A:A,Sentinel!A:A,1,0)</f>
        <v>#N/A</v>
      </c>
      <c r="D69" t="e">
        <f>VLOOKUP(A:A,Elastic!A:A,1,0)</f>
        <v>#N/A</v>
      </c>
      <c r="E69" t="s">
        <v>156</v>
      </c>
    </row>
    <row r="70" spans="1:5" x14ac:dyDescent="0.3">
      <c r="A70" t="s">
        <v>17</v>
      </c>
      <c r="B70" t="e">
        <f>VLOOKUP(A:A,Qualys!A:A,1,0)</f>
        <v>#N/A</v>
      </c>
      <c r="C70" t="str">
        <f>VLOOKUP(A:A,Sentinel!A:A,1,0)</f>
        <v>SPRDAPVPRGRU01</v>
      </c>
      <c r="D70" t="e">
        <f>VLOOKUP(A:A,Elastic!A:A,1,0)</f>
        <v>#N/A</v>
      </c>
      <c r="E70" t="s">
        <v>160</v>
      </c>
    </row>
    <row r="71" spans="1:5" x14ac:dyDescent="0.3">
      <c r="A71" t="s">
        <v>16</v>
      </c>
      <c r="B71" t="str">
        <f>VLOOKUP(A:A,Qualys!A:A,1,0)</f>
        <v>SPRDAPVPRGRU02</v>
      </c>
      <c r="C71" t="str">
        <f>VLOOKUP(A:A,Sentinel!A:A,1,0)</f>
        <v>SPRDAPVPRGRU02</v>
      </c>
      <c r="D71" t="str">
        <f>VLOOKUP(A:A,Elastic!A:A,1,0)</f>
        <v>SPRDAPVPRGRU02</v>
      </c>
      <c r="E71" t="s">
        <v>152</v>
      </c>
    </row>
    <row r="72" spans="1:5" x14ac:dyDescent="0.3">
      <c r="A72" t="s">
        <v>15</v>
      </c>
      <c r="B72" t="str">
        <f>VLOOKUP(A:A,Qualys!A:A,1,0)</f>
        <v>SPRDAPVPRGRU03</v>
      </c>
      <c r="C72" t="str">
        <f>VLOOKUP(A:A,Sentinel!A:A,1,0)</f>
        <v>SPRDAPVPRGRU03</v>
      </c>
      <c r="D72" t="e">
        <f>VLOOKUP(A:A,Elastic!A:A,1,0)</f>
        <v>#N/A</v>
      </c>
      <c r="E72" t="s">
        <v>160</v>
      </c>
    </row>
    <row r="73" spans="1:5" x14ac:dyDescent="0.3">
      <c r="A73" t="s">
        <v>14</v>
      </c>
      <c r="B73" t="str">
        <f>VLOOKUP(A:A,Qualys!A:A,1,0)</f>
        <v>SPRDAPVPRGRU04</v>
      </c>
      <c r="C73" t="str">
        <f>VLOOKUP(A:A,Sentinel!A:A,1,0)</f>
        <v>SPRDAPVPRGRU04</v>
      </c>
      <c r="D73" t="e">
        <f>VLOOKUP(A:A,Elastic!A:A,1,0)</f>
        <v>#N/A</v>
      </c>
      <c r="E73" t="s">
        <v>160</v>
      </c>
    </row>
    <row r="74" spans="1:5" x14ac:dyDescent="0.3">
      <c r="A74" t="s">
        <v>13</v>
      </c>
      <c r="B74" t="str">
        <f>VLOOKUP(A:A,Qualys!A:A,1,0)</f>
        <v>SPRDAPVPRGRU05</v>
      </c>
      <c r="C74" t="str">
        <f>VLOOKUP(A:A,Sentinel!A:A,1,0)</f>
        <v>SPRDAPVPRGRU05</v>
      </c>
      <c r="D74" t="e">
        <f>VLOOKUP(A:A,Elastic!A:A,1,0)</f>
        <v>#N/A</v>
      </c>
      <c r="E74" t="s">
        <v>160</v>
      </c>
    </row>
    <row r="75" spans="1:5" x14ac:dyDescent="0.3">
      <c r="A75" t="s">
        <v>12</v>
      </c>
      <c r="B75" t="str">
        <f>VLOOKUP(A:A,Qualys!A:A,1,0)</f>
        <v>SPRDAPVPRGRU06</v>
      </c>
      <c r="C75" t="str">
        <f>VLOOKUP(A:A,Sentinel!A:A,1,0)</f>
        <v>SPRDAPVPRGRU06</v>
      </c>
      <c r="D75" t="e">
        <f>VLOOKUP(A:A,Elastic!A:A,1,0)</f>
        <v>#N/A</v>
      </c>
      <c r="E75" t="s">
        <v>160</v>
      </c>
    </row>
    <row r="76" spans="1:5" x14ac:dyDescent="0.3">
      <c r="A76" t="s">
        <v>119</v>
      </c>
      <c r="B76" t="e">
        <f>VLOOKUP(A:A,Qualys!A:A,1,0)</f>
        <v>#N/A</v>
      </c>
      <c r="C76" t="e">
        <f>VLOOKUP(A:A,Sentinel!A:A,1,0)</f>
        <v>#N/A</v>
      </c>
      <c r="D76" t="e">
        <f>VLOOKUP(A:A,Elastic!A:A,1,0)</f>
        <v>#N/A</v>
      </c>
      <c r="E76" t="s">
        <v>159</v>
      </c>
    </row>
    <row r="77" spans="1:5" x14ac:dyDescent="0.3">
      <c r="A77" t="s">
        <v>1</v>
      </c>
      <c r="B77" t="str">
        <f>VLOOKUP(A:A,Qualys!A:A,1,0)</f>
        <v>SPRDBDDACGRU01</v>
      </c>
      <c r="C77" t="s">
        <v>1</v>
      </c>
      <c r="D77" t="e">
        <f>VLOOKUP(A:A,Elastic!A:A,1,0)</f>
        <v>#N/A</v>
      </c>
      <c r="E77" t="s">
        <v>152</v>
      </c>
    </row>
    <row r="78" spans="1:5" x14ac:dyDescent="0.3">
      <c r="A78" t="s">
        <v>120</v>
      </c>
      <c r="B78" t="s">
        <v>120</v>
      </c>
      <c r="C78" t="s">
        <v>120</v>
      </c>
      <c r="D78" t="str">
        <f>VLOOKUP(A:A,Elastic!A:A,1,0)</f>
        <v>SPRDBDITSMGRU01</v>
      </c>
      <c r="E78" t="s">
        <v>163</v>
      </c>
    </row>
    <row r="79" spans="1:5" x14ac:dyDescent="0.3">
      <c r="A79" t="s">
        <v>22</v>
      </c>
      <c r="B79" t="e">
        <f>VLOOKUP(A:A,Qualys!A:A,1,0)</f>
        <v>#N/A</v>
      </c>
      <c r="C79" t="e">
        <f>VLOOKUP(A:A,Sentinel!A:A,1,0)</f>
        <v>#N/A</v>
      </c>
      <c r="D79" t="e">
        <f>VLOOKUP(A:A,Elastic!A:A,1,0)</f>
        <v>#N/A</v>
      </c>
      <c r="E79" t="s">
        <v>161</v>
      </c>
    </row>
    <row r="80" spans="1:5" x14ac:dyDescent="0.3">
      <c r="A80" t="s">
        <v>31</v>
      </c>
      <c r="B80" t="str">
        <f>VLOOKUP(A:A,Qualys!A:A,1,0)</f>
        <v>SPRDBDORAGRU04</v>
      </c>
      <c r="C80" t="str">
        <f>VLOOKUP(A:A,Sentinel!A:A,1,0)</f>
        <v>SPRDBDORAGRU04</v>
      </c>
      <c r="D80" t="e">
        <f>VLOOKUP(A:A,Elastic!A:A,1,0)</f>
        <v>#N/A</v>
      </c>
      <c r="E80" t="s">
        <v>153</v>
      </c>
    </row>
    <row r="81" spans="1:5" x14ac:dyDescent="0.3">
      <c r="A81" t="s">
        <v>30</v>
      </c>
      <c r="B81" t="str">
        <f>VLOOKUP(A:A,Qualys!A:A,1,0)</f>
        <v>SPRDBDORAGRU05</v>
      </c>
      <c r="C81" t="str">
        <f>VLOOKUP(A:A,Sentinel!A:A,1,0)</f>
        <v>SPRDBDORAGRU05</v>
      </c>
      <c r="D81" t="e">
        <f>VLOOKUP(A:A,Elastic!A:A,1,0)</f>
        <v>#N/A</v>
      </c>
      <c r="E81" t="s">
        <v>153</v>
      </c>
    </row>
    <row r="82" spans="1:5" x14ac:dyDescent="0.3">
      <c r="A82" t="s">
        <v>147</v>
      </c>
      <c r="B82" t="str">
        <f>VLOOKUP(A:A,Qualys!A:A,1,0)</f>
        <v>SPBDORAGRU09</v>
      </c>
      <c r="C82" t="str">
        <f>VLOOKUP(A:A,Sentinel!A:A,1,0)</f>
        <v>SPBDORAGRU09</v>
      </c>
      <c r="D82" t="e">
        <f>VLOOKUP(A:A,Elastic!A:A,1,0)</f>
        <v>#N/A</v>
      </c>
      <c r="E82" t="s">
        <v>153</v>
      </c>
    </row>
    <row r="83" spans="1:5" x14ac:dyDescent="0.3">
      <c r="A83" t="s">
        <v>142</v>
      </c>
      <c r="B83" t="str">
        <f>VLOOKUP(A:A,Qualys!A:A,1,0)</f>
        <v>SPBDORAGRU11</v>
      </c>
      <c r="C83" t="str">
        <f>VLOOKUP(A:A,Sentinel!A:A,1,0)</f>
        <v>SPBDORAGRU11</v>
      </c>
      <c r="D83" t="e">
        <f>VLOOKUP(A:A,Elastic!A:A,1,0)</f>
        <v>#N/A</v>
      </c>
      <c r="E83" t="s">
        <v>153</v>
      </c>
    </row>
    <row r="84" spans="1:5" x14ac:dyDescent="0.3">
      <c r="A84" t="s">
        <v>11</v>
      </c>
      <c r="B84" t="str">
        <f>VLOOKUP(A:A,Qualys!A:A,1,0)</f>
        <v>SPRDAPRPGRU15</v>
      </c>
      <c r="C84" t="str">
        <f>VLOOKUP(A:A,Sentinel!A:A,1,0)</f>
        <v>SPRDAPRPGRU15</v>
      </c>
      <c r="D84" t="e">
        <f>VLOOKUP(A:A,Elastic!A:A,1,0)</f>
        <v>#N/A</v>
      </c>
      <c r="E84" t="s">
        <v>160</v>
      </c>
    </row>
    <row r="85" spans="1:5" x14ac:dyDescent="0.3">
      <c r="A85" t="s">
        <v>121</v>
      </c>
      <c r="B85" t="str">
        <f>VLOOKUP(A:A,Qualys!A:A,1,0)</f>
        <v>SPRDBDORAGRU13</v>
      </c>
      <c r="C85" t="str">
        <f>VLOOKUP(A:A,Sentinel!A:A,1,0)</f>
        <v>SPRDBDORAGRU13</v>
      </c>
      <c r="D85" t="str">
        <f>VLOOKUP(A:A,Elastic!A:A,1,0)</f>
        <v>SPRDBDORAGRU13</v>
      </c>
      <c r="E85" t="s">
        <v>152</v>
      </c>
    </row>
    <row r="86" spans="1:5" x14ac:dyDescent="0.3">
      <c r="A86" t="s">
        <v>54</v>
      </c>
      <c r="B86" t="s">
        <v>54</v>
      </c>
      <c r="C86" t="str">
        <f>VLOOKUP(A:A,Sentinel!A:A,1,0)</f>
        <v>SPRDBDOTRSGRU01</v>
      </c>
      <c r="D86" t="s">
        <v>54</v>
      </c>
      <c r="E86" t="s">
        <v>162</v>
      </c>
    </row>
    <row r="87" spans="1:5" x14ac:dyDescent="0.3">
      <c r="A87" t="s">
        <v>122</v>
      </c>
      <c r="B87" t="str">
        <f>VLOOKUP(A:A,Qualys!A:A,1,0)</f>
        <v>SPRDBDSPGGRU01</v>
      </c>
      <c r="C87" t="str">
        <f>VLOOKUP(A:A,Sentinel!A:A,1,0)</f>
        <v>SPRDBDSPGGRU01</v>
      </c>
      <c r="D87" t="str">
        <f>VLOOKUP(A:A,Elastic!A:A,1,0)</f>
        <v>SPRDBDSPGGRU01</v>
      </c>
      <c r="E87" t="s">
        <v>152</v>
      </c>
    </row>
    <row r="88" spans="1:5" x14ac:dyDescent="0.3">
      <c r="A88" t="s">
        <v>39</v>
      </c>
      <c r="B88" t="str">
        <f>VLOOKUP(A:A,Qualys!A:A,1,0)</f>
        <v>SPRDMONGRU01</v>
      </c>
      <c r="C88" t="str">
        <f>VLOOKUP(A:A,Sentinel!A:A,1,0)</f>
        <v>SPRDMONGRU01</v>
      </c>
      <c r="D88" t="str">
        <f>VLOOKUP(A:A,Elastic!A:A,1,0)</f>
        <v>SPRDMONGRU01</v>
      </c>
      <c r="E88" t="s">
        <v>152</v>
      </c>
    </row>
    <row r="89" spans="1:5" x14ac:dyDescent="0.3">
      <c r="A89" t="s">
        <v>68</v>
      </c>
      <c r="B89" t="str">
        <f>VLOOKUP(A:A,Qualys!A:A,1,0)</f>
        <v>SPRDMYSQLGRU02</v>
      </c>
      <c r="C89" t="str">
        <f>VLOOKUP(A:A,Sentinel!A:A,1,0)</f>
        <v>SPRDMYSQLGRU02</v>
      </c>
      <c r="D89" t="str">
        <f>VLOOKUP(A:A,Elastic!A:A,1,0)</f>
        <v>SPRDMYSQLGRU02</v>
      </c>
      <c r="E89" t="s">
        <v>152</v>
      </c>
    </row>
    <row r="90" spans="1:5" x14ac:dyDescent="0.3">
      <c r="A90" t="s">
        <v>40</v>
      </c>
      <c r="B90" t="str">
        <f>VLOOKUP(A:A,Qualys!A:A,1,0)</f>
        <v>SPRDMYSQLGRU03</v>
      </c>
      <c r="C90" t="str">
        <f>VLOOKUP(A:A,Sentinel!A:A,1,0)</f>
        <v>SPRDMYSQLGRU03</v>
      </c>
      <c r="D90" t="str">
        <f>VLOOKUP(A:A,Elastic!A:A,1,0)</f>
        <v>SPRDMYSQLGRU03</v>
      </c>
      <c r="E90" t="s">
        <v>152</v>
      </c>
    </row>
    <row r="91" spans="1:5" x14ac:dyDescent="0.3">
      <c r="A91" t="s">
        <v>67</v>
      </c>
      <c r="B91" t="str">
        <f>VLOOKUP(A:A,Qualys!A:A,1,0)</f>
        <v>SPRDNTDGRU03</v>
      </c>
      <c r="C91" t="str">
        <f>VLOOKUP(A:A,Sentinel!A:A,1,0)</f>
        <v>SPRDNTDGRU03</v>
      </c>
      <c r="D91" t="str">
        <f>VLOOKUP(A:A,Elastic!A:A,1,0)</f>
        <v>SPRDNTDGRU03</v>
      </c>
      <c r="E91" t="s">
        <v>152</v>
      </c>
    </row>
    <row r="92" spans="1:5" x14ac:dyDescent="0.3">
      <c r="A92" t="s">
        <v>38</v>
      </c>
      <c r="B92" t="s">
        <v>38</v>
      </c>
      <c r="C92" t="str">
        <f>VLOOKUP(A:A,Sentinel!A:A,1,0)</f>
        <v>SPRDOTRSGRU01</v>
      </c>
      <c r="D92" t="s">
        <v>38</v>
      </c>
      <c r="E92" t="s">
        <v>162</v>
      </c>
    </row>
    <row r="93" spans="1:5" x14ac:dyDescent="0.3">
      <c r="A93" t="s">
        <v>46</v>
      </c>
      <c r="B93" t="str">
        <f>VLOOKUP(A:A,Qualys!A:A,1,0)</f>
        <v>SPRDSAPNASGRU01</v>
      </c>
      <c r="C93" t="str">
        <f>VLOOKUP(A:A,Sentinel!A:A,1,0)</f>
        <v>SPRDSAPNASGRU01</v>
      </c>
      <c r="D93" t="e">
        <f>VLOOKUP(A:A,Elastic!A:A,1,0)</f>
        <v>#N/A</v>
      </c>
      <c r="E93" t="s">
        <v>153</v>
      </c>
    </row>
    <row r="94" spans="1:5" x14ac:dyDescent="0.3">
      <c r="A94" t="s">
        <v>66</v>
      </c>
      <c r="B94" t="str">
        <f>VLOOKUP(A:A,Qualys!A:A,1,0)</f>
        <v>SPRDSIEM01</v>
      </c>
      <c r="C94" t="str">
        <f>VLOOKUP(A:A,Sentinel!A:A,1,0)</f>
        <v>SPRDSIEM01</v>
      </c>
      <c r="D94" t="s">
        <v>66</v>
      </c>
      <c r="E94" t="s">
        <v>160</v>
      </c>
    </row>
    <row r="95" spans="1:5" x14ac:dyDescent="0.3">
      <c r="A95" t="s">
        <v>65</v>
      </c>
      <c r="B95" t="str">
        <f>VLOOKUP(A:A,Qualys!A:A,1,0)</f>
        <v>SPRDSIEM02</v>
      </c>
      <c r="C95" t="str">
        <f>VLOOKUP(A:A,Sentinel!A:A,1,0)</f>
        <v>SPRDSIEM02</v>
      </c>
      <c r="D95" t="str">
        <f>VLOOKUP(A:A,Elastic!A:A,1,0)</f>
        <v>SPRDSIEM02</v>
      </c>
      <c r="E95" t="s">
        <v>152</v>
      </c>
    </row>
    <row r="96" spans="1:5" x14ac:dyDescent="0.3">
      <c r="A96" t="s">
        <v>87</v>
      </c>
      <c r="B96" t="str">
        <f>VLOOKUP(A:A,Qualys!A:A,1,0)</f>
        <v>SPRDVCCHOGRU01</v>
      </c>
      <c r="C96" t="str">
        <f>VLOOKUP(A:A,Sentinel!A:A,1,0)</f>
        <v>SPRDVCCHOGRU01</v>
      </c>
      <c r="D96" t="str">
        <f>VLOOKUP(A:A,Elastic!A:A,1,0)</f>
        <v>SPRDVCCHOGRU01</v>
      </c>
      <c r="E96" t="s">
        <v>152</v>
      </c>
    </row>
    <row r="97" spans="1:5" x14ac:dyDescent="0.3">
      <c r="A97" t="s">
        <v>75</v>
      </c>
      <c r="B97" t="str">
        <f>VLOOKUP(A:A,Qualys!A:A,1,0)</f>
        <v>SPRDZBGRU01</v>
      </c>
      <c r="C97" t="str">
        <f>VLOOKUP(A:A,Sentinel!A:A,1,0)</f>
        <v>SPRDZBGRU01</v>
      </c>
      <c r="D97" t="str">
        <f>VLOOKUP(A:A,Elastic!A:A,1,0)</f>
        <v>SPRDZBGRU01</v>
      </c>
      <c r="E97" t="s">
        <v>152</v>
      </c>
    </row>
    <row r="98" spans="1:5" x14ac:dyDescent="0.3">
      <c r="A98" t="s">
        <v>74</v>
      </c>
      <c r="B98" t="str">
        <f>VLOOKUP(A:A,Qualys!A:A,1,0)</f>
        <v>SPRDZBGRU02</v>
      </c>
      <c r="C98" t="str">
        <f>VLOOKUP(A:A,Sentinel!A:A,1,0)</f>
        <v>SPRDZBGRU02</v>
      </c>
      <c r="D98" t="str">
        <f>VLOOKUP(A:A,Elastic!A:A,1,0)</f>
        <v>SPRDZBGRU02</v>
      </c>
      <c r="E98" t="s">
        <v>152</v>
      </c>
    </row>
    <row r="99" spans="1:5" x14ac:dyDescent="0.3">
      <c r="A99" t="s">
        <v>73</v>
      </c>
      <c r="B99" t="str">
        <f>VLOOKUP(A:A,Qualys!A:A,1,0)</f>
        <v>SPRDZBGRU03</v>
      </c>
      <c r="C99" t="str">
        <f>VLOOKUP(A:A,Sentinel!A:A,1,0)</f>
        <v>SPRDZBGRU03</v>
      </c>
      <c r="D99" t="str">
        <f>VLOOKUP(A:A,Elastic!A:A,1,0)</f>
        <v>SPRDZBGRU03</v>
      </c>
      <c r="E99" t="s">
        <v>152</v>
      </c>
    </row>
    <row r="100" spans="1:5" x14ac:dyDescent="0.3">
      <c r="A100" t="s">
        <v>72</v>
      </c>
      <c r="B100" t="str">
        <f>VLOOKUP(A:A,Qualys!A:A,1,0)</f>
        <v>SPRDZBGRU04</v>
      </c>
      <c r="C100" t="str">
        <f>VLOOKUP(A:A,Sentinel!A:A,1,0)</f>
        <v>SPRDZBGRU04</v>
      </c>
      <c r="D100" t="str">
        <f>VLOOKUP(A:A,Elastic!A:A,1,0)</f>
        <v>SPRDZBGRU04</v>
      </c>
      <c r="E100" t="s">
        <v>152</v>
      </c>
    </row>
    <row r="101" spans="1:5" x14ac:dyDescent="0.3">
      <c r="A101" t="s">
        <v>71</v>
      </c>
      <c r="B101" t="s">
        <v>71</v>
      </c>
      <c r="C101" t="str">
        <f>VLOOKUP(A:A,Sentinel!A:A,1,0)</f>
        <v>SPRDZBGRU05</v>
      </c>
      <c r="D101" t="str">
        <f>VLOOKUP(A:A,Elastic!A:A,1,0)</f>
        <v>SPRDZBGRU05</v>
      </c>
      <c r="E101" t="s">
        <v>164</v>
      </c>
    </row>
  </sheetData>
  <autoFilter ref="A1:E10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92"/>
  <sheetViews>
    <sheetView zoomScale="85" zoomScaleNormal="85" workbookViewId="0">
      <selection activeCell="A56" sqref="A56"/>
    </sheetView>
  </sheetViews>
  <sheetFormatPr defaultRowHeight="14.4" x14ac:dyDescent="0.3"/>
  <cols>
    <col min="1" max="1" width="31" bestFit="1" customWidth="1"/>
  </cols>
  <sheetData>
    <row r="1" spans="1:13" x14ac:dyDescent="0.3">
      <c r="A1" t="s">
        <v>150</v>
      </c>
    </row>
    <row r="2" spans="1:13" hidden="1" x14ac:dyDescent="0.3">
      <c r="A2" t="s">
        <v>42</v>
      </c>
    </row>
    <row r="3" spans="1:13" hidden="1" x14ac:dyDescent="0.3">
      <c r="A3" t="s">
        <v>138</v>
      </c>
    </row>
    <row r="4" spans="1:13" hidden="1" x14ac:dyDescent="0.3">
      <c r="A4" t="s">
        <v>11</v>
      </c>
    </row>
    <row r="5" spans="1:13" hidden="1" x14ac:dyDescent="0.3">
      <c r="A5" t="s">
        <v>65</v>
      </c>
    </row>
    <row r="6" spans="1:13" hidden="1" x14ac:dyDescent="0.3">
      <c r="A6" t="s">
        <v>55</v>
      </c>
    </row>
    <row r="7" spans="1:13" hidden="1" x14ac:dyDescent="0.3">
      <c r="A7" t="s">
        <v>79</v>
      </c>
    </row>
    <row r="8" spans="1:13" hidden="1" x14ac:dyDescent="0.3">
      <c r="A8" t="s">
        <v>121</v>
      </c>
    </row>
    <row r="9" spans="1:13" hidden="1" x14ac:dyDescent="0.3">
      <c r="A9" t="s">
        <v>68</v>
      </c>
    </row>
    <row r="10" spans="1:13" hidden="1" x14ac:dyDescent="0.3">
      <c r="A10" t="s">
        <v>42</v>
      </c>
    </row>
    <row r="11" spans="1:13" hidden="1" x14ac:dyDescent="0.3">
      <c r="A11" t="s">
        <v>144</v>
      </c>
      <c r="M11" s="1"/>
    </row>
    <row r="12" spans="1:13" hidden="1" x14ac:dyDescent="0.3">
      <c r="A12" t="s">
        <v>24</v>
      </c>
    </row>
    <row r="13" spans="1:13" hidden="1" x14ac:dyDescent="0.3">
      <c r="A13" t="s">
        <v>59</v>
      </c>
    </row>
    <row r="14" spans="1:13" hidden="1" x14ac:dyDescent="0.3">
      <c r="A14" t="s">
        <v>145</v>
      </c>
    </row>
    <row r="15" spans="1:13" hidden="1" x14ac:dyDescent="0.3">
      <c r="A15" t="s">
        <v>12</v>
      </c>
    </row>
    <row r="16" spans="1:13" hidden="1" x14ac:dyDescent="0.3">
      <c r="A16" t="s">
        <v>29</v>
      </c>
    </row>
    <row r="17" spans="1:20" hidden="1" x14ac:dyDescent="0.3">
      <c r="A17" t="s">
        <v>33</v>
      </c>
    </row>
    <row r="18" spans="1:20" hidden="1" x14ac:dyDescent="0.3">
      <c r="A18" t="s">
        <v>36</v>
      </c>
    </row>
    <row r="19" spans="1:20" hidden="1" x14ac:dyDescent="0.3">
      <c r="A19" t="s">
        <v>103</v>
      </c>
    </row>
    <row r="20" spans="1:20" hidden="1" x14ac:dyDescent="0.3">
      <c r="A20" t="s">
        <v>73</v>
      </c>
    </row>
    <row r="21" spans="1:20" hidden="1" x14ac:dyDescent="0.3">
      <c r="A21" t="s">
        <v>57</v>
      </c>
    </row>
    <row r="22" spans="1:20" hidden="1" x14ac:dyDescent="0.3">
      <c r="A22" t="s">
        <v>5</v>
      </c>
    </row>
    <row r="23" spans="1:20" hidden="1" x14ac:dyDescent="0.3">
      <c r="A23" t="s">
        <v>114</v>
      </c>
    </row>
    <row r="24" spans="1:20" hidden="1" x14ac:dyDescent="0.3">
      <c r="A24" t="s">
        <v>66</v>
      </c>
    </row>
    <row r="25" spans="1:20" hidden="1" x14ac:dyDescent="0.3">
      <c r="A25" t="s">
        <v>108</v>
      </c>
    </row>
    <row r="26" spans="1:20" hidden="1" x14ac:dyDescent="0.3">
      <c r="A26" t="s">
        <v>0</v>
      </c>
    </row>
    <row r="27" spans="1:20" hidden="1" x14ac:dyDescent="0.3">
      <c r="A27" t="s">
        <v>2</v>
      </c>
    </row>
    <row r="28" spans="1:20" hidden="1" x14ac:dyDescent="0.3">
      <c r="A28" t="s">
        <v>63</v>
      </c>
    </row>
    <row r="29" spans="1:20" hidden="1" x14ac:dyDescent="0.3">
      <c r="A29" t="s">
        <v>6</v>
      </c>
      <c r="T29" s="1"/>
    </row>
    <row r="30" spans="1:20" hidden="1" x14ac:dyDescent="0.3">
      <c r="A30" t="s">
        <v>51</v>
      </c>
    </row>
    <row r="31" spans="1:20" hidden="1" x14ac:dyDescent="0.3">
      <c r="A31" t="s">
        <v>110</v>
      </c>
    </row>
    <row r="32" spans="1:20" hidden="1" x14ac:dyDescent="0.3">
      <c r="A32" t="s">
        <v>105</v>
      </c>
    </row>
    <row r="33" spans="1:1" hidden="1" x14ac:dyDescent="0.3">
      <c r="A33" t="s">
        <v>56</v>
      </c>
    </row>
    <row r="34" spans="1:1" hidden="1" x14ac:dyDescent="0.3">
      <c r="A34" t="s">
        <v>115</v>
      </c>
    </row>
    <row r="35" spans="1:1" hidden="1" x14ac:dyDescent="0.3">
      <c r="A35" t="s">
        <v>87</v>
      </c>
    </row>
    <row r="36" spans="1:1" hidden="1" x14ac:dyDescent="0.3">
      <c r="A36" t="s">
        <v>48</v>
      </c>
    </row>
    <row r="37" spans="1:1" hidden="1" x14ac:dyDescent="0.3">
      <c r="A37" t="s">
        <v>9</v>
      </c>
    </row>
    <row r="38" spans="1:1" hidden="1" x14ac:dyDescent="0.3">
      <c r="A38" t="s">
        <v>143</v>
      </c>
    </row>
    <row r="39" spans="1:1" hidden="1" x14ac:dyDescent="0.3">
      <c r="A39" t="s">
        <v>37</v>
      </c>
    </row>
    <row r="40" spans="1:1" hidden="1" x14ac:dyDescent="0.3">
      <c r="A40" t="s">
        <v>106</v>
      </c>
    </row>
    <row r="41" spans="1:1" hidden="1" x14ac:dyDescent="0.3">
      <c r="A41" t="s">
        <v>7</v>
      </c>
    </row>
    <row r="42" spans="1:1" hidden="1" x14ac:dyDescent="0.3">
      <c r="A42" t="s">
        <v>23</v>
      </c>
    </row>
    <row r="43" spans="1:1" hidden="1" x14ac:dyDescent="0.3">
      <c r="A43" t="s">
        <v>48</v>
      </c>
    </row>
    <row r="44" spans="1:1" hidden="1" x14ac:dyDescent="0.3">
      <c r="A44" t="s">
        <v>113</v>
      </c>
    </row>
    <row r="45" spans="1:1" hidden="1" x14ac:dyDescent="0.3">
      <c r="A45" t="s">
        <v>70</v>
      </c>
    </row>
    <row r="46" spans="1:1" hidden="1" x14ac:dyDescent="0.3">
      <c r="A46" t="s">
        <v>19</v>
      </c>
    </row>
    <row r="47" spans="1:1" hidden="1" x14ac:dyDescent="0.3">
      <c r="A47" t="s">
        <v>45</v>
      </c>
    </row>
    <row r="48" spans="1:1" hidden="1" x14ac:dyDescent="0.3">
      <c r="A48" t="s">
        <v>60</v>
      </c>
    </row>
    <row r="49" spans="1:1" hidden="1" x14ac:dyDescent="0.3">
      <c r="A49" t="s">
        <v>72</v>
      </c>
    </row>
    <row r="50" spans="1:1" hidden="1" x14ac:dyDescent="0.3">
      <c r="A50" t="s">
        <v>18</v>
      </c>
    </row>
    <row r="51" spans="1:1" hidden="1" x14ac:dyDescent="0.3">
      <c r="A51" t="s">
        <v>58</v>
      </c>
    </row>
    <row r="52" spans="1:1" hidden="1" x14ac:dyDescent="0.3">
      <c r="A52" t="s">
        <v>53</v>
      </c>
    </row>
    <row r="53" spans="1:1" hidden="1" x14ac:dyDescent="0.3">
      <c r="A53" t="s">
        <v>13</v>
      </c>
    </row>
    <row r="54" spans="1:1" hidden="1" x14ac:dyDescent="0.3">
      <c r="A54" t="s">
        <v>12</v>
      </c>
    </row>
    <row r="55" spans="1:1" hidden="1" x14ac:dyDescent="0.3">
      <c r="A55" t="s">
        <v>84</v>
      </c>
    </row>
    <row r="56" spans="1:1" x14ac:dyDescent="0.3">
      <c r="A56" t="s">
        <v>147</v>
      </c>
    </row>
    <row r="57" spans="1:1" hidden="1" x14ac:dyDescent="0.3">
      <c r="A57" t="s">
        <v>46</v>
      </c>
    </row>
    <row r="58" spans="1:1" hidden="1" x14ac:dyDescent="0.3">
      <c r="A58" t="s">
        <v>32</v>
      </c>
    </row>
    <row r="59" spans="1:1" hidden="1" x14ac:dyDescent="0.3">
      <c r="A59" t="s">
        <v>75</v>
      </c>
    </row>
    <row r="60" spans="1:1" hidden="1" x14ac:dyDescent="0.3">
      <c r="A60" t="s">
        <v>142</v>
      </c>
    </row>
    <row r="61" spans="1:1" hidden="1" x14ac:dyDescent="0.3">
      <c r="A61" t="s">
        <v>21</v>
      </c>
    </row>
    <row r="62" spans="1:1" hidden="1" x14ac:dyDescent="0.3">
      <c r="A62" t="s">
        <v>47</v>
      </c>
    </row>
    <row r="63" spans="1:1" hidden="1" x14ac:dyDescent="0.3">
      <c r="A63" t="s">
        <v>43</v>
      </c>
    </row>
    <row r="64" spans="1:1" hidden="1" x14ac:dyDescent="0.3">
      <c r="A64" t="s">
        <v>107</v>
      </c>
    </row>
    <row r="65" spans="1:1" hidden="1" x14ac:dyDescent="0.3">
      <c r="A65" t="s">
        <v>62</v>
      </c>
    </row>
    <row r="66" spans="1:1" hidden="1" x14ac:dyDescent="0.3">
      <c r="A66" t="s">
        <v>16</v>
      </c>
    </row>
    <row r="67" spans="1:1" hidden="1" x14ac:dyDescent="0.3">
      <c r="A67" t="s">
        <v>34</v>
      </c>
    </row>
    <row r="68" spans="1:1" hidden="1" x14ac:dyDescent="0.3">
      <c r="A68" t="s">
        <v>90</v>
      </c>
    </row>
    <row r="69" spans="1:1" hidden="1" x14ac:dyDescent="0.3">
      <c r="A69" t="s">
        <v>20</v>
      </c>
    </row>
    <row r="70" spans="1:1" hidden="1" x14ac:dyDescent="0.3">
      <c r="A70" t="s">
        <v>44</v>
      </c>
    </row>
    <row r="71" spans="1:1" hidden="1" x14ac:dyDescent="0.3">
      <c r="A71" t="s">
        <v>31</v>
      </c>
    </row>
    <row r="72" spans="1:1" hidden="1" x14ac:dyDescent="0.3">
      <c r="A72" t="s">
        <v>49</v>
      </c>
    </row>
    <row r="73" spans="1:1" hidden="1" x14ac:dyDescent="0.3">
      <c r="A73" t="s">
        <v>13</v>
      </c>
    </row>
    <row r="74" spans="1:1" hidden="1" x14ac:dyDescent="0.3">
      <c r="A74" t="s">
        <v>39</v>
      </c>
    </row>
    <row r="75" spans="1:1" hidden="1" x14ac:dyDescent="0.3">
      <c r="A75" t="s">
        <v>3</v>
      </c>
    </row>
    <row r="76" spans="1:1" hidden="1" x14ac:dyDescent="0.3">
      <c r="A76" t="s">
        <v>15</v>
      </c>
    </row>
    <row r="77" spans="1:1" hidden="1" x14ac:dyDescent="0.3">
      <c r="A77" t="s">
        <v>64</v>
      </c>
    </row>
    <row r="78" spans="1:1" hidden="1" x14ac:dyDescent="0.3">
      <c r="A78" t="s">
        <v>30</v>
      </c>
    </row>
    <row r="79" spans="1:1" hidden="1" x14ac:dyDescent="0.3">
      <c r="A79" t="s">
        <v>52</v>
      </c>
    </row>
    <row r="80" spans="1:1" hidden="1" x14ac:dyDescent="0.3">
      <c r="A80" t="s">
        <v>10</v>
      </c>
    </row>
    <row r="81" spans="1:1" hidden="1" x14ac:dyDescent="0.3">
      <c r="A81" t="s">
        <v>61</v>
      </c>
    </row>
    <row r="82" spans="1:1" hidden="1" x14ac:dyDescent="0.3">
      <c r="A82" t="s">
        <v>122</v>
      </c>
    </row>
    <row r="83" spans="1:1" hidden="1" x14ac:dyDescent="0.3">
      <c r="A83" t="s">
        <v>104</v>
      </c>
    </row>
    <row r="84" spans="1:1" hidden="1" x14ac:dyDescent="0.3">
      <c r="A84" t="s">
        <v>74</v>
      </c>
    </row>
    <row r="85" spans="1:1" hidden="1" x14ac:dyDescent="0.3">
      <c r="A85" t="s">
        <v>67</v>
      </c>
    </row>
    <row r="86" spans="1:1" hidden="1" x14ac:dyDescent="0.3">
      <c r="A86" t="s">
        <v>4</v>
      </c>
    </row>
    <row r="87" spans="1:1" hidden="1" x14ac:dyDescent="0.3">
      <c r="A87" t="s">
        <v>14</v>
      </c>
    </row>
    <row r="88" spans="1:1" hidden="1" x14ac:dyDescent="0.3">
      <c r="A88" t="s">
        <v>69</v>
      </c>
    </row>
    <row r="89" spans="1:1" hidden="1" x14ac:dyDescent="0.3">
      <c r="A89" t="s">
        <v>40</v>
      </c>
    </row>
    <row r="90" spans="1:1" hidden="1" x14ac:dyDescent="0.3">
      <c r="A90" t="s">
        <v>50</v>
      </c>
    </row>
    <row r="91" spans="1:1" hidden="1" x14ac:dyDescent="0.3">
      <c r="A91" t="s">
        <v>1</v>
      </c>
    </row>
    <row r="92" spans="1:1" hidden="1" x14ac:dyDescent="0.3">
      <c r="A92" t="s">
        <v>35</v>
      </c>
    </row>
  </sheetData>
  <autoFilter ref="A1:A92">
    <filterColumn colId="0">
      <filters>
        <filter val="SPBDORAGRU09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0"/>
  <sheetViews>
    <sheetView workbookViewId="0">
      <selection activeCell="A6" sqref="A6"/>
    </sheetView>
  </sheetViews>
  <sheetFormatPr defaultRowHeight="14.4" x14ac:dyDescent="0.3"/>
  <cols>
    <col min="1" max="1" width="30.88671875" bestFit="1" customWidth="1"/>
  </cols>
  <sheetData>
    <row r="1" spans="1:1" x14ac:dyDescent="0.3">
      <c r="A1" t="s">
        <v>124</v>
      </c>
    </row>
    <row r="2" spans="1:1" x14ac:dyDescent="0.3">
      <c r="A2" t="s">
        <v>123</v>
      </c>
    </row>
    <row r="3" spans="1:1" x14ac:dyDescent="0.3">
      <c r="A3" t="s">
        <v>121</v>
      </c>
    </row>
    <row r="4" spans="1:1" x14ac:dyDescent="0.3">
      <c r="A4" t="s">
        <v>110</v>
      </c>
    </row>
    <row r="5" spans="1:1" x14ac:dyDescent="0.3">
      <c r="A5" t="s">
        <v>73</v>
      </c>
    </row>
    <row r="6" spans="1:1" x14ac:dyDescent="0.3">
      <c r="A6" t="s">
        <v>48</v>
      </c>
    </row>
    <row r="7" spans="1:1" x14ac:dyDescent="0.3">
      <c r="A7" t="s">
        <v>113</v>
      </c>
    </row>
    <row r="8" spans="1:1" x14ac:dyDescent="0.3">
      <c r="A8" t="s">
        <v>122</v>
      </c>
    </row>
    <row r="9" spans="1:1" x14ac:dyDescent="0.3">
      <c r="A9" t="s">
        <v>114</v>
      </c>
    </row>
    <row r="10" spans="1:1" x14ac:dyDescent="0.3">
      <c r="A10" t="s">
        <v>115</v>
      </c>
    </row>
    <row r="11" spans="1:1" x14ac:dyDescent="0.3">
      <c r="A11" t="s">
        <v>70</v>
      </c>
    </row>
    <row r="12" spans="1:1" x14ac:dyDescent="0.3">
      <c r="A12" t="s">
        <v>127</v>
      </c>
    </row>
    <row r="13" spans="1:1" x14ac:dyDescent="0.3">
      <c r="A13" t="s">
        <v>64</v>
      </c>
    </row>
    <row r="14" spans="1:1" x14ac:dyDescent="0.3">
      <c r="A14" t="s">
        <v>13</v>
      </c>
    </row>
    <row r="15" spans="1:1" x14ac:dyDescent="0.3">
      <c r="A15" t="s">
        <v>15</v>
      </c>
    </row>
    <row r="16" spans="1:1" x14ac:dyDescent="0.3">
      <c r="A16" t="s">
        <v>12</v>
      </c>
    </row>
    <row r="17" spans="1:1" x14ac:dyDescent="0.3">
      <c r="A17" t="s">
        <v>14</v>
      </c>
    </row>
    <row r="18" spans="1:1" x14ac:dyDescent="0.3">
      <c r="A18" t="s">
        <v>16</v>
      </c>
    </row>
    <row r="19" spans="1:1" x14ac:dyDescent="0.3">
      <c r="A19" t="s">
        <v>107</v>
      </c>
    </row>
    <row r="20" spans="1:1" x14ac:dyDescent="0.3">
      <c r="A20" t="s">
        <v>104</v>
      </c>
    </row>
    <row r="21" spans="1:1" x14ac:dyDescent="0.3">
      <c r="A21" t="s">
        <v>108</v>
      </c>
    </row>
    <row r="22" spans="1:1" x14ac:dyDescent="0.3">
      <c r="A22" t="s">
        <v>106</v>
      </c>
    </row>
    <row r="23" spans="1:1" x14ac:dyDescent="0.3">
      <c r="A23" t="s">
        <v>105</v>
      </c>
    </row>
    <row r="24" spans="1:1" x14ac:dyDescent="0.3">
      <c r="A24" t="s">
        <v>103</v>
      </c>
    </row>
    <row r="25" spans="1:1" x14ac:dyDescent="0.3">
      <c r="A25" t="s">
        <v>137</v>
      </c>
    </row>
    <row r="26" spans="1:1" x14ac:dyDescent="0.3">
      <c r="A26" t="s">
        <v>73</v>
      </c>
    </row>
    <row r="27" spans="1:1" x14ac:dyDescent="0.3">
      <c r="A27" t="s">
        <v>136</v>
      </c>
    </row>
    <row r="28" spans="1:1" x14ac:dyDescent="0.3">
      <c r="A28" t="s">
        <v>48</v>
      </c>
    </row>
    <row r="29" spans="1:1" x14ac:dyDescent="0.3">
      <c r="A29" t="s">
        <v>126</v>
      </c>
    </row>
    <row r="30" spans="1:1" x14ac:dyDescent="0.3">
      <c r="A30" t="s">
        <v>125</v>
      </c>
    </row>
    <row r="31" spans="1:1" x14ac:dyDescent="0.3">
      <c r="A31" t="s">
        <v>41</v>
      </c>
    </row>
    <row r="32" spans="1:1" x14ac:dyDescent="0.3">
      <c r="A32" t="s">
        <v>40</v>
      </c>
    </row>
    <row r="33" spans="1:1" x14ac:dyDescent="0.3">
      <c r="A33" t="s">
        <v>131</v>
      </c>
    </row>
    <row r="34" spans="1:1" x14ac:dyDescent="0.3">
      <c r="A34" t="s">
        <v>138</v>
      </c>
    </row>
    <row r="35" spans="1:1" x14ac:dyDescent="0.3">
      <c r="A35" t="s">
        <v>11</v>
      </c>
    </row>
    <row r="36" spans="1:1" x14ac:dyDescent="0.3">
      <c r="A36" t="s">
        <v>10</v>
      </c>
    </row>
    <row r="37" spans="1:1" x14ac:dyDescent="0.3">
      <c r="A37" t="s">
        <v>4</v>
      </c>
    </row>
    <row r="38" spans="1:1" x14ac:dyDescent="0.3">
      <c r="A38" t="s">
        <v>93</v>
      </c>
    </row>
    <row r="39" spans="1:1" x14ac:dyDescent="0.3">
      <c r="A39" t="s">
        <v>20</v>
      </c>
    </row>
    <row r="40" spans="1:1" x14ac:dyDescent="0.3">
      <c r="A40" t="s">
        <v>54</v>
      </c>
    </row>
    <row r="41" spans="1:1" x14ac:dyDescent="0.3">
      <c r="A41" t="s">
        <v>38</v>
      </c>
    </row>
    <row r="42" spans="1:1" x14ac:dyDescent="0.3">
      <c r="A42" t="s">
        <v>135</v>
      </c>
    </row>
    <row r="43" spans="1:1" x14ac:dyDescent="0.3">
      <c r="A43" t="s">
        <v>139</v>
      </c>
    </row>
    <row r="44" spans="1:1" x14ac:dyDescent="0.3">
      <c r="A44" t="s">
        <v>129</v>
      </c>
    </row>
    <row r="45" spans="1:1" x14ac:dyDescent="0.3">
      <c r="A45" t="s">
        <v>96</v>
      </c>
    </row>
    <row r="46" spans="1:1" x14ac:dyDescent="0.3">
      <c r="A46" t="s">
        <v>140</v>
      </c>
    </row>
    <row r="47" spans="1:1" x14ac:dyDescent="0.3">
      <c r="A47" t="s">
        <v>141</v>
      </c>
    </row>
    <row r="48" spans="1:1" x14ac:dyDescent="0.3">
      <c r="A48" t="s">
        <v>35</v>
      </c>
    </row>
    <row r="49" spans="1:1" x14ac:dyDescent="0.3">
      <c r="A49" t="s">
        <v>90</v>
      </c>
    </row>
    <row r="50" spans="1:1" x14ac:dyDescent="0.3">
      <c r="A50" t="s">
        <v>0</v>
      </c>
    </row>
    <row r="51" spans="1:1" x14ac:dyDescent="0.3">
      <c r="A51" t="s">
        <v>142</v>
      </c>
    </row>
    <row r="52" spans="1:1" x14ac:dyDescent="0.3">
      <c r="A52" t="s">
        <v>49</v>
      </c>
    </row>
    <row r="53" spans="1:1" x14ac:dyDescent="0.3">
      <c r="A53" t="s">
        <v>143</v>
      </c>
    </row>
    <row r="54" spans="1:1" x14ac:dyDescent="0.3">
      <c r="A54" t="s">
        <v>144</v>
      </c>
    </row>
    <row r="55" spans="1:1" x14ac:dyDescent="0.3">
      <c r="A55" t="s">
        <v>60</v>
      </c>
    </row>
    <row r="56" spans="1:1" x14ac:dyDescent="0.3">
      <c r="A56" t="s">
        <v>65</v>
      </c>
    </row>
    <row r="57" spans="1:1" x14ac:dyDescent="0.3">
      <c r="A57" t="s">
        <v>66</v>
      </c>
    </row>
    <row r="58" spans="1:1" x14ac:dyDescent="0.3">
      <c r="A58" t="s">
        <v>87</v>
      </c>
    </row>
    <row r="59" spans="1:1" x14ac:dyDescent="0.3">
      <c r="A59" t="s">
        <v>19</v>
      </c>
    </row>
    <row r="60" spans="1:1" x14ac:dyDescent="0.3">
      <c r="A60" t="s">
        <v>18</v>
      </c>
    </row>
    <row r="61" spans="1:1" x14ac:dyDescent="0.3">
      <c r="A61" t="s">
        <v>101</v>
      </c>
    </row>
    <row r="62" spans="1:1" x14ac:dyDescent="0.3">
      <c r="A62" t="s">
        <v>17</v>
      </c>
    </row>
    <row r="63" spans="1:1" x14ac:dyDescent="0.3">
      <c r="A63" t="s">
        <v>36</v>
      </c>
    </row>
    <row r="64" spans="1:1" x14ac:dyDescent="0.3">
      <c r="A64" t="s">
        <v>94</v>
      </c>
    </row>
    <row r="65" spans="1:1" x14ac:dyDescent="0.3">
      <c r="A65" t="s">
        <v>46</v>
      </c>
    </row>
    <row r="66" spans="1:1" x14ac:dyDescent="0.3">
      <c r="A66" t="s">
        <v>145</v>
      </c>
    </row>
    <row r="67" spans="1:1" x14ac:dyDescent="0.3">
      <c r="A67" t="s">
        <v>39</v>
      </c>
    </row>
    <row r="68" spans="1:1" x14ac:dyDescent="0.3">
      <c r="A68" t="s">
        <v>23</v>
      </c>
    </row>
    <row r="69" spans="1:1" x14ac:dyDescent="0.3">
      <c r="A69" t="s">
        <v>146</v>
      </c>
    </row>
    <row r="70" spans="1:1" x14ac:dyDescent="0.3">
      <c r="A70" t="s">
        <v>24</v>
      </c>
    </row>
    <row r="71" spans="1:1" x14ac:dyDescent="0.3">
      <c r="A71" t="s">
        <v>37</v>
      </c>
    </row>
    <row r="72" spans="1:1" x14ac:dyDescent="0.3">
      <c r="A72" t="s">
        <v>97</v>
      </c>
    </row>
    <row r="73" spans="1:1" x14ac:dyDescent="0.3">
      <c r="A73" t="s">
        <v>81</v>
      </c>
    </row>
    <row r="74" spans="1:1" x14ac:dyDescent="0.3">
      <c r="A74" t="s">
        <v>80</v>
      </c>
    </row>
    <row r="75" spans="1:1" x14ac:dyDescent="0.3">
      <c r="A75" t="s">
        <v>86</v>
      </c>
    </row>
    <row r="76" spans="1:1" x14ac:dyDescent="0.3">
      <c r="A76" t="s">
        <v>83</v>
      </c>
    </row>
    <row r="77" spans="1:1" x14ac:dyDescent="0.3">
      <c r="A77" t="s">
        <v>44</v>
      </c>
    </row>
    <row r="78" spans="1:1" x14ac:dyDescent="0.3">
      <c r="A78" t="s">
        <v>45</v>
      </c>
    </row>
    <row r="79" spans="1:1" x14ac:dyDescent="0.3">
      <c r="A79" t="s">
        <v>55</v>
      </c>
    </row>
    <row r="80" spans="1:1" x14ac:dyDescent="0.3">
      <c r="A80" t="s">
        <v>9</v>
      </c>
    </row>
    <row r="81" spans="1:1" x14ac:dyDescent="0.3">
      <c r="A81" t="s">
        <v>85</v>
      </c>
    </row>
    <row r="82" spans="1:1" x14ac:dyDescent="0.3">
      <c r="A82" t="s">
        <v>98</v>
      </c>
    </row>
    <row r="83" spans="1:1" x14ac:dyDescent="0.3">
      <c r="A83" t="s">
        <v>32</v>
      </c>
    </row>
    <row r="84" spans="1:1" x14ac:dyDescent="0.3">
      <c r="A84" t="s">
        <v>33</v>
      </c>
    </row>
    <row r="85" spans="1:1" x14ac:dyDescent="0.3">
      <c r="A85" t="s">
        <v>71</v>
      </c>
    </row>
    <row r="86" spans="1:1" x14ac:dyDescent="0.3">
      <c r="A86" t="s">
        <v>74</v>
      </c>
    </row>
    <row r="87" spans="1:1" x14ac:dyDescent="0.3">
      <c r="A87" t="s">
        <v>75</v>
      </c>
    </row>
    <row r="88" spans="1:1" x14ac:dyDescent="0.3">
      <c r="A88" t="s">
        <v>72</v>
      </c>
    </row>
    <row r="89" spans="1:1" x14ac:dyDescent="0.3">
      <c r="A89" t="s">
        <v>21</v>
      </c>
    </row>
    <row r="90" spans="1:1" x14ac:dyDescent="0.3">
      <c r="A90" t="s">
        <v>5</v>
      </c>
    </row>
    <row r="91" spans="1:1" x14ac:dyDescent="0.3">
      <c r="A91" t="s">
        <v>99</v>
      </c>
    </row>
    <row r="92" spans="1:1" x14ac:dyDescent="0.3">
      <c r="A92" t="s">
        <v>89</v>
      </c>
    </row>
    <row r="93" spans="1:1" x14ac:dyDescent="0.3">
      <c r="A93" t="s">
        <v>3</v>
      </c>
    </row>
    <row r="94" spans="1:1" x14ac:dyDescent="0.3">
      <c r="A94" t="s">
        <v>2</v>
      </c>
    </row>
    <row r="95" spans="1:1" x14ac:dyDescent="0.3">
      <c r="A95" t="s">
        <v>134</v>
      </c>
    </row>
    <row r="96" spans="1:1" x14ac:dyDescent="0.3">
      <c r="A96" t="s">
        <v>79</v>
      </c>
    </row>
    <row r="97" spans="1:1" x14ac:dyDescent="0.3">
      <c r="A97" t="s">
        <v>82</v>
      </c>
    </row>
    <row r="98" spans="1:1" x14ac:dyDescent="0.3">
      <c r="A98" t="s">
        <v>128</v>
      </c>
    </row>
    <row r="99" spans="1:1" x14ac:dyDescent="0.3">
      <c r="A99" t="s">
        <v>133</v>
      </c>
    </row>
    <row r="100" spans="1:1" x14ac:dyDescent="0.3">
      <c r="A100" t="s">
        <v>91</v>
      </c>
    </row>
    <row r="101" spans="1:1" x14ac:dyDescent="0.3">
      <c r="A101" t="s">
        <v>88</v>
      </c>
    </row>
    <row r="102" spans="1:1" x14ac:dyDescent="0.3">
      <c r="A102" t="s">
        <v>92</v>
      </c>
    </row>
    <row r="103" spans="1:1" x14ac:dyDescent="0.3">
      <c r="A103" t="s">
        <v>47</v>
      </c>
    </row>
    <row r="104" spans="1:1" x14ac:dyDescent="0.3">
      <c r="A104" t="s">
        <v>50</v>
      </c>
    </row>
    <row r="105" spans="1:1" x14ac:dyDescent="0.3">
      <c r="A105" t="s">
        <v>51</v>
      </c>
    </row>
    <row r="106" spans="1:1" x14ac:dyDescent="0.3">
      <c r="A106" t="s">
        <v>58</v>
      </c>
    </row>
    <row r="107" spans="1:1" x14ac:dyDescent="0.3">
      <c r="A107" t="s">
        <v>30</v>
      </c>
    </row>
    <row r="108" spans="1:1" x14ac:dyDescent="0.3">
      <c r="A108" t="s">
        <v>31</v>
      </c>
    </row>
    <row r="109" spans="1:1" x14ac:dyDescent="0.3">
      <c r="A109" t="s">
        <v>61</v>
      </c>
    </row>
    <row r="110" spans="1:1" x14ac:dyDescent="0.3">
      <c r="A110" t="s">
        <v>56</v>
      </c>
    </row>
    <row r="111" spans="1:1" x14ac:dyDescent="0.3">
      <c r="A111" t="s">
        <v>52</v>
      </c>
    </row>
    <row r="112" spans="1:1" x14ac:dyDescent="0.3">
      <c r="A112" t="s">
        <v>53</v>
      </c>
    </row>
    <row r="113" spans="1:1" x14ac:dyDescent="0.3">
      <c r="A113" t="s">
        <v>57</v>
      </c>
    </row>
    <row r="114" spans="1:1" x14ac:dyDescent="0.3">
      <c r="A114" t="s">
        <v>59</v>
      </c>
    </row>
    <row r="115" spans="1:1" x14ac:dyDescent="0.3">
      <c r="A115" t="s">
        <v>29</v>
      </c>
    </row>
    <row r="116" spans="1:1" x14ac:dyDescent="0.3">
      <c r="A116" t="s">
        <v>34</v>
      </c>
    </row>
    <row r="117" spans="1:1" x14ac:dyDescent="0.3">
      <c r="A117" t="s">
        <v>147</v>
      </c>
    </row>
    <row r="118" spans="1:1" x14ac:dyDescent="0.3">
      <c r="A118" t="s">
        <v>148</v>
      </c>
    </row>
    <row r="119" spans="1:1" x14ac:dyDescent="0.3">
      <c r="A119" t="s">
        <v>149</v>
      </c>
    </row>
    <row r="120" spans="1:1" x14ac:dyDescent="0.3">
      <c r="A120" t="s">
        <v>95</v>
      </c>
    </row>
    <row r="121" spans="1:1" x14ac:dyDescent="0.3">
      <c r="A121" t="s">
        <v>7</v>
      </c>
    </row>
    <row r="122" spans="1:1" x14ac:dyDescent="0.3">
      <c r="A122" t="s">
        <v>67</v>
      </c>
    </row>
    <row r="123" spans="1:1" x14ac:dyDescent="0.3">
      <c r="A123" t="s">
        <v>68</v>
      </c>
    </row>
    <row r="124" spans="1:1" x14ac:dyDescent="0.3">
      <c r="A124" t="s">
        <v>69</v>
      </c>
    </row>
    <row r="125" spans="1:1" x14ac:dyDescent="0.3">
      <c r="A125" t="s">
        <v>43</v>
      </c>
    </row>
    <row r="126" spans="1:1" x14ac:dyDescent="0.3">
      <c r="A126" t="s">
        <v>42</v>
      </c>
    </row>
    <row r="127" spans="1:1" x14ac:dyDescent="0.3">
      <c r="A127" t="s">
        <v>6</v>
      </c>
    </row>
    <row r="128" spans="1:1" x14ac:dyDescent="0.3">
      <c r="A128" t="s">
        <v>70</v>
      </c>
    </row>
    <row r="129" spans="1:1" x14ac:dyDescent="0.3">
      <c r="A129" t="s">
        <v>63</v>
      </c>
    </row>
    <row r="130" spans="1:1" x14ac:dyDescent="0.3">
      <c r="A130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5"/>
  <sheetViews>
    <sheetView workbookViewId="0">
      <selection activeCell="B9" sqref="B9"/>
    </sheetView>
  </sheetViews>
  <sheetFormatPr defaultRowHeight="14.4" x14ac:dyDescent="0.3"/>
  <cols>
    <col min="1" max="1" width="32.44140625" bestFit="1" customWidth="1"/>
  </cols>
  <sheetData>
    <row r="1" spans="1:1" x14ac:dyDescent="0.3">
      <c r="A1" t="s">
        <v>37</v>
      </c>
    </row>
    <row r="2" spans="1:1" x14ac:dyDescent="0.3">
      <c r="A2" t="s">
        <v>88</v>
      </c>
    </row>
    <row r="3" spans="1:1" x14ac:dyDescent="0.3">
      <c r="A3" t="s">
        <v>99</v>
      </c>
    </row>
    <row r="4" spans="1:1" x14ac:dyDescent="0.3">
      <c r="A4" t="s">
        <v>91</v>
      </c>
    </row>
    <row r="5" spans="1:1" x14ac:dyDescent="0.3">
      <c r="A5" t="s">
        <v>125</v>
      </c>
    </row>
    <row r="6" spans="1:1" x14ac:dyDescent="0.3">
      <c r="A6" t="s">
        <v>126</v>
      </c>
    </row>
    <row r="7" spans="1:1" x14ac:dyDescent="0.3">
      <c r="A7" t="s">
        <v>93</v>
      </c>
    </row>
    <row r="8" spans="1:1" x14ac:dyDescent="0.3">
      <c r="A8" t="s">
        <v>98</v>
      </c>
    </row>
    <row r="9" spans="1:1" x14ac:dyDescent="0.3">
      <c r="A9" t="s">
        <v>127</v>
      </c>
    </row>
    <row r="10" spans="1:1" x14ac:dyDescent="0.3">
      <c r="A10" t="s">
        <v>128</v>
      </c>
    </row>
    <row r="11" spans="1:1" x14ac:dyDescent="0.3">
      <c r="A11" t="s">
        <v>85</v>
      </c>
    </row>
    <row r="12" spans="1:1" x14ac:dyDescent="0.3">
      <c r="A12" t="s">
        <v>96</v>
      </c>
    </row>
    <row r="13" spans="1:1" x14ac:dyDescent="0.3">
      <c r="A13" t="s">
        <v>96</v>
      </c>
    </row>
    <row r="14" spans="1:1" x14ac:dyDescent="0.3">
      <c r="A14" t="s">
        <v>129</v>
      </c>
    </row>
    <row r="15" spans="1:1" x14ac:dyDescent="0.3">
      <c r="A15" t="s">
        <v>89</v>
      </c>
    </row>
    <row r="16" spans="1:1" x14ac:dyDescent="0.3">
      <c r="A16" t="s">
        <v>63</v>
      </c>
    </row>
    <row r="17" spans="1:1" x14ac:dyDescent="0.3">
      <c r="A17" t="s">
        <v>62</v>
      </c>
    </row>
    <row r="18" spans="1:1" x14ac:dyDescent="0.3">
      <c r="A18" t="s">
        <v>29</v>
      </c>
    </row>
    <row r="19" spans="1:1" x14ac:dyDescent="0.3">
      <c r="A19" t="s">
        <v>47</v>
      </c>
    </row>
    <row r="20" spans="1:1" x14ac:dyDescent="0.3">
      <c r="A20" t="s">
        <v>103</v>
      </c>
    </row>
    <row r="21" spans="1:1" x14ac:dyDescent="0.3">
      <c r="A21" t="s">
        <v>104</v>
      </c>
    </row>
    <row r="22" spans="1:1" x14ac:dyDescent="0.3">
      <c r="A22" t="s">
        <v>105</v>
      </c>
    </row>
    <row r="23" spans="1:1" x14ac:dyDescent="0.3">
      <c r="A23" t="s">
        <v>106</v>
      </c>
    </row>
    <row r="24" spans="1:1" x14ac:dyDescent="0.3">
      <c r="A24" t="s">
        <v>108</v>
      </c>
    </row>
    <row r="25" spans="1:1" x14ac:dyDescent="0.3">
      <c r="A25" t="s">
        <v>45</v>
      </c>
    </row>
    <row r="26" spans="1:1" x14ac:dyDescent="0.3">
      <c r="A26" t="s">
        <v>0</v>
      </c>
    </row>
    <row r="27" spans="1:1" x14ac:dyDescent="0.3">
      <c r="A27" t="s">
        <v>130</v>
      </c>
    </row>
    <row r="28" spans="1:1" x14ac:dyDescent="0.3">
      <c r="A28" t="s">
        <v>21</v>
      </c>
    </row>
    <row r="29" spans="1:1" x14ac:dyDescent="0.3">
      <c r="A29" t="s">
        <v>20</v>
      </c>
    </row>
    <row r="30" spans="1:1" x14ac:dyDescent="0.3">
      <c r="A30" t="s">
        <v>6</v>
      </c>
    </row>
    <row r="31" spans="1:1" x14ac:dyDescent="0.3">
      <c r="A31" t="s">
        <v>5</v>
      </c>
    </row>
    <row r="32" spans="1:1" x14ac:dyDescent="0.3">
      <c r="A32" t="s">
        <v>4</v>
      </c>
    </row>
    <row r="33" spans="1:1" x14ac:dyDescent="0.3">
      <c r="A33" t="s">
        <v>111</v>
      </c>
    </row>
    <row r="34" spans="1:1" x14ac:dyDescent="0.3">
      <c r="A34" t="s">
        <v>112</v>
      </c>
    </row>
    <row r="35" spans="1:1" x14ac:dyDescent="0.3">
      <c r="A35" t="s">
        <v>42</v>
      </c>
    </row>
    <row r="36" spans="1:1" x14ac:dyDescent="0.3">
      <c r="A36" t="s">
        <v>36</v>
      </c>
    </row>
    <row r="37" spans="1:1" x14ac:dyDescent="0.3">
      <c r="A37" t="s">
        <v>18</v>
      </c>
    </row>
    <row r="38" spans="1:1" x14ac:dyDescent="0.3">
      <c r="A38" t="s">
        <v>19</v>
      </c>
    </row>
    <row r="39" spans="1:1" x14ac:dyDescent="0.3">
      <c r="A39" t="s">
        <v>69</v>
      </c>
    </row>
    <row r="40" spans="1:1" x14ac:dyDescent="0.3">
      <c r="A40" t="s">
        <v>131</v>
      </c>
    </row>
    <row r="41" spans="1:1" x14ac:dyDescent="0.3">
      <c r="A41" t="s">
        <v>64</v>
      </c>
    </row>
    <row r="42" spans="1:1" x14ac:dyDescent="0.3">
      <c r="A42" t="s">
        <v>2</v>
      </c>
    </row>
    <row r="43" spans="1:1" x14ac:dyDescent="0.3">
      <c r="A43" t="s">
        <v>3</v>
      </c>
    </row>
    <row r="44" spans="1:1" x14ac:dyDescent="0.3">
      <c r="A44" t="s">
        <v>114</v>
      </c>
    </row>
    <row r="45" spans="1:1" x14ac:dyDescent="0.3">
      <c r="A45" t="s">
        <v>115</v>
      </c>
    </row>
    <row r="46" spans="1:1" x14ac:dyDescent="0.3">
      <c r="A46" t="s">
        <v>101</v>
      </c>
    </row>
    <row r="47" spans="1:1" x14ac:dyDescent="0.3">
      <c r="A47" t="s">
        <v>16</v>
      </c>
    </row>
    <row r="48" spans="1:1" x14ac:dyDescent="0.3">
      <c r="A48" t="s">
        <v>120</v>
      </c>
    </row>
    <row r="49" spans="1:1" x14ac:dyDescent="0.3">
      <c r="A49" t="s">
        <v>121</v>
      </c>
    </row>
    <row r="50" spans="1:1" x14ac:dyDescent="0.3">
      <c r="A50" t="s">
        <v>41</v>
      </c>
    </row>
    <row r="51" spans="1:1" x14ac:dyDescent="0.3">
      <c r="A51" t="s">
        <v>122</v>
      </c>
    </row>
    <row r="52" spans="1:1" x14ac:dyDescent="0.3">
      <c r="A52" t="s">
        <v>39</v>
      </c>
    </row>
    <row r="53" spans="1:1" x14ac:dyDescent="0.3">
      <c r="A53" t="s">
        <v>68</v>
      </c>
    </row>
    <row r="54" spans="1:1" x14ac:dyDescent="0.3">
      <c r="A54" t="s">
        <v>40</v>
      </c>
    </row>
    <row r="55" spans="1:1" x14ac:dyDescent="0.3">
      <c r="A55" t="s">
        <v>67</v>
      </c>
    </row>
    <row r="56" spans="1:1" x14ac:dyDescent="0.3">
      <c r="A56" t="s">
        <v>65</v>
      </c>
    </row>
    <row r="57" spans="1:1" x14ac:dyDescent="0.3">
      <c r="A57" t="s">
        <v>87</v>
      </c>
    </row>
    <row r="58" spans="1:1" x14ac:dyDescent="0.3">
      <c r="A58" t="s">
        <v>75</v>
      </c>
    </row>
    <row r="59" spans="1:1" x14ac:dyDescent="0.3">
      <c r="A59" t="s">
        <v>74</v>
      </c>
    </row>
    <row r="60" spans="1:1" x14ac:dyDescent="0.3">
      <c r="A60" t="s">
        <v>73</v>
      </c>
    </row>
    <row r="61" spans="1:1" x14ac:dyDescent="0.3">
      <c r="A61" t="s">
        <v>72</v>
      </c>
    </row>
    <row r="62" spans="1:1" x14ac:dyDescent="0.3">
      <c r="A62" t="s">
        <v>71</v>
      </c>
    </row>
    <row r="63" spans="1:1" x14ac:dyDescent="0.3">
      <c r="A63" t="s">
        <v>79</v>
      </c>
    </row>
    <row r="64" spans="1:1" x14ac:dyDescent="0.3">
      <c r="A64" t="s">
        <v>132</v>
      </c>
    </row>
    <row r="65" spans="1:1" x14ac:dyDescent="0.3">
      <c r="A65" t="s">
        <v>133</v>
      </c>
    </row>
    <row r="66" spans="1:1" x14ac:dyDescent="0.3">
      <c r="A66" t="s">
        <v>133</v>
      </c>
    </row>
    <row r="67" spans="1:1" x14ac:dyDescent="0.3">
      <c r="A67" t="s">
        <v>134</v>
      </c>
    </row>
    <row r="68" spans="1:1" x14ac:dyDescent="0.3">
      <c r="A68" t="s">
        <v>135</v>
      </c>
    </row>
    <row r="69" spans="1:1" x14ac:dyDescent="0.3">
      <c r="A69" t="s">
        <v>70</v>
      </c>
    </row>
    <row r="70" spans="1:1" x14ac:dyDescent="0.3">
      <c r="A70" t="s">
        <v>24</v>
      </c>
    </row>
    <row r="71" spans="1:1" x14ac:dyDescent="0.3">
      <c r="A71" t="s">
        <v>113</v>
      </c>
    </row>
    <row r="72" spans="1:1" x14ac:dyDescent="0.3">
      <c r="A72" t="s">
        <v>18</v>
      </c>
    </row>
    <row r="73" spans="1:1" x14ac:dyDescent="0.3">
      <c r="A73" t="s">
        <v>19</v>
      </c>
    </row>
    <row r="74" spans="1:1" x14ac:dyDescent="0.3">
      <c r="A74" t="s">
        <v>23</v>
      </c>
    </row>
    <row r="75" spans="1:1" x14ac:dyDescent="0.3">
      <c r="A75" t="s">
        <v>9</v>
      </c>
    </row>
    <row r="76" spans="1:1" x14ac:dyDescent="0.3">
      <c r="A76" t="s">
        <v>7</v>
      </c>
    </row>
    <row r="77" spans="1:1" x14ac:dyDescent="0.3">
      <c r="A77" t="s">
        <v>101</v>
      </c>
    </row>
    <row r="78" spans="1:1" x14ac:dyDescent="0.3">
      <c r="A78" t="s">
        <v>48</v>
      </c>
    </row>
    <row r="79" spans="1:1" x14ac:dyDescent="0.3">
      <c r="A79" t="s">
        <v>48</v>
      </c>
    </row>
    <row r="80" spans="1:1" x14ac:dyDescent="0.3">
      <c r="A80" t="s">
        <v>35</v>
      </c>
    </row>
    <row r="81" spans="1:1" x14ac:dyDescent="0.3">
      <c r="A81" t="s">
        <v>75</v>
      </c>
    </row>
    <row r="82" spans="1:1" x14ac:dyDescent="0.3">
      <c r="A82" t="s">
        <v>74</v>
      </c>
    </row>
    <row r="83" spans="1:1" x14ac:dyDescent="0.3">
      <c r="A83" t="s">
        <v>73</v>
      </c>
    </row>
    <row r="84" spans="1:1" x14ac:dyDescent="0.3">
      <c r="A84" t="s">
        <v>72</v>
      </c>
    </row>
    <row r="85" spans="1:1" x14ac:dyDescent="0.3">
      <c r="A85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0" ma:contentTypeDescription="Create a new document." ma:contentTypeScope="" ma:versionID="0466b754c57705aeb9eb8bcab830a777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8c106321a430f9ed8d5169beb4830302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77D0CC-B0BD-43FA-9D57-7BDF6AE6BDA5}">
  <ds:schemaRefs>
    <ds:schemaRef ds:uri="http://schemas.microsoft.com/office/2006/metadata/properties"/>
    <ds:schemaRef ds:uri="http://purl.org/dc/dcmitype/"/>
    <ds:schemaRef ds:uri="22c81bf3-6631-4726-b6e7-8883e60d7aa0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8A78E8-2CE6-4F7A-8B1E-D3F22B176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C1F36-67DD-4BEF-9EA2-F3FC4A771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SOC CHeck</vt:lpstr>
      <vt:lpstr>Qualys</vt:lpstr>
      <vt:lpstr>Sentinel</vt:lpstr>
      <vt:lpstr>Elastic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2025-01-31T13:10:04Z</dcterms:created>
  <dcterms:modified xsi:type="dcterms:W3CDTF">2025-09-26T19:14:09Z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