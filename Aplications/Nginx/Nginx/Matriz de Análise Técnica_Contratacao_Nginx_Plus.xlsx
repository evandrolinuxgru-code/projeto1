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andro.santiago\Downloads\"/>
    </mc:Choice>
  </mc:AlternateContent>
  <bookViews>
    <workbookView xWindow="20376" yWindow="-120" windowWidth="29040" windowHeight="15996"/>
  </bookViews>
  <sheets>
    <sheet name="Matriz de Avaliação" sheetId="1" r:id="rId1"/>
    <sheet name="Justificativas" sheetId="2" r:id="rId2"/>
  </sheets>
  <definedNames>
    <definedName name="_xlnm.Print_Area" localSheetId="1">Justificativas!$A$1:$R$40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2" i="2" l="1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51" i="2"/>
  <c r="B49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51" i="2"/>
  <c r="D37" i="2"/>
  <c r="D38" i="2"/>
  <c r="D39" i="2"/>
  <c r="D40" i="2"/>
  <c r="D41" i="2"/>
  <c r="D42" i="2"/>
  <c r="D43" i="2"/>
  <c r="D44" i="2"/>
  <c r="D45" i="2"/>
  <c r="D46" i="2"/>
  <c r="D47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D16" i="2"/>
  <c r="D17" i="2"/>
  <c r="D18" i="2"/>
  <c r="D19" i="2"/>
  <c r="D20" i="2"/>
  <c r="D21" i="2"/>
  <c r="D22" i="2"/>
  <c r="D23" i="2"/>
  <c r="D24" i="2"/>
  <c r="D25" i="2"/>
  <c r="D26" i="2"/>
  <c r="C25" i="2"/>
  <c r="C26" i="2"/>
  <c r="C23" i="2"/>
  <c r="C24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AB27" i="1" l="1"/>
  <c r="AA27" i="1"/>
  <c r="Z27" i="1"/>
  <c r="Y27" i="1"/>
  <c r="X27" i="1"/>
  <c r="W27" i="1"/>
  <c r="V27" i="1"/>
  <c r="U27" i="1"/>
  <c r="T27" i="1"/>
  <c r="S27" i="1"/>
  <c r="AB26" i="1"/>
  <c r="AA26" i="1"/>
  <c r="Z26" i="1"/>
  <c r="Y26" i="1"/>
  <c r="X26" i="1"/>
  <c r="W26" i="1"/>
  <c r="V26" i="1"/>
  <c r="U26" i="1"/>
  <c r="T26" i="1"/>
  <c r="S26" i="1"/>
  <c r="AB25" i="1"/>
  <c r="AA25" i="1"/>
  <c r="Z25" i="1"/>
  <c r="Y25" i="1"/>
  <c r="X25" i="1"/>
  <c r="W25" i="1"/>
  <c r="V25" i="1"/>
  <c r="U25" i="1"/>
  <c r="T25" i="1"/>
  <c r="S25" i="1"/>
  <c r="AB24" i="1"/>
  <c r="AA24" i="1"/>
  <c r="Z24" i="1"/>
  <c r="Y24" i="1"/>
  <c r="X24" i="1"/>
  <c r="W24" i="1"/>
  <c r="V24" i="1"/>
  <c r="U24" i="1"/>
  <c r="T24" i="1"/>
  <c r="S24" i="1"/>
  <c r="AB23" i="1"/>
  <c r="AA23" i="1"/>
  <c r="Z23" i="1"/>
  <c r="Y23" i="1"/>
  <c r="X23" i="1"/>
  <c r="W23" i="1"/>
  <c r="V23" i="1"/>
  <c r="U23" i="1"/>
  <c r="T23" i="1"/>
  <c r="S23" i="1"/>
  <c r="AB22" i="1"/>
  <c r="AA22" i="1"/>
  <c r="Z22" i="1"/>
  <c r="Y22" i="1"/>
  <c r="X22" i="1"/>
  <c r="W22" i="1"/>
  <c r="V22" i="1"/>
  <c r="U22" i="1"/>
  <c r="T22" i="1"/>
  <c r="S22" i="1"/>
  <c r="AB21" i="1"/>
  <c r="AA21" i="1"/>
  <c r="Z21" i="1"/>
  <c r="Y21" i="1"/>
  <c r="X21" i="1"/>
  <c r="W21" i="1"/>
  <c r="V21" i="1"/>
  <c r="U21" i="1"/>
  <c r="T21" i="1"/>
  <c r="S21" i="1"/>
  <c r="AB20" i="1"/>
  <c r="AA20" i="1"/>
  <c r="Z20" i="1"/>
  <c r="Y20" i="1"/>
  <c r="X20" i="1"/>
  <c r="W20" i="1"/>
  <c r="V20" i="1"/>
  <c r="U20" i="1"/>
  <c r="T20" i="1"/>
  <c r="S20" i="1"/>
  <c r="AB19" i="1"/>
  <c r="AA19" i="1"/>
  <c r="Z19" i="1"/>
  <c r="Y19" i="1"/>
  <c r="X19" i="1"/>
  <c r="W19" i="1"/>
  <c r="V19" i="1"/>
  <c r="U19" i="1"/>
  <c r="T19" i="1"/>
  <c r="S19" i="1"/>
  <c r="AB18" i="1"/>
  <c r="AA18" i="1"/>
  <c r="Z18" i="1"/>
  <c r="Y18" i="1"/>
  <c r="X18" i="1"/>
  <c r="W18" i="1"/>
  <c r="V18" i="1"/>
  <c r="U18" i="1"/>
  <c r="T18" i="1"/>
  <c r="S18" i="1"/>
  <c r="AB17" i="1"/>
  <c r="AA17" i="1"/>
  <c r="Z17" i="1"/>
  <c r="Y17" i="1"/>
  <c r="X17" i="1"/>
  <c r="W17" i="1"/>
  <c r="V17" i="1"/>
  <c r="U17" i="1"/>
  <c r="T17" i="1"/>
  <c r="S17" i="1"/>
  <c r="Y11" i="1"/>
  <c r="Y12" i="1"/>
  <c r="Y13" i="1"/>
  <c r="Y14" i="1"/>
  <c r="Y15" i="1"/>
  <c r="Y16" i="1"/>
  <c r="Y10" i="1"/>
  <c r="D31" i="2" l="1"/>
  <c r="D32" i="2"/>
  <c r="D33" i="2"/>
  <c r="D34" i="2"/>
  <c r="D35" i="2"/>
  <c r="D36" i="2"/>
  <c r="D10" i="2"/>
  <c r="D11" i="2"/>
  <c r="D12" i="2"/>
  <c r="D13" i="2"/>
  <c r="D14" i="2"/>
  <c r="D15" i="2"/>
  <c r="AB15" i="1"/>
  <c r="AA15" i="1"/>
  <c r="Z15" i="1"/>
  <c r="X15" i="1"/>
  <c r="W15" i="1"/>
  <c r="V15" i="1"/>
  <c r="U15" i="1"/>
  <c r="T15" i="1"/>
  <c r="S15" i="1"/>
  <c r="B5" i="2" l="1"/>
  <c r="E4" i="2"/>
  <c r="D30" i="2" l="1"/>
  <c r="C30" i="2"/>
  <c r="D9" i="2"/>
  <c r="C9" i="2"/>
  <c r="AB10" i="1" l="1"/>
  <c r="AB11" i="1"/>
  <c r="AB12" i="1"/>
  <c r="AB13" i="1"/>
  <c r="AB14" i="1"/>
  <c r="AB16" i="1"/>
  <c r="T10" i="1"/>
  <c r="U10" i="1"/>
  <c r="V10" i="1"/>
  <c r="W10" i="1"/>
  <c r="X10" i="1"/>
  <c r="Z10" i="1"/>
  <c r="AA10" i="1"/>
  <c r="T11" i="1"/>
  <c r="U11" i="1"/>
  <c r="V11" i="1"/>
  <c r="W11" i="1"/>
  <c r="X11" i="1"/>
  <c r="Z11" i="1"/>
  <c r="AA11" i="1"/>
  <c r="T12" i="1"/>
  <c r="U12" i="1"/>
  <c r="V12" i="1"/>
  <c r="W12" i="1"/>
  <c r="X12" i="1"/>
  <c r="Z12" i="1"/>
  <c r="AA12" i="1"/>
  <c r="T13" i="1"/>
  <c r="U13" i="1"/>
  <c r="V13" i="1"/>
  <c r="W13" i="1"/>
  <c r="X13" i="1"/>
  <c r="Z13" i="1"/>
  <c r="AA13" i="1"/>
  <c r="T14" i="1"/>
  <c r="U14" i="1"/>
  <c r="V14" i="1"/>
  <c r="W14" i="1"/>
  <c r="X14" i="1"/>
  <c r="Z14" i="1"/>
  <c r="AA14" i="1"/>
  <c r="T16" i="1"/>
  <c r="U16" i="1"/>
  <c r="V16" i="1"/>
  <c r="W16" i="1"/>
  <c r="X16" i="1"/>
  <c r="Z16" i="1"/>
  <c r="AA16" i="1"/>
  <c r="B28" i="2" l="1"/>
  <c r="B7" i="2"/>
  <c r="R9" i="1" l="1"/>
  <c r="S16" i="1"/>
  <c r="S14" i="1"/>
  <c r="S13" i="1"/>
  <c r="S12" i="1"/>
  <c r="S11" i="1"/>
  <c r="S10" i="1"/>
  <c r="R25" i="1" l="1"/>
  <c r="R26" i="1"/>
  <c r="R27" i="1"/>
  <c r="R15" i="1"/>
  <c r="R22" i="1"/>
  <c r="R19" i="1"/>
  <c r="R24" i="1"/>
  <c r="R21" i="1"/>
  <c r="R18" i="1"/>
  <c r="R23" i="1"/>
  <c r="R20" i="1"/>
  <c r="R17" i="1"/>
  <c r="R10" i="1"/>
  <c r="R13" i="1"/>
  <c r="R12" i="1"/>
  <c r="R16" i="1"/>
  <c r="R11" i="1"/>
  <c r="R14" i="1"/>
  <c r="X29" i="1" l="1"/>
  <c r="K29" i="1" s="1"/>
  <c r="K30" i="1" s="1"/>
  <c r="AB29" i="1"/>
  <c r="O29" i="1" s="1"/>
  <c r="O30" i="1" s="1"/>
  <c r="Y29" i="1"/>
  <c r="AA29" i="1"/>
  <c r="N29" i="1" s="1"/>
  <c r="N30" i="1" s="1"/>
  <c r="Z29" i="1"/>
  <c r="M29" i="1" s="1"/>
  <c r="M30" i="1" s="1"/>
  <c r="U29" i="1"/>
  <c r="H29" i="1" s="1"/>
  <c r="H30" i="1" s="1"/>
  <c r="S29" i="1"/>
  <c r="F29" i="1" s="1"/>
  <c r="F30" i="1" s="1"/>
  <c r="T29" i="1"/>
  <c r="G29" i="1" s="1"/>
  <c r="G30" i="1" s="1"/>
  <c r="W29" i="1"/>
  <c r="J29" i="1" s="1"/>
  <c r="J30" i="1" s="1"/>
  <c r="V29" i="1"/>
  <c r="I29" i="1" s="1"/>
  <c r="I30" i="1" s="1"/>
  <c r="L29" i="1" l="1"/>
  <c r="L30" i="1" s="1"/>
  <c r="P29" i="1"/>
  <c r="P30" i="1" s="1"/>
</calcChain>
</file>

<file path=xl/comments1.xml><?xml version="1.0" encoding="utf-8"?>
<comments xmlns="http://schemas.openxmlformats.org/spreadsheetml/2006/main">
  <authors>
    <author>Bruno De Oliveira Gomes</author>
  </authors>
  <commentList>
    <comment ref="C9" authorId="0" shapeId="0">
      <text>
        <r>
          <rPr>
            <b/>
            <sz val="9"/>
            <color indexed="81"/>
            <rFont val="Segoe UI"/>
            <family val="2"/>
          </rPr>
          <t>EXEMPLOS DE REQUISITOS</t>
        </r>
      </text>
    </comment>
    <comment ref="E9" authorId="0" shapeId="0">
      <text>
        <r>
          <rPr>
            <sz val="9"/>
            <color indexed="81"/>
            <rFont val="Segoe UI"/>
            <family val="2"/>
          </rPr>
          <t xml:space="preserve">1 - Desejável
2 - Relevante
3 - Mandatório
</t>
        </r>
      </text>
    </comment>
    <comment ref="F33" authorId="0" shapeId="0">
      <text>
        <r>
          <rPr>
            <sz val="9"/>
            <color indexed="81"/>
            <rFont val="Segoe UI"/>
            <family val="2"/>
          </rPr>
          <t xml:space="preserve">A NOTA DE CORTE É RESPONSABILIDADE DE PREENCHIMENTO DO AVALIADOR TÉCNICO
</t>
        </r>
      </text>
    </comment>
    <comment ref="E42" authorId="0" shapeId="0">
      <text>
        <r>
          <rPr>
            <b/>
            <sz val="9"/>
            <color indexed="81"/>
            <rFont val="Segoe UI"/>
            <charset val="1"/>
          </rPr>
          <t>OBRIGATÓRIO PARA ESCOPO FARMACO</t>
        </r>
      </text>
    </comment>
    <comment ref="E44" authorId="0" shapeId="0">
      <text>
        <r>
          <rPr>
            <b/>
            <sz val="9"/>
            <color indexed="81"/>
            <rFont val="Segoe UI"/>
            <charset val="1"/>
          </rPr>
          <t>OBRIGATÓRIO PARA ESCOPO FARMACO</t>
        </r>
      </text>
    </comment>
  </commentList>
</comments>
</file>

<file path=xl/comments2.xml><?xml version="1.0" encoding="utf-8"?>
<comments xmlns="http://schemas.openxmlformats.org/spreadsheetml/2006/main">
  <authors>
    <author>Bruno De Oliveira Gomes</author>
  </authors>
  <commentList>
    <comment ref="C8" authorId="0" shapeId="0">
      <text>
        <r>
          <rPr>
            <b/>
            <sz val="9"/>
            <color indexed="81"/>
            <rFont val="Segoe UI"/>
            <family val="2"/>
          </rPr>
          <t>EXEMPLOS DE REQUISITOS</t>
        </r>
      </text>
    </comment>
    <comment ref="C29" authorId="0" shapeId="0">
      <text>
        <r>
          <rPr>
            <b/>
            <sz val="9"/>
            <color indexed="81"/>
            <rFont val="Segoe UI"/>
            <family val="2"/>
          </rPr>
          <t>EXEMPLOS DE REQUISITOS</t>
        </r>
      </text>
    </comment>
    <comment ref="C50" authorId="0" shapeId="0">
      <text>
        <r>
          <rPr>
            <b/>
            <sz val="9"/>
            <color indexed="81"/>
            <rFont val="Segoe UI"/>
            <family val="2"/>
          </rPr>
          <t>EXEMPLOS DE REQUISITOS</t>
        </r>
      </text>
    </comment>
  </commentList>
</comments>
</file>

<file path=xl/sharedStrings.xml><?xml version="1.0" encoding="utf-8"?>
<sst xmlns="http://schemas.openxmlformats.org/spreadsheetml/2006/main" count="175" uniqueCount="105">
  <si>
    <t>FORMULÁRIO - FO</t>
  </si>
  <si>
    <t>Código</t>
  </si>
  <si>
    <t>FO.SUP.014 - 1.0</t>
  </si>
  <si>
    <t>Data</t>
  </si>
  <si>
    <t>Título:</t>
  </si>
  <si>
    <t>Área</t>
  </si>
  <si>
    <t>SUP</t>
  </si>
  <si>
    <t>Páginas</t>
  </si>
  <si>
    <t>ESCOPO DA CONTRATAÇÃO:</t>
  </si>
  <si>
    <r>
      <t xml:space="preserve">Prestaçao de Serviços </t>
    </r>
    <r>
      <rPr>
        <b/>
        <i/>
        <sz val="10"/>
        <color rgb="FFFF0000"/>
        <rFont val="Arial"/>
        <family val="2"/>
      </rPr>
      <t xml:space="preserve">XXXXXXXXXXX </t>
    </r>
    <r>
      <rPr>
        <b/>
        <i/>
        <sz val="10"/>
        <rFont val="Arial"/>
        <family val="2"/>
      </rPr>
      <t>no Aeroporto de Guarulhos.</t>
    </r>
  </si>
  <si>
    <t>Nome Fornecedor 7</t>
  </si>
  <si>
    <t>Nome Fornecedor 8</t>
  </si>
  <si>
    <t>Nome Fornecedor 9</t>
  </si>
  <si>
    <t>Nome Fornecedor 10</t>
  </si>
  <si>
    <t>Peso Total</t>
  </si>
  <si>
    <t>Item</t>
  </si>
  <si>
    <t>Requisito Avaliado</t>
  </si>
  <si>
    <t>Área Avaliadora</t>
  </si>
  <si>
    <t>Peso</t>
  </si>
  <si>
    <t>Área tecnica</t>
  </si>
  <si>
    <t>NOTA E RESULTADO FINAL</t>
  </si>
  <si>
    <t>* Itens avaliados como "Atende Parcialmente" ou "Não Atende" devem ser detalhados na folha justificativas.</t>
  </si>
  <si>
    <t>Legenda Pesos</t>
  </si>
  <si>
    <t>Nota de Corte</t>
  </si>
  <si>
    <t>Peso 1</t>
  </si>
  <si>
    <t>Desejável</t>
  </si>
  <si>
    <t>Peso 2</t>
  </si>
  <si>
    <t>Relevante</t>
  </si>
  <si>
    <t>Peso 3</t>
  </si>
  <si>
    <t>Mandatório</t>
  </si>
  <si>
    <t>Responsáveis:</t>
  </si>
  <si>
    <t>Nome:</t>
  </si>
  <si>
    <t>Data:</t>
  </si>
  <si>
    <t>Responsável pela avaliação (Área Técnica):</t>
  </si>
  <si>
    <t>Responsável pela avaliação (Qualidade):</t>
  </si>
  <si>
    <t>Responsável pela avaliação (Farmacêutico):</t>
  </si>
  <si>
    <t>Justificativa:</t>
  </si>
  <si>
    <t>Fornecedor03</t>
  </si>
  <si>
    <t>Fornecedor04</t>
  </si>
  <si>
    <t>Fornecedor05</t>
  </si>
  <si>
    <t>Fornecedor06</t>
  </si>
  <si>
    <t>Fornecedor07</t>
  </si>
  <si>
    <t>Atende</t>
  </si>
  <si>
    <t>Não atende</t>
  </si>
  <si>
    <t>NTT DATA</t>
  </si>
  <si>
    <t>Agility</t>
  </si>
  <si>
    <t>A proposta contempla licenciamento do NGINX Plus em cluster com validade de 60 meses?</t>
  </si>
  <si>
    <t>O fornecedor possui parceria oficial com a F5 e experiência comprovada na oferta de suporte técnico para o NGINX Plus?</t>
  </si>
  <si>
    <t>O suporte técnico oferecido é 24x7, com acesso direto ao fabricante e com garantia de atualizações e correções de segurança?</t>
  </si>
  <si>
    <t>O suporte técnico será prestado em quais idiomas? Existe opção de atendimento em português?</t>
  </si>
  <si>
    <t>O licenciamento contempla a entrega de duas ou mais instâncias em alta disponibilidade (HA)?</t>
  </si>
  <si>
    <t>Quais documentos técnicos comprovam a aptidão técnica para prestação dos serviços descritos neste TR?</t>
  </si>
  <si>
    <t>A proposta apresenta referências de clientes anteriores com casos semelhantes?</t>
  </si>
  <si>
    <t>Haverá alguma limitação quanto ao canal de atendimento com o fabricante (F5)?</t>
  </si>
  <si>
    <t>A empresa consegue atender 100% do escopo com equipe própria, ou haverá subcontratação?</t>
  </si>
  <si>
    <t>Existe garantia formal de acesso aos patches e atualizações de segurança durante toda a vigência do contrato?</t>
  </si>
  <si>
    <t>O contrato proposto está alinhado ao modelo de OPEX com vigência contínua, conforme definido no TR?</t>
  </si>
  <si>
    <t>Existe cronograma proposto de ativação e entrega das licenças?</t>
  </si>
  <si>
    <t>Há previsão de entrega de documentação técnica ao final da implantação?</t>
  </si>
  <si>
    <t>O fornecedor está apto a entregar comprovante de realização de treinamento, se exigido?</t>
  </si>
  <si>
    <t>Existe algum SLA formal (mesmo que do fabricante) com prazos definidos para resposta e resolução de chamados críticos?</t>
  </si>
  <si>
    <t>Caso o suporte seja prestado via F5, o parceiro tem capacidade de intermediar e acompanhar chamados de forma ativa?</t>
  </si>
  <si>
    <t>Quais canais de contato técnico estarão disponíveis para a GRU Airport?</t>
  </si>
  <si>
    <t>O fornecedor possui capacidade de atuação conforme regras de segurança, mesmo sendo serviço remoto?</t>
  </si>
  <si>
    <t>Atende parcialmente</t>
  </si>
  <si>
    <t>Licenciamento de cluster está previsto, com foco em subscrição.</t>
  </si>
  <si>
    <t>Proposta não menciona vínculo formal com a F5 nem experiência comprovada.</t>
  </si>
  <si>
    <t>Oferece suporte via F5 24x7, mas sem detalhar intermediação ou garantias locais.</t>
  </si>
  <si>
    <t>Suporte apenas em inglês, via canal F5.</t>
  </si>
  <si>
    <t>Cluster com alta disponibilidade é citado.</t>
  </si>
  <si>
    <t>Não apresenta documentação técnica ou comprovação de aptidão.</t>
  </si>
  <si>
    <t>Não há menção a clientes ou histórico semelhante.</t>
  </si>
  <si>
    <t>F5 é o canal direto, mas parceiro não acompanha ou intermedia.</t>
  </si>
  <si>
    <t>Não demonstra equipe própria para execução ou suporte técnico.</t>
  </si>
  <si>
    <t>Atualizações são cobertas pela subscrição da F5.</t>
  </si>
  <si>
    <t>Contrato segue modelo OPEX com prazo definido de 60 meses.</t>
  </si>
  <si>
    <t>Não apresenta cronograma ou datas de entrega técnica.</t>
  </si>
  <si>
    <t>Documentação técnica não está prevista na proposta.</t>
  </si>
  <si>
    <t>Não contempla nenhum tipo de treinamento.</t>
  </si>
  <si>
    <t>Não há SLA definido com tempos de resposta ou resolução.</t>
  </si>
  <si>
    <t>Não há estrutura local para intermediação de suporte F5.</t>
  </si>
  <si>
    <t>Canal de suporte é da F5, parceiro não define atendimento próprio.</t>
  </si>
  <si>
    <t>Serviço é remoto, mas sem detalhamento de conformidade com normas locais.</t>
  </si>
  <si>
    <t>Inclui licenciamento de cluster NGINX Plus com prazo de 60 meses.</t>
  </si>
  <si>
    <t>Se declara parceira e implementadora, mas sem prova de certificação máxima.</t>
  </si>
  <si>
    <t>Oferece suporte F5 24x7 (Premium) e equipe própria N1/N2.</t>
  </si>
  <si>
    <t>Atendimento da F5 em inglês, com suporte local parcial em português.</t>
  </si>
  <si>
    <t>Entrega prevê duas instâncias em HA.</t>
  </si>
  <si>
    <t>Cita escopo técnico e equipe, mas não anexa documentação formal.</t>
  </si>
  <si>
    <t>Proposta não apresenta histórico de clientes.</t>
  </si>
  <si>
    <t>Canal com F5 existe, mas limitações dependem da F5.</t>
  </si>
  <si>
    <t>Realiza com equipe própria sem terceirização informada.</t>
  </si>
  <si>
    <t>Inclui atualizações contínuas conforme política da F5.</t>
  </si>
  <si>
    <t>Modelo OPEX com vigência de 60 meses está atendido.</t>
  </si>
  <si>
    <t>Descreve escopo técnico e atividades, mas não detalha prazos fixos.</t>
  </si>
  <si>
    <t>Documentação técnica da implantação está prevista.</t>
  </si>
  <si>
    <t>Inclui dois treinamentos oficiais F5 sobre NGINX.</t>
  </si>
  <si>
    <t>Cita suporte estruturado, mas sem tempos de SLA formalizados.</t>
  </si>
  <si>
    <t>Equipe realiza acompanhamento e intermediação junto à F5.</t>
  </si>
  <si>
    <t>Proposta não detalha canais de atendimento técnico dedicados.</t>
  </si>
  <si>
    <t>Cita conformidade geral, mas não detalha aderência a regras de segurança locais.</t>
  </si>
  <si>
    <t xml:space="preserve">Matriz de Avaliação Técnica e Qualidade </t>
  </si>
  <si>
    <t>Matriz de Avaliação Técnica e Qualidade</t>
  </si>
  <si>
    <r>
      <t xml:space="preserve">Prestaçao de Serviços </t>
    </r>
    <r>
      <rPr>
        <b/>
        <i/>
        <sz val="10"/>
        <color rgb="FFFF0000"/>
        <rFont val="Arial"/>
        <family val="2"/>
      </rPr>
      <t xml:space="preserve">Solução Nginx Plus </t>
    </r>
    <r>
      <rPr>
        <b/>
        <i/>
        <sz val="10"/>
        <rFont val="Arial"/>
        <family val="2"/>
      </rPr>
      <t>no Aeroporto de Guarulhos.</t>
    </r>
  </si>
  <si>
    <t>Evandro Pereira 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</si>
</sst>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333333"/>
      <name val="Arial"/>
      <family val="2"/>
    </font>
    <font>
      <b/>
      <sz val="10"/>
      <color rgb="FF333333"/>
      <name val="Arial"/>
      <family val="2"/>
    </font>
    <font>
      <sz val="10"/>
      <color rgb="FF333333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i/>
      <sz val="10"/>
      <name val="Arial"/>
      <family val="2"/>
    </font>
    <font>
      <b/>
      <i/>
      <sz val="10"/>
      <color rgb="FFFF0000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9"/>
      <color indexed="81"/>
      <name val="Segoe UI"/>
      <charset val="1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6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2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0" fillId="3" borderId="3" xfId="0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left"/>
    </xf>
    <xf numFmtId="0" fontId="5" fillId="4" borderId="4" xfId="0" applyFont="1" applyFill="1" applyBorder="1" applyAlignment="1">
      <alignment horizontal="center"/>
    </xf>
    <xf numFmtId="14" fontId="5" fillId="4" borderId="4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4" fontId="5" fillId="7" borderId="1" xfId="0" applyNumberFormat="1" applyFont="1" applyFill="1" applyBorder="1" applyAlignment="1">
      <alignment horizontal="center"/>
    </xf>
    <xf numFmtId="0" fontId="5" fillId="7" borderId="1" xfId="0" applyFont="1" applyFill="1" applyBorder="1"/>
    <xf numFmtId="0" fontId="5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14" fontId="9" fillId="0" borderId="1" xfId="0" applyNumberFormat="1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0" fontId="0" fillId="0" borderId="2" xfId="0" applyBorder="1"/>
    <xf numFmtId="0" fontId="10" fillId="5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11" fillId="7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/>
    </xf>
    <xf numFmtId="14" fontId="5" fillId="4" borderId="0" xfId="0" applyNumberFormat="1" applyFont="1" applyFill="1" applyAlignment="1">
      <alignment horizontal="center"/>
    </xf>
    <xf numFmtId="14" fontId="5" fillId="7" borderId="0" xfId="0" applyNumberFormat="1" applyFont="1" applyFill="1" applyAlignment="1">
      <alignment horizontal="center"/>
    </xf>
    <xf numFmtId="0" fontId="9" fillId="4" borderId="0" xfId="0" applyFont="1" applyFill="1" applyAlignment="1">
      <alignment horizontal="center" vertical="center" wrapText="1"/>
    </xf>
    <xf numFmtId="14" fontId="9" fillId="4" borderId="0" xfId="0" applyNumberFormat="1" applyFont="1" applyFill="1" applyAlignment="1">
      <alignment horizontal="center" vertical="center" wrapText="1"/>
    </xf>
    <xf numFmtId="164" fontId="9" fillId="4" borderId="0" xfId="0" applyNumberFormat="1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13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/>
    </xf>
    <xf numFmtId="2" fontId="3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5" fillId="7" borderId="14" xfId="0" applyFont="1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13" fillId="0" borderId="15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11" fillId="7" borderId="10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0" fontId="0" fillId="7" borderId="4" xfId="0" applyFill="1" applyBorder="1" applyAlignment="1">
      <alignment horizontal="left"/>
    </xf>
    <xf numFmtId="0" fontId="0" fillId="7" borderId="5" xfId="0" applyFill="1" applyBorder="1" applyAlignment="1">
      <alignment horizontal="left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8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0" fillId="7" borderId="3" xfId="0" applyFill="1" applyBorder="1" applyAlignment="1"/>
    <xf numFmtId="0" fontId="0" fillId="0" borderId="0" xfId="0"/>
    <xf numFmtId="0" fontId="0" fillId="7" borderId="4" xfId="0" applyFill="1" applyBorder="1" applyAlignment="1"/>
    <xf numFmtId="0" fontId="0" fillId="7" borderId="5" xfId="0" applyFill="1" applyBorder="1" applyAlignment="1"/>
    <xf numFmtId="2" fontId="2" fillId="2" borderId="3" xfId="0" applyNumberFormat="1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474194</xdr:colOff>
      <xdr:row>0</xdr:row>
      <xdr:rowOff>55303</xdr:rowOff>
    </xdr:from>
    <xdr:to>
      <xdr:col>2</xdr:col>
      <xdr:colOff>2287058</xdr:colOff>
      <xdr:row>3</xdr:row>
      <xdr:rowOff>141002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4361" y="55303"/>
          <a:ext cx="1812864" cy="5619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505945</xdr:colOff>
      <xdr:row>0</xdr:row>
      <xdr:rowOff>34136</xdr:rowOff>
    </xdr:from>
    <xdr:to>
      <xdr:col>2</xdr:col>
      <xdr:colOff>1809750</xdr:colOff>
      <xdr:row>2</xdr:row>
      <xdr:rowOff>7216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220" y="34136"/>
          <a:ext cx="1808630" cy="5714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AB44"/>
  <sheetViews>
    <sheetView showGridLines="0" tabSelected="1" zoomScale="90" zoomScaleNormal="90" workbookViewId="0">
      <selection activeCell="E10" sqref="E10:E27"/>
    </sheetView>
  </sheetViews>
  <sheetFormatPr defaultRowHeight="14.4" outlineLevelCol="1" x14ac:dyDescent="0.3"/>
  <cols>
    <col min="1" max="1" width="4.44140625" customWidth="1"/>
    <col min="2" max="2" width="9.109375" style="1"/>
    <col min="3" max="3" width="73.109375" customWidth="1"/>
    <col min="4" max="4" width="16.5546875" customWidth="1"/>
    <col min="5" max="5" width="9" style="1" customWidth="1"/>
    <col min="6" max="6" width="21" style="1" customWidth="1"/>
    <col min="7" max="7" width="21.88671875" style="1" customWidth="1"/>
    <col min="8" max="9" width="21" style="1" customWidth="1"/>
    <col min="10" max="11" width="23.109375" style="1" customWidth="1"/>
    <col min="12" max="15" width="23.109375" style="1" hidden="1" customWidth="1" outlineLevel="1"/>
    <col min="16" max="16" width="23.109375" style="1" customWidth="1" outlineLevel="1"/>
    <col min="17" max="17" width="7.6640625" style="45" customWidth="1"/>
    <col min="18" max="18" width="21" style="1" customWidth="1"/>
    <col min="19" max="28" width="5.5546875" customWidth="1"/>
  </cols>
  <sheetData>
    <row r="1" spans="2:28" ht="12.75" customHeight="1" x14ac:dyDescent="0.3">
      <c r="B1" s="58"/>
      <c r="C1" s="59"/>
      <c r="D1" s="60"/>
      <c r="E1" s="73" t="s">
        <v>0</v>
      </c>
      <c r="F1" s="74"/>
      <c r="G1" s="74"/>
      <c r="H1" s="74"/>
      <c r="I1" s="75"/>
      <c r="J1" s="9" t="s">
        <v>1</v>
      </c>
      <c r="K1" s="9" t="s">
        <v>2</v>
      </c>
      <c r="L1" s="33"/>
      <c r="M1" s="33"/>
      <c r="N1" s="33"/>
      <c r="O1" s="33"/>
      <c r="P1" s="33"/>
      <c r="Q1" s="40"/>
    </row>
    <row r="2" spans="2:28" ht="12.75" customHeight="1" x14ac:dyDescent="0.3">
      <c r="B2" s="61"/>
      <c r="C2" s="62"/>
      <c r="D2" s="63"/>
      <c r="E2" s="76"/>
      <c r="F2" s="77"/>
      <c r="G2" s="77"/>
      <c r="H2" s="77"/>
      <c r="I2" s="78"/>
      <c r="J2" s="9" t="s">
        <v>3</v>
      </c>
      <c r="K2" s="29">
        <v>45757</v>
      </c>
      <c r="L2" s="34"/>
      <c r="M2" s="34"/>
      <c r="N2" s="34"/>
      <c r="O2" s="34"/>
      <c r="P2" s="34"/>
      <c r="Q2" s="41"/>
    </row>
    <row r="3" spans="2:28" ht="12.75" customHeight="1" x14ac:dyDescent="0.3">
      <c r="B3" s="61"/>
      <c r="C3" s="62"/>
      <c r="D3" s="63"/>
      <c r="E3" s="10" t="s">
        <v>4</v>
      </c>
      <c r="F3" s="11"/>
      <c r="G3" s="11"/>
      <c r="H3" s="11"/>
      <c r="J3" s="9" t="s">
        <v>5</v>
      </c>
      <c r="K3" s="9" t="s">
        <v>6</v>
      </c>
      <c r="L3" s="33"/>
      <c r="M3" s="33"/>
      <c r="N3" s="33"/>
      <c r="O3" s="33"/>
      <c r="P3" s="33"/>
      <c r="Q3" s="40"/>
    </row>
    <row r="4" spans="2:28" ht="12.75" customHeight="1" x14ac:dyDescent="0.3">
      <c r="B4" s="64"/>
      <c r="C4" s="65"/>
      <c r="D4" s="66"/>
      <c r="E4" s="12" t="s">
        <v>102</v>
      </c>
      <c r="F4" s="13"/>
      <c r="G4" s="13"/>
      <c r="H4" s="13"/>
      <c r="I4" s="5"/>
      <c r="J4" s="9" t="s">
        <v>7</v>
      </c>
      <c r="K4" s="30">
        <v>44593</v>
      </c>
      <c r="L4" s="35"/>
      <c r="M4" s="35"/>
      <c r="N4" s="35"/>
      <c r="O4" s="35"/>
      <c r="P4" s="35"/>
      <c r="Q4" s="42"/>
    </row>
    <row r="5" spans="2:28" ht="13.5" customHeight="1" x14ac:dyDescent="0.3">
      <c r="B5" s="70" t="s">
        <v>101</v>
      </c>
      <c r="C5" s="71"/>
      <c r="D5" s="71"/>
      <c r="E5" s="71"/>
      <c r="F5" s="71"/>
      <c r="G5" s="71"/>
      <c r="H5" s="71"/>
      <c r="I5" s="71"/>
      <c r="J5" s="71"/>
      <c r="K5" s="72"/>
      <c r="L5" s="32"/>
      <c r="M5" s="32"/>
      <c r="N5" s="32"/>
      <c r="O5" s="32"/>
      <c r="P5" s="32"/>
      <c r="Q5" s="43"/>
    </row>
    <row r="6" spans="2:28" x14ac:dyDescent="0.3">
      <c r="B6" s="57" t="s">
        <v>8</v>
      </c>
      <c r="C6" s="57"/>
      <c r="D6" s="57"/>
      <c r="E6" s="57"/>
      <c r="F6" s="67" t="s">
        <v>103</v>
      </c>
      <c r="G6" s="68"/>
      <c r="H6" s="68"/>
      <c r="I6" s="68"/>
      <c r="J6" s="68"/>
      <c r="K6" s="69"/>
      <c r="L6" s="36"/>
      <c r="M6" s="36"/>
      <c r="N6" s="36"/>
      <c r="O6" s="36"/>
      <c r="P6" s="36"/>
      <c r="Q6" s="44"/>
    </row>
    <row r="8" spans="2:28" x14ac:dyDescent="0.3">
      <c r="F8" s="55" t="s">
        <v>44</v>
      </c>
      <c r="G8" s="55" t="s">
        <v>45</v>
      </c>
      <c r="H8" s="55" t="s">
        <v>37</v>
      </c>
      <c r="I8" s="55" t="s">
        <v>38</v>
      </c>
      <c r="J8" s="55" t="s">
        <v>39</v>
      </c>
      <c r="K8" s="55" t="s">
        <v>40</v>
      </c>
      <c r="L8" s="55" t="s">
        <v>10</v>
      </c>
      <c r="M8" s="55" t="s">
        <v>11</v>
      </c>
      <c r="N8" s="55" t="s">
        <v>12</v>
      </c>
      <c r="O8" s="55" t="s">
        <v>13</v>
      </c>
      <c r="P8" s="55" t="s">
        <v>41</v>
      </c>
      <c r="Q8" s="46"/>
      <c r="R8" s="1" t="s">
        <v>14</v>
      </c>
    </row>
    <row r="9" spans="2:28" x14ac:dyDescent="0.3">
      <c r="B9" s="6" t="s">
        <v>15</v>
      </c>
      <c r="C9" s="6" t="s">
        <v>16</v>
      </c>
      <c r="D9" s="14" t="s">
        <v>17</v>
      </c>
      <c r="E9" s="14" t="s">
        <v>18</v>
      </c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46"/>
      <c r="R9" s="1">
        <f>SUM(E10:E27)</f>
        <v>47</v>
      </c>
      <c r="S9" s="4">
        <v>1</v>
      </c>
      <c r="T9" s="4">
        <v>2</v>
      </c>
      <c r="U9" s="4">
        <v>3</v>
      </c>
      <c r="V9" s="4">
        <v>4</v>
      </c>
      <c r="W9" s="4">
        <v>5</v>
      </c>
      <c r="X9" s="4">
        <v>6</v>
      </c>
      <c r="Y9" s="4">
        <v>7</v>
      </c>
      <c r="Z9" s="4">
        <v>8</v>
      </c>
      <c r="AA9" s="4">
        <v>9</v>
      </c>
      <c r="AB9" s="4">
        <v>10</v>
      </c>
    </row>
    <row r="10" spans="2:28" ht="14.4" customHeight="1" x14ac:dyDescent="0.3">
      <c r="B10" s="51">
        <v>1</v>
      </c>
      <c r="C10" s="54" t="s">
        <v>46</v>
      </c>
      <c r="D10" s="51" t="s">
        <v>19</v>
      </c>
      <c r="E10" s="51">
        <v>2</v>
      </c>
      <c r="F10" s="51" t="s">
        <v>42</v>
      </c>
      <c r="G10" s="51" t="s">
        <v>42</v>
      </c>
      <c r="H10" s="26"/>
      <c r="I10" s="26"/>
      <c r="J10" s="26"/>
      <c r="K10" s="26"/>
      <c r="L10" s="26"/>
      <c r="M10" s="26"/>
      <c r="N10" s="26"/>
      <c r="O10" s="26"/>
      <c r="P10" s="26"/>
      <c r="Q10" s="47"/>
      <c r="R10" s="2">
        <f t="shared" ref="R10:R16" si="0">E10/$R$9</f>
        <v>4.2553191489361701E-2</v>
      </c>
      <c r="S10">
        <f t="shared" ref="S10:S16" si="1">IF(F10="Atende",5,IF(F10="Atende Parcialmente",3,0))</f>
        <v>5</v>
      </c>
      <c r="T10">
        <f t="shared" ref="T10:T16" si="2">IF(G10="Atende",5,IF(G10="Atende Parcialmente",3,0))</f>
        <v>5</v>
      </c>
      <c r="U10">
        <f t="shared" ref="U10:U16" si="3">IF(H10="Atende",5,IF(H10="Atende Parcialmente",3,0))</f>
        <v>0</v>
      </c>
      <c r="V10">
        <f t="shared" ref="V10:V16" si="4">IF(I10="Atende",5,IF(I10="Atende Parcialmente",3,0))</f>
        <v>0</v>
      </c>
      <c r="W10">
        <f t="shared" ref="W10:W16" si="5">IF(J10="Atende",5,IF(J10="Atende Parcialmente",3,0))</f>
        <v>0</v>
      </c>
      <c r="X10">
        <f t="shared" ref="X10:X16" si="6">IF(K10="Atende",5,IF(K10="Atende Parcialmente",3,0))</f>
        <v>0</v>
      </c>
      <c r="Y10">
        <f>IF(P10="Atende",5,IF(P10="Atende Parcialmente",3,0))</f>
        <v>0</v>
      </c>
      <c r="Z10">
        <f t="shared" ref="Z10:Z16" si="7">IF(M10="Atende",5,IF(M10="Atende Parcialmente",3,0))</f>
        <v>0</v>
      </c>
      <c r="AA10">
        <f t="shared" ref="AA10:AB14" si="8">IF(N10="Atende",5,IF(N10="Atende Parcialmente",3,0))</f>
        <v>0</v>
      </c>
      <c r="AB10">
        <f t="shared" si="8"/>
        <v>0</v>
      </c>
    </row>
    <row r="11" spans="2:28" ht="14.4" customHeight="1" x14ac:dyDescent="0.3">
      <c r="B11" s="51">
        <v>2</v>
      </c>
      <c r="C11" s="54" t="s">
        <v>47</v>
      </c>
      <c r="D11" s="51" t="s">
        <v>19</v>
      </c>
      <c r="E11" s="51">
        <v>3</v>
      </c>
      <c r="F11" s="51" t="s">
        <v>43</v>
      </c>
      <c r="G11" s="51" t="s">
        <v>64</v>
      </c>
      <c r="H11" s="26"/>
      <c r="I11" s="26"/>
      <c r="J11" s="26"/>
      <c r="K11" s="26"/>
      <c r="L11" s="26"/>
      <c r="M11" s="26"/>
      <c r="N11" s="26"/>
      <c r="O11" s="26"/>
      <c r="P11" s="26"/>
      <c r="Q11" s="47"/>
      <c r="R11" s="2">
        <f t="shared" si="0"/>
        <v>6.3829787234042548E-2</v>
      </c>
      <c r="S11">
        <f t="shared" si="1"/>
        <v>0</v>
      </c>
      <c r="T11">
        <f t="shared" si="2"/>
        <v>3</v>
      </c>
      <c r="U11">
        <f t="shared" si="3"/>
        <v>0</v>
      </c>
      <c r="V11">
        <f t="shared" si="4"/>
        <v>0</v>
      </c>
      <c r="W11">
        <f t="shared" si="5"/>
        <v>0</v>
      </c>
      <c r="X11">
        <f t="shared" si="6"/>
        <v>0</v>
      </c>
      <c r="Y11">
        <f t="shared" ref="Y11:Y16" si="9">IF(P11="Atende",5,IF(P11="Atende Parcialmente",3,0))</f>
        <v>0</v>
      </c>
      <c r="Z11">
        <f t="shared" si="7"/>
        <v>0</v>
      </c>
      <c r="AA11">
        <f t="shared" si="8"/>
        <v>0</v>
      </c>
      <c r="AB11">
        <f t="shared" si="8"/>
        <v>0</v>
      </c>
    </row>
    <row r="12" spans="2:28" ht="14.4" customHeight="1" x14ac:dyDescent="0.3">
      <c r="B12" s="51">
        <v>3</v>
      </c>
      <c r="C12" s="54" t="s">
        <v>48</v>
      </c>
      <c r="D12" s="51" t="s">
        <v>19</v>
      </c>
      <c r="E12" s="51">
        <v>3</v>
      </c>
      <c r="F12" s="51" t="s">
        <v>64</v>
      </c>
      <c r="G12" s="51" t="s">
        <v>42</v>
      </c>
      <c r="H12" s="26"/>
      <c r="I12" s="26"/>
      <c r="J12" s="26"/>
      <c r="K12" s="26"/>
      <c r="L12" s="26"/>
      <c r="M12" s="26"/>
      <c r="N12" s="26"/>
      <c r="O12" s="26"/>
      <c r="P12" s="26"/>
      <c r="Q12" s="47"/>
      <c r="R12" s="2">
        <f t="shared" si="0"/>
        <v>6.3829787234042548E-2</v>
      </c>
      <c r="S12">
        <f t="shared" si="1"/>
        <v>3</v>
      </c>
      <c r="T12">
        <f t="shared" si="2"/>
        <v>5</v>
      </c>
      <c r="U12">
        <f t="shared" si="3"/>
        <v>0</v>
      </c>
      <c r="V12">
        <f t="shared" si="4"/>
        <v>0</v>
      </c>
      <c r="W12">
        <f t="shared" si="5"/>
        <v>0</v>
      </c>
      <c r="X12">
        <f t="shared" si="6"/>
        <v>0</v>
      </c>
      <c r="Y12">
        <f t="shared" si="9"/>
        <v>0</v>
      </c>
      <c r="Z12">
        <f t="shared" si="7"/>
        <v>0</v>
      </c>
      <c r="AA12">
        <f t="shared" si="8"/>
        <v>0</v>
      </c>
      <c r="AB12">
        <f t="shared" si="8"/>
        <v>0</v>
      </c>
    </row>
    <row r="13" spans="2:28" ht="14.4" customHeight="1" x14ac:dyDescent="0.3">
      <c r="B13" s="51">
        <v>4</v>
      </c>
      <c r="C13" s="54" t="s">
        <v>49</v>
      </c>
      <c r="D13" s="51" t="s">
        <v>19</v>
      </c>
      <c r="E13" s="51">
        <v>3</v>
      </c>
      <c r="F13" s="51" t="s">
        <v>43</v>
      </c>
      <c r="G13" s="51" t="s">
        <v>64</v>
      </c>
      <c r="H13" s="26"/>
      <c r="I13" s="26"/>
      <c r="J13" s="26"/>
      <c r="K13" s="26"/>
      <c r="L13" s="26"/>
      <c r="M13" s="26"/>
      <c r="N13" s="26"/>
      <c r="O13" s="26"/>
      <c r="P13" s="26"/>
      <c r="Q13" s="47"/>
      <c r="R13" s="2">
        <f t="shared" si="0"/>
        <v>6.3829787234042548E-2</v>
      </c>
      <c r="S13">
        <f t="shared" si="1"/>
        <v>0</v>
      </c>
      <c r="T13">
        <f t="shared" si="2"/>
        <v>3</v>
      </c>
      <c r="U13">
        <f t="shared" si="3"/>
        <v>0</v>
      </c>
      <c r="V13">
        <f t="shared" si="4"/>
        <v>0</v>
      </c>
      <c r="W13">
        <f t="shared" si="5"/>
        <v>0</v>
      </c>
      <c r="X13">
        <f t="shared" si="6"/>
        <v>0</v>
      </c>
      <c r="Y13">
        <f t="shared" si="9"/>
        <v>0</v>
      </c>
      <c r="Z13">
        <f t="shared" si="7"/>
        <v>0</v>
      </c>
      <c r="AA13">
        <f t="shared" si="8"/>
        <v>0</v>
      </c>
      <c r="AB13">
        <f t="shared" si="8"/>
        <v>0</v>
      </c>
    </row>
    <row r="14" spans="2:28" ht="14.4" customHeight="1" x14ac:dyDescent="0.3">
      <c r="B14" s="52">
        <v>5</v>
      </c>
      <c r="C14" s="53" t="s">
        <v>50</v>
      </c>
      <c r="D14" s="51" t="s">
        <v>19</v>
      </c>
      <c r="E14" s="52">
        <v>3</v>
      </c>
      <c r="F14" s="51" t="s">
        <v>42</v>
      </c>
      <c r="G14" s="51" t="s">
        <v>42</v>
      </c>
      <c r="H14" s="26"/>
      <c r="I14" s="26"/>
      <c r="J14" s="26"/>
      <c r="K14" s="26"/>
      <c r="L14" s="26"/>
      <c r="M14" s="26"/>
      <c r="N14" s="26"/>
      <c r="O14" s="26"/>
      <c r="P14" s="26"/>
      <c r="Q14" s="47"/>
      <c r="R14" s="2">
        <f t="shared" si="0"/>
        <v>6.3829787234042548E-2</v>
      </c>
      <c r="S14">
        <f t="shared" si="1"/>
        <v>5</v>
      </c>
      <c r="T14">
        <f t="shared" si="2"/>
        <v>5</v>
      </c>
      <c r="U14">
        <f t="shared" si="3"/>
        <v>0</v>
      </c>
      <c r="V14">
        <f t="shared" si="4"/>
        <v>0</v>
      </c>
      <c r="W14">
        <f t="shared" si="5"/>
        <v>0</v>
      </c>
      <c r="X14">
        <f t="shared" si="6"/>
        <v>0</v>
      </c>
      <c r="Y14">
        <f t="shared" si="9"/>
        <v>0</v>
      </c>
      <c r="Z14">
        <f t="shared" si="7"/>
        <v>0</v>
      </c>
      <c r="AA14">
        <f t="shared" si="8"/>
        <v>0</v>
      </c>
      <c r="AB14">
        <f t="shared" si="8"/>
        <v>0</v>
      </c>
    </row>
    <row r="15" spans="2:28" ht="14.4" customHeight="1" x14ac:dyDescent="0.3">
      <c r="B15" s="52">
        <v>6</v>
      </c>
      <c r="C15" s="54" t="s">
        <v>51</v>
      </c>
      <c r="D15" s="51" t="s">
        <v>19</v>
      </c>
      <c r="E15" s="52">
        <v>3</v>
      </c>
      <c r="F15" s="51" t="s">
        <v>43</v>
      </c>
      <c r="G15" s="51" t="s">
        <v>64</v>
      </c>
      <c r="H15" s="26"/>
      <c r="I15" s="26"/>
      <c r="J15" s="26"/>
      <c r="K15" s="26"/>
      <c r="L15" s="26"/>
      <c r="M15" s="26"/>
      <c r="N15" s="26"/>
      <c r="O15" s="26"/>
      <c r="P15" s="26"/>
      <c r="Q15" s="47"/>
      <c r="R15" s="2">
        <f t="shared" ref="R15" si="10">E15/$R$9</f>
        <v>6.3829787234042548E-2</v>
      </c>
      <c r="S15">
        <f t="shared" ref="S15" si="11">IF(F15="Atende",5,IF(F15="Atende Parcialmente",3,0))</f>
        <v>0</v>
      </c>
      <c r="T15">
        <f t="shared" ref="T15" si="12">IF(G15="Atende",5,IF(G15="Atende Parcialmente",3,0))</f>
        <v>3</v>
      </c>
      <c r="U15">
        <f t="shared" ref="U15" si="13">IF(H15="Atende",5,IF(H15="Atende Parcialmente",3,0))</f>
        <v>0</v>
      </c>
      <c r="V15">
        <f t="shared" ref="V15" si="14">IF(I15="Atende",5,IF(I15="Atende Parcialmente",3,0))</f>
        <v>0</v>
      </c>
      <c r="W15">
        <f t="shared" ref="W15" si="15">IF(J15="Atende",5,IF(J15="Atende Parcialmente",3,0))</f>
        <v>0</v>
      </c>
      <c r="X15">
        <f>IF(K15="Atende",5,IF(K15="Atende Parcialmente",3,0))</f>
        <v>0</v>
      </c>
      <c r="Y15">
        <f t="shared" si="9"/>
        <v>0</v>
      </c>
      <c r="Z15">
        <f t="shared" ref="Z15" si="16">IF(M15="Atende",5,IF(M15="Atende Parcialmente",3,0))</f>
        <v>0</v>
      </c>
      <c r="AA15">
        <f t="shared" ref="AA15" si="17">IF(N15="Atende",5,IF(N15="Atende Parcialmente",3,0))</f>
        <v>0</v>
      </c>
      <c r="AB15">
        <f t="shared" ref="AB15" si="18">IF(O15="Atende",5,IF(O15="Atende Parcialmente",3,0))</f>
        <v>0</v>
      </c>
    </row>
    <row r="16" spans="2:28" x14ac:dyDescent="0.3">
      <c r="B16" s="52">
        <v>7</v>
      </c>
      <c r="C16" s="54" t="s">
        <v>52</v>
      </c>
      <c r="D16" s="51" t="s">
        <v>19</v>
      </c>
      <c r="E16" s="52">
        <v>3</v>
      </c>
      <c r="F16" s="51" t="s">
        <v>43</v>
      </c>
      <c r="G16" s="51" t="s">
        <v>43</v>
      </c>
      <c r="H16" s="26"/>
      <c r="I16" s="26"/>
      <c r="J16" s="26"/>
      <c r="K16" s="26"/>
      <c r="L16" s="27"/>
      <c r="M16" s="27"/>
      <c r="N16" s="27"/>
      <c r="O16" s="27"/>
      <c r="P16" s="26"/>
      <c r="R16" s="2">
        <f t="shared" si="0"/>
        <v>6.3829787234042548E-2</v>
      </c>
      <c r="S16">
        <f t="shared" si="1"/>
        <v>0</v>
      </c>
      <c r="T16">
        <f t="shared" si="2"/>
        <v>0</v>
      </c>
      <c r="U16">
        <f t="shared" si="3"/>
        <v>0</v>
      </c>
      <c r="V16">
        <f t="shared" si="4"/>
        <v>0</v>
      </c>
      <c r="W16">
        <f t="shared" si="5"/>
        <v>0</v>
      </c>
      <c r="X16">
        <f t="shared" si="6"/>
        <v>0</v>
      </c>
      <c r="Y16">
        <f t="shared" si="9"/>
        <v>0</v>
      </c>
      <c r="Z16">
        <f t="shared" si="7"/>
        <v>0</v>
      </c>
      <c r="AA16">
        <f>IF(N16="Atende",5,IF(N16="Atende Parcialmente",3,0))</f>
        <v>0</v>
      </c>
      <c r="AB16">
        <f>IF(O16="Atende",5,IF(O16="Atende Parcialmente",3,0))</f>
        <v>0</v>
      </c>
    </row>
    <row r="17" spans="2:28" x14ac:dyDescent="0.3">
      <c r="B17" s="52">
        <v>8</v>
      </c>
      <c r="C17" s="54" t="s">
        <v>53</v>
      </c>
      <c r="D17" s="51" t="s">
        <v>19</v>
      </c>
      <c r="E17" s="52">
        <v>2</v>
      </c>
      <c r="F17" s="51" t="s">
        <v>64</v>
      </c>
      <c r="G17" s="51" t="s">
        <v>64</v>
      </c>
      <c r="H17" s="26"/>
      <c r="I17" s="26"/>
      <c r="J17" s="26"/>
      <c r="K17" s="27"/>
      <c r="L17" s="27"/>
      <c r="M17" s="27"/>
      <c r="N17" s="27"/>
      <c r="O17" s="27"/>
      <c r="P17" s="27"/>
      <c r="R17" s="2">
        <f t="shared" ref="R17:R25" si="19">E17/$R$9</f>
        <v>4.2553191489361701E-2</v>
      </c>
      <c r="S17">
        <f t="shared" ref="S17:S25" si="20">IF(F17="Atende",5,IF(F17="Atende Parcialmente",3,0))</f>
        <v>3</v>
      </c>
      <c r="T17">
        <f t="shared" ref="T17:T25" si="21">IF(G17="Atende",5,IF(G17="Atende Parcialmente",3,0))</f>
        <v>3</v>
      </c>
      <c r="U17">
        <f t="shared" ref="U17:U25" si="22">IF(H17="Atende",5,IF(H17="Atende Parcialmente",3,0))</f>
        <v>0</v>
      </c>
      <c r="V17">
        <f t="shared" ref="V17:V25" si="23">IF(I17="Atende",5,IF(I17="Atende Parcialmente",3,0))</f>
        <v>0</v>
      </c>
      <c r="W17">
        <f t="shared" ref="W17:W25" si="24">IF(J17="Atende",5,IF(J17="Atende Parcialmente",3,0))</f>
        <v>0</v>
      </c>
      <c r="X17">
        <f>IF(K17="Atende",5,IF(K17="Atende Parcialmente",3,0))</f>
        <v>0</v>
      </c>
      <c r="Y17">
        <f>IF(P17="Atende",5,IF(P17="Atende Parcialmente",3,0))</f>
        <v>0</v>
      </c>
      <c r="Z17">
        <f t="shared" ref="Z17:Z25" si="25">IF(M17="Atende",5,IF(M17="Atende Parcialmente",3,0))</f>
        <v>0</v>
      </c>
      <c r="AA17">
        <f>IF(N17="Atende",5,IF(N17="Atende Parcialmente",3,0))</f>
        <v>0</v>
      </c>
      <c r="AB17">
        <f>IF(O17="Atende",5,IF(O17="Atende Parcialmente",3,0))</f>
        <v>0</v>
      </c>
    </row>
    <row r="18" spans="2:28" ht="14.4" customHeight="1" x14ac:dyDescent="0.3">
      <c r="B18" s="52">
        <v>9</v>
      </c>
      <c r="C18" s="54" t="s">
        <v>54</v>
      </c>
      <c r="D18" s="51" t="s">
        <v>19</v>
      </c>
      <c r="E18" s="52">
        <v>2</v>
      </c>
      <c r="F18" s="51" t="s">
        <v>43</v>
      </c>
      <c r="G18" s="51" t="s">
        <v>42</v>
      </c>
      <c r="H18" s="27"/>
      <c r="I18" s="26"/>
      <c r="J18" s="26"/>
      <c r="K18" s="27"/>
      <c r="L18" s="27"/>
      <c r="M18" s="27"/>
      <c r="N18" s="27"/>
      <c r="O18" s="27"/>
      <c r="P18" s="27"/>
      <c r="R18" s="2">
        <f t="shared" si="19"/>
        <v>4.2553191489361701E-2</v>
      </c>
      <c r="S18">
        <f t="shared" si="20"/>
        <v>0</v>
      </c>
      <c r="T18">
        <f t="shared" si="21"/>
        <v>5</v>
      </c>
      <c r="U18">
        <f t="shared" si="22"/>
        <v>0</v>
      </c>
      <c r="V18">
        <f t="shared" si="23"/>
        <v>0</v>
      </c>
      <c r="W18">
        <f t="shared" si="24"/>
        <v>0</v>
      </c>
      <c r="X18">
        <f t="shared" ref="X18:X20" si="26">IF(K18="Atende",5,IF(K18="Atende Parcialmente",3,0))</f>
        <v>0</v>
      </c>
      <c r="Y18">
        <f>IF(P18="Atende",5,IF(P18="Atende Parcialmente",3,0))</f>
        <v>0</v>
      </c>
      <c r="Z18">
        <f t="shared" si="25"/>
        <v>0</v>
      </c>
      <c r="AA18">
        <f t="shared" ref="AA18:AA19" si="27">IF(N18="Atende",5,IF(N18="Atende Parcialmente",3,0))</f>
        <v>0</v>
      </c>
      <c r="AB18">
        <f t="shared" ref="AB18:AB19" si="28">IF(O18="Atende",5,IF(O18="Atende Parcialmente",3,0))</f>
        <v>0</v>
      </c>
    </row>
    <row r="19" spans="2:28" ht="14.4" customHeight="1" x14ac:dyDescent="0.3">
      <c r="B19" s="52">
        <v>10</v>
      </c>
      <c r="C19" s="54" t="s">
        <v>55</v>
      </c>
      <c r="D19" s="51" t="s">
        <v>19</v>
      </c>
      <c r="E19" s="52">
        <v>3</v>
      </c>
      <c r="F19" s="51" t="s">
        <v>42</v>
      </c>
      <c r="G19" s="51" t="s">
        <v>42</v>
      </c>
      <c r="H19" s="27"/>
      <c r="I19" s="26"/>
      <c r="J19" s="26"/>
      <c r="K19" s="27"/>
      <c r="L19" s="27"/>
      <c r="M19" s="27"/>
      <c r="N19" s="27"/>
      <c r="O19" s="27"/>
      <c r="P19" s="27"/>
      <c r="R19" s="2">
        <f t="shared" si="19"/>
        <v>6.3829787234042548E-2</v>
      </c>
      <c r="S19">
        <f t="shared" si="20"/>
        <v>5</v>
      </c>
      <c r="T19">
        <f t="shared" si="21"/>
        <v>5</v>
      </c>
      <c r="U19">
        <f t="shared" si="22"/>
        <v>0</v>
      </c>
      <c r="V19">
        <f t="shared" si="23"/>
        <v>0</v>
      </c>
      <c r="W19">
        <f t="shared" si="24"/>
        <v>0</v>
      </c>
      <c r="X19">
        <f t="shared" si="26"/>
        <v>0</v>
      </c>
      <c r="Y19">
        <f t="shared" ref="Y19:Y20" si="29">IF(P19="Atende",5,IF(P19="Atende Parcialmente",3,0))</f>
        <v>0</v>
      </c>
      <c r="Z19">
        <f t="shared" si="25"/>
        <v>0</v>
      </c>
      <c r="AA19">
        <f t="shared" si="27"/>
        <v>0</v>
      </c>
      <c r="AB19">
        <f t="shared" si="28"/>
        <v>0</v>
      </c>
    </row>
    <row r="20" spans="2:28" ht="14.4" customHeight="1" x14ac:dyDescent="0.3">
      <c r="B20" s="52">
        <v>11</v>
      </c>
      <c r="C20" s="54" t="s">
        <v>56</v>
      </c>
      <c r="D20" s="51" t="s">
        <v>19</v>
      </c>
      <c r="E20" s="52">
        <v>3</v>
      </c>
      <c r="F20" s="51" t="s">
        <v>42</v>
      </c>
      <c r="G20" s="51" t="s">
        <v>42</v>
      </c>
      <c r="H20" s="27"/>
      <c r="I20" s="26"/>
      <c r="J20" s="26"/>
      <c r="K20" s="27"/>
      <c r="L20" s="27"/>
      <c r="M20" s="27"/>
      <c r="N20" s="27"/>
      <c r="O20" s="27"/>
      <c r="P20" s="27"/>
      <c r="R20" s="2">
        <f t="shared" si="19"/>
        <v>6.3829787234042548E-2</v>
      </c>
      <c r="S20">
        <f t="shared" si="20"/>
        <v>5</v>
      </c>
      <c r="T20">
        <f t="shared" si="21"/>
        <v>5</v>
      </c>
      <c r="U20">
        <f t="shared" si="22"/>
        <v>0</v>
      </c>
      <c r="V20">
        <f t="shared" si="23"/>
        <v>0</v>
      </c>
      <c r="W20">
        <f t="shared" si="24"/>
        <v>0</v>
      </c>
      <c r="X20">
        <f t="shared" si="26"/>
        <v>0</v>
      </c>
      <c r="Y20">
        <f t="shared" si="29"/>
        <v>0</v>
      </c>
      <c r="Z20">
        <f t="shared" si="25"/>
        <v>0</v>
      </c>
      <c r="AA20">
        <f>IF(N20="Atende",5,IF(N20="Atende Parcialmente",3,0))</f>
        <v>0</v>
      </c>
      <c r="AB20">
        <f>IF(O20="Atende",5,IF(O20="Atende Parcialmente",3,0))</f>
        <v>0</v>
      </c>
    </row>
    <row r="21" spans="2:28" x14ac:dyDescent="0.3">
      <c r="B21" s="52">
        <v>12</v>
      </c>
      <c r="C21" s="54" t="s">
        <v>57</v>
      </c>
      <c r="D21" s="51" t="s">
        <v>19</v>
      </c>
      <c r="E21" s="52">
        <v>2</v>
      </c>
      <c r="F21" s="51" t="s">
        <v>43</v>
      </c>
      <c r="G21" s="51" t="s">
        <v>64</v>
      </c>
      <c r="H21" s="26"/>
      <c r="I21" s="26"/>
      <c r="J21" s="26"/>
      <c r="K21" s="27"/>
      <c r="L21" s="27"/>
      <c r="M21" s="27"/>
      <c r="N21" s="27"/>
      <c r="O21" s="27"/>
      <c r="P21" s="27"/>
      <c r="R21" s="2">
        <f t="shared" si="19"/>
        <v>4.2553191489361701E-2</v>
      </c>
      <c r="S21">
        <f t="shared" si="20"/>
        <v>0</v>
      </c>
      <c r="T21">
        <f t="shared" si="21"/>
        <v>3</v>
      </c>
      <c r="U21">
        <f t="shared" si="22"/>
        <v>0</v>
      </c>
      <c r="V21">
        <f t="shared" si="23"/>
        <v>0</v>
      </c>
      <c r="W21">
        <f t="shared" si="24"/>
        <v>0</v>
      </c>
      <c r="X21">
        <f>IF(K21="Atende",5,IF(K21="Atende Parcialmente",3,0))</f>
        <v>0</v>
      </c>
      <c r="Y21">
        <f>IF(P21="Atende",5,IF(P21="Atende Parcialmente",3,0))</f>
        <v>0</v>
      </c>
      <c r="Z21">
        <f t="shared" si="25"/>
        <v>0</v>
      </c>
      <c r="AA21">
        <f>IF(N21="Atende",5,IF(N21="Atende Parcialmente",3,0))</f>
        <v>0</v>
      </c>
      <c r="AB21">
        <f>IF(O21="Atende",5,IF(O21="Atende Parcialmente",3,0))</f>
        <v>0</v>
      </c>
    </row>
    <row r="22" spans="2:28" x14ac:dyDescent="0.3">
      <c r="B22" s="52">
        <v>13</v>
      </c>
      <c r="C22" s="54" t="s">
        <v>58</v>
      </c>
      <c r="D22" s="51" t="s">
        <v>19</v>
      </c>
      <c r="E22" s="52">
        <v>2</v>
      </c>
      <c r="F22" s="51" t="s">
        <v>43</v>
      </c>
      <c r="G22" s="51" t="s">
        <v>42</v>
      </c>
      <c r="H22" s="27"/>
      <c r="I22" s="26"/>
      <c r="J22" s="26"/>
      <c r="K22" s="27"/>
      <c r="L22" s="27"/>
      <c r="M22" s="27"/>
      <c r="N22" s="27"/>
      <c r="O22" s="27"/>
      <c r="P22" s="27"/>
      <c r="R22" s="2">
        <f t="shared" si="19"/>
        <v>4.2553191489361701E-2</v>
      </c>
      <c r="S22">
        <f t="shared" si="20"/>
        <v>0</v>
      </c>
      <c r="T22">
        <f t="shared" si="21"/>
        <v>5</v>
      </c>
      <c r="U22">
        <f t="shared" si="22"/>
        <v>0</v>
      </c>
      <c r="V22">
        <f t="shared" si="23"/>
        <v>0</v>
      </c>
      <c r="W22">
        <f t="shared" si="24"/>
        <v>0</v>
      </c>
      <c r="X22">
        <f t="shared" ref="X22:X25" si="30">IF(K22="Atende",5,IF(K22="Atende Parcialmente",3,0))</f>
        <v>0</v>
      </c>
      <c r="Y22">
        <f>IF(P22="Atende",5,IF(P22="Atende Parcialmente",3,0))</f>
        <v>0</v>
      </c>
      <c r="Z22">
        <f t="shared" si="25"/>
        <v>0</v>
      </c>
      <c r="AA22">
        <f t="shared" ref="AA22:AA23" si="31">IF(N22="Atende",5,IF(N22="Atende Parcialmente",3,0))</f>
        <v>0</v>
      </c>
      <c r="AB22">
        <f t="shared" ref="AB22:AB23" si="32">IF(O22="Atende",5,IF(O22="Atende Parcialmente",3,0))</f>
        <v>0</v>
      </c>
    </row>
    <row r="23" spans="2:28" ht="14.4" customHeight="1" x14ac:dyDescent="0.3">
      <c r="B23" s="52">
        <v>14</v>
      </c>
      <c r="C23" s="54" t="s">
        <v>59</v>
      </c>
      <c r="D23" s="51" t="s">
        <v>19</v>
      </c>
      <c r="E23" s="52">
        <v>3</v>
      </c>
      <c r="F23" s="51" t="s">
        <v>43</v>
      </c>
      <c r="G23" s="51" t="s">
        <v>42</v>
      </c>
      <c r="H23" s="27"/>
      <c r="I23" s="26"/>
      <c r="J23" s="26"/>
      <c r="K23" s="27"/>
      <c r="L23" s="27"/>
      <c r="M23" s="27"/>
      <c r="N23" s="27"/>
      <c r="O23" s="27"/>
      <c r="P23" s="27"/>
      <c r="R23" s="2">
        <f t="shared" si="19"/>
        <v>6.3829787234042548E-2</v>
      </c>
      <c r="S23">
        <f t="shared" si="20"/>
        <v>0</v>
      </c>
      <c r="T23">
        <f t="shared" si="21"/>
        <v>5</v>
      </c>
      <c r="U23">
        <f t="shared" si="22"/>
        <v>0</v>
      </c>
      <c r="V23">
        <f t="shared" si="23"/>
        <v>0</v>
      </c>
      <c r="W23">
        <f t="shared" si="24"/>
        <v>0</v>
      </c>
      <c r="X23">
        <f t="shared" si="30"/>
        <v>0</v>
      </c>
      <c r="Y23">
        <f t="shared" ref="Y23:Y25" si="33">IF(P23="Atende",5,IF(P23="Atende Parcialmente",3,0))</f>
        <v>0</v>
      </c>
      <c r="Z23">
        <f t="shared" si="25"/>
        <v>0</v>
      </c>
      <c r="AA23">
        <f t="shared" si="31"/>
        <v>0</v>
      </c>
      <c r="AB23">
        <f t="shared" si="32"/>
        <v>0</v>
      </c>
    </row>
    <row r="24" spans="2:28" ht="14.4" customHeight="1" x14ac:dyDescent="0.3">
      <c r="B24" s="52">
        <v>15</v>
      </c>
      <c r="C24" s="54" t="s">
        <v>60</v>
      </c>
      <c r="D24" s="51" t="s">
        <v>19</v>
      </c>
      <c r="E24" s="52">
        <v>3</v>
      </c>
      <c r="F24" s="51" t="s">
        <v>43</v>
      </c>
      <c r="G24" s="51" t="s">
        <v>64</v>
      </c>
      <c r="H24" s="27"/>
      <c r="I24" s="26"/>
      <c r="J24" s="26"/>
      <c r="K24" s="27"/>
      <c r="L24" s="27"/>
      <c r="M24" s="27"/>
      <c r="N24" s="27"/>
      <c r="O24" s="27"/>
      <c r="P24" s="27"/>
      <c r="R24" s="2">
        <f t="shared" si="19"/>
        <v>6.3829787234042548E-2</v>
      </c>
      <c r="S24">
        <f t="shared" si="20"/>
        <v>0</v>
      </c>
      <c r="T24">
        <f t="shared" si="21"/>
        <v>3</v>
      </c>
      <c r="U24">
        <f t="shared" si="22"/>
        <v>0</v>
      </c>
      <c r="V24">
        <f t="shared" si="23"/>
        <v>0</v>
      </c>
      <c r="W24">
        <f t="shared" si="24"/>
        <v>0</v>
      </c>
      <c r="X24">
        <f t="shared" si="30"/>
        <v>0</v>
      </c>
      <c r="Y24">
        <f t="shared" si="33"/>
        <v>0</v>
      </c>
      <c r="Z24">
        <f t="shared" si="25"/>
        <v>0</v>
      </c>
      <c r="AA24">
        <f t="shared" ref="AA24:AB26" si="34">IF(N24="Atende",5,IF(N24="Atende Parcialmente",3,0))</f>
        <v>0</v>
      </c>
      <c r="AB24">
        <f t="shared" si="34"/>
        <v>0</v>
      </c>
    </row>
    <row r="25" spans="2:28" ht="14.4" customHeight="1" x14ac:dyDescent="0.3">
      <c r="B25" s="52">
        <v>16</v>
      </c>
      <c r="C25" s="54" t="s">
        <v>61</v>
      </c>
      <c r="D25" s="51" t="s">
        <v>19</v>
      </c>
      <c r="E25" s="52">
        <v>2</v>
      </c>
      <c r="F25" s="51" t="s">
        <v>43</v>
      </c>
      <c r="G25" s="51" t="s">
        <v>42</v>
      </c>
      <c r="H25" s="27"/>
      <c r="I25" s="26"/>
      <c r="J25" s="26"/>
      <c r="K25" s="27"/>
      <c r="L25" s="27"/>
      <c r="M25" s="27"/>
      <c r="N25" s="27"/>
      <c r="O25" s="27"/>
      <c r="P25" s="27"/>
      <c r="R25" s="2">
        <f t="shared" si="19"/>
        <v>4.2553191489361701E-2</v>
      </c>
      <c r="S25">
        <f t="shared" si="20"/>
        <v>0</v>
      </c>
      <c r="T25">
        <f t="shared" si="21"/>
        <v>5</v>
      </c>
      <c r="U25">
        <f t="shared" si="22"/>
        <v>0</v>
      </c>
      <c r="V25">
        <f t="shared" si="23"/>
        <v>0</v>
      </c>
      <c r="W25">
        <f t="shared" si="24"/>
        <v>0</v>
      </c>
      <c r="X25">
        <f t="shared" si="30"/>
        <v>0</v>
      </c>
      <c r="Y25">
        <f t="shared" si="33"/>
        <v>0</v>
      </c>
      <c r="Z25">
        <f t="shared" si="25"/>
        <v>0</v>
      </c>
      <c r="AA25">
        <f t="shared" si="34"/>
        <v>0</v>
      </c>
      <c r="AB25">
        <f t="shared" si="34"/>
        <v>0</v>
      </c>
    </row>
    <row r="26" spans="2:28" x14ac:dyDescent="0.3">
      <c r="B26" s="52">
        <v>17</v>
      </c>
      <c r="C26" s="54" t="s">
        <v>62</v>
      </c>
      <c r="D26" s="51" t="s">
        <v>19</v>
      </c>
      <c r="E26" s="52">
        <v>2</v>
      </c>
      <c r="F26" s="51" t="s">
        <v>64</v>
      </c>
      <c r="G26" s="51" t="s">
        <v>64</v>
      </c>
      <c r="H26" s="27"/>
      <c r="I26" s="26"/>
      <c r="J26" s="26"/>
      <c r="K26" s="27"/>
      <c r="L26" s="27"/>
      <c r="M26" s="27"/>
      <c r="N26" s="27"/>
      <c r="O26" s="27"/>
      <c r="P26" s="27"/>
      <c r="R26" s="2">
        <f t="shared" ref="R26:R27" si="35">E26/$R$9</f>
        <v>4.2553191489361701E-2</v>
      </c>
      <c r="S26">
        <f t="shared" ref="S26:S27" si="36">IF(F26="Atende",5,IF(F26="Atende Parcialmente",3,0))</f>
        <v>3</v>
      </c>
      <c r="T26">
        <f t="shared" ref="T26:T27" si="37">IF(G26="Atende",5,IF(G26="Atende Parcialmente",3,0))</f>
        <v>3</v>
      </c>
      <c r="U26">
        <f t="shared" ref="U26:U27" si="38">IF(H26="Atende",5,IF(H26="Atende Parcialmente",3,0))</f>
        <v>0</v>
      </c>
      <c r="V26">
        <f t="shared" ref="V26:V27" si="39">IF(I26="Atende",5,IF(I26="Atende Parcialmente",3,0))</f>
        <v>0</v>
      </c>
      <c r="W26">
        <f t="shared" ref="W26:W27" si="40">IF(J26="Atende",5,IF(J26="Atende Parcialmente",3,0))</f>
        <v>0</v>
      </c>
      <c r="X26">
        <f>IF(K26="Atende",5,IF(K26="Atende Parcialmente",3,0))</f>
        <v>0</v>
      </c>
      <c r="Y26">
        <f>IF(P26="Atende",5,IF(P26="Atende Parcialmente",3,0))</f>
        <v>0</v>
      </c>
      <c r="Z26">
        <f t="shared" ref="Z26:Z27" si="41">IF(M26="Atende",5,IF(M26="Atende Parcialmente",3,0))</f>
        <v>0</v>
      </c>
      <c r="AA26">
        <f t="shared" si="34"/>
        <v>0</v>
      </c>
      <c r="AB26">
        <f t="shared" si="34"/>
        <v>0</v>
      </c>
    </row>
    <row r="27" spans="2:28" ht="14.4" customHeight="1" x14ac:dyDescent="0.3">
      <c r="B27" s="52">
        <v>18</v>
      </c>
      <c r="C27" s="54" t="s">
        <v>63</v>
      </c>
      <c r="D27" s="51" t="s">
        <v>19</v>
      </c>
      <c r="E27" s="52">
        <v>3</v>
      </c>
      <c r="F27" s="51" t="s">
        <v>64</v>
      </c>
      <c r="G27" s="51" t="s">
        <v>64</v>
      </c>
      <c r="H27" s="27"/>
      <c r="I27" s="26"/>
      <c r="J27" s="26"/>
      <c r="K27" s="27"/>
      <c r="L27" s="27"/>
      <c r="M27" s="27"/>
      <c r="N27" s="27"/>
      <c r="O27" s="27"/>
      <c r="P27" s="27"/>
      <c r="R27" s="2">
        <f t="shared" si="35"/>
        <v>6.3829787234042548E-2</v>
      </c>
      <c r="S27">
        <f t="shared" si="36"/>
        <v>3</v>
      </c>
      <c r="T27">
        <f t="shared" si="37"/>
        <v>3</v>
      </c>
      <c r="U27">
        <f t="shared" si="38"/>
        <v>0</v>
      </c>
      <c r="V27">
        <f t="shared" si="39"/>
        <v>0</v>
      </c>
      <c r="W27">
        <f t="shared" si="40"/>
        <v>0</v>
      </c>
      <c r="X27">
        <f t="shared" ref="X27" si="42">IF(K27="Atende",5,IF(K27="Atende Parcialmente",3,0))</f>
        <v>0</v>
      </c>
      <c r="Y27">
        <f>IF(P27="Atende",5,IF(P27="Atende Parcialmente",3,0))</f>
        <v>0</v>
      </c>
      <c r="Z27">
        <f t="shared" si="41"/>
        <v>0</v>
      </c>
      <c r="AA27">
        <f t="shared" ref="AA27" si="43">IF(N27="Atende",5,IF(N27="Atende Parcialmente",3,0))</f>
        <v>0</v>
      </c>
      <c r="AB27">
        <f t="shared" ref="AB27" si="44">IF(O27="Atende",5,IF(O27="Atende Parcialmente",3,0))</f>
        <v>0</v>
      </c>
    </row>
    <row r="28" spans="2:28" ht="15.75" customHeight="1" x14ac:dyDescent="0.3"/>
    <row r="29" spans="2:28" x14ac:dyDescent="0.3">
      <c r="B29" s="79" t="s">
        <v>20</v>
      </c>
      <c r="C29" s="80"/>
      <c r="D29" s="80"/>
      <c r="E29" s="81"/>
      <c r="F29" s="15">
        <f>IF(F8="","",S29)</f>
        <v>1.808510638297872</v>
      </c>
      <c r="G29" s="15">
        <f>IF(G8="","",T29)</f>
        <v>3.787234042553191</v>
      </c>
      <c r="H29" s="15">
        <f>IF(H8="","",U29)</f>
        <v>0</v>
      </c>
      <c r="I29" s="15">
        <f>IF(I8="","",V29)</f>
        <v>0</v>
      </c>
      <c r="J29" s="15">
        <f>IF(J8="","",W29)</f>
        <v>0</v>
      </c>
      <c r="K29" s="15">
        <f>IF(K8="","",X29)</f>
        <v>0</v>
      </c>
      <c r="L29" s="15">
        <f>IF(L8="","",Y29)</f>
        <v>0</v>
      </c>
      <c r="M29" s="15">
        <f>IF(M8="","",Z29)</f>
        <v>0</v>
      </c>
      <c r="N29" s="15">
        <f>IF(N8="","",AA29)</f>
        <v>0</v>
      </c>
      <c r="O29" s="15">
        <f>IF(O8="","",AB29)</f>
        <v>0</v>
      </c>
      <c r="P29" s="15">
        <f>IF(P8="","",Y29)</f>
        <v>0</v>
      </c>
      <c r="Q29" s="48"/>
      <c r="S29" s="3">
        <f>IF(S28&gt;0,0,SUMPRODUCT($R$10:$R$27,S10:S27))</f>
        <v>1.808510638297872</v>
      </c>
      <c r="T29" s="3">
        <f>IF(T28&gt;0,0,SUMPRODUCT($R$10:$R$27,T10:T27))</f>
        <v>3.787234042553191</v>
      </c>
      <c r="U29" s="3">
        <f>IF(U28&gt;0,0,SUMPRODUCT($R$10:$R$27,U10:U27))</f>
        <v>0</v>
      </c>
      <c r="V29" s="3">
        <f>IF(V28&gt;0,0,SUMPRODUCT($R$10:$R$27,V10:V27))</f>
        <v>0</v>
      </c>
      <c r="W29" s="3">
        <f>IF(W28&gt;0,0,SUMPRODUCT($R$10:$R$27,W10:W27))</f>
        <v>0</v>
      </c>
      <c r="X29" s="3">
        <f>IF(X28&gt;0,0,SUMPRODUCT($R$10:$R$27,X10:X27))</f>
        <v>0</v>
      </c>
      <c r="Y29" s="3">
        <f>IF(Y28&gt;0,0,SUMPRODUCT($R$10:$R$27,Y10:Y27))</f>
        <v>0</v>
      </c>
      <c r="Z29" s="3">
        <f>IF(Z28&gt;0,0,SUMPRODUCT($R$10:$R$27,Z10:Z27))</f>
        <v>0</v>
      </c>
      <c r="AA29" s="3">
        <f>IF(AA28&gt;0,0,SUMPRODUCT($R$10:$R$27,AA10:AA27))</f>
        <v>0</v>
      </c>
      <c r="AB29" s="3">
        <f>IF(AB28&gt;0,0,SUMPRODUCT($R$10:$R$27,AB10:AB27))</f>
        <v>0</v>
      </c>
    </row>
    <row r="30" spans="2:28" x14ac:dyDescent="0.3">
      <c r="B30" s="82"/>
      <c r="C30" s="83"/>
      <c r="D30" s="83"/>
      <c r="E30" s="84"/>
      <c r="F30" s="7" t="str">
        <f>IF(F8="","",IF(F29&gt;=$F$34,"APROVADO","REPROVADO"))</f>
        <v>REPROVADO</v>
      </c>
      <c r="G30" s="7" t="str">
        <f>IF(G8="","",IF(G29&gt;=$F$34,"APROVADO","REPROVADO"))</f>
        <v>APROVADO</v>
      </c>
      <c r="H30" s="7" t="str">
        <f>IF(H8="","",IF(H29&gt;=$F$34,"APROVADO","REPROVADO"))</f>
        <v>REPROVADO</v>
      </c>
      <c r="I30" s="7" t="str">
        <f>IF(I8="","",IF(I29&gt;=$F$34,"APROVADO","REPROVADO"))</f>
        <v>REPROVADO</v>
      </c>
      <c r="J30" s="7" t="str">
        <f>IF(J8="","",IF(J29&gt;=$F$34,"APROVADO","REPROVADO"))</f>
        <v>REPROVADO</v>
      </c>
      <c r="K30" s="7" t="str">
        <f>IF(K8="","",IF(K29&gt;=$F$34,"APROVADO","REPROVADO"))</f>
        <v>REPROVADO</v>
      </c>
      <c r="L30" s="7" t="str">
        <f>IF(L8="","",IF(L29&gt;=$F$34,"APROVADO","REPROVADO"))</f>
        <v>REPROVADO</v>
      </c>
      <c r="M30" s="7" t="str">
        <f>IF(M8="","",IF(M29&gt;=$F$34,"APROVADO","REPROVADO"))</f>
        <v>REPROVADO</v>
      </c>
      <c r="N30" s="7" t="str">
        <f>IF(N8="","",IF(N29&gt;=$F$34,"APROVADO","REPROVADO"))</f>
        <v>REPROVADO</v>
      </c>
      <c r="O30" s="7" t="str">
        <f>IF(O8="","",IF(O29&gt;=$F$34,"APROVADO","REPROVADO"))</f>
        <v>REPROVADO</v>
      </c>
      <c r="P30" s="7" t="str">
        <f>IF(P8="","",IF(P29&gt;=$F$34,"APROVADO","REPROVADO"))</f>
        <v>REPROVADO</v>
      </c>
      <c r="Q30" s="49"/>
    </row>
    <row r="31" spans="2:28" ht="15.6" x14ac:dyDescent="0.3">
      <c r="B31" s="17" t="s">
        <v>21</v>
      </c>
      <c r="F31" s="8"/>
      <c r="G31" s="8"/>
    </row>
    <row r="32" spans="2:28" ht="2.25" customHeight="1" x14ac:dyDescent="0.3"/>
    <row r="33" spans="2:17" x14ac:dyDescent="0.3">
      <c r="B33" s="87" t="s">
        <v>22</v>
      </c>
      <c r="C33" s="88"/>
      <c r="D33" s="37"/>
      <c r="E33"/>
      <c r="F33" s="19" t="s">
        <v>23</v>
      </c>
    </row>
    <row r="34" spans="2:17" ht="14.25" customHeight="1" x14ac:dyDescent="0.3">
      <c r="B34" s="4" t="s">
        <v>24</v>
      </c>
      <c r="C34" s="4" t="s">
        <v>25</v>
      </c>
      <c r="D34" s="1"/>
      <c r="F34" s="28">
        <v>3.7</v>
      </c>
    </row>
    <row r="35" spans="2:17" ht="14.25" customHeight="1" x14ac:dyDescent="0.35">
      <c r="B35" s="4" t="s">
        <v>26</v>
      </c>
      <c r="C35" s="4" t="s">
        <v>27</v>
      </c>
      <c r="D35" s="1"/>
      <c r="E35" s="18"/>
      <c r="F35" s="18"/>
      <c r="G35" s="18"/>
    </row>
    <row r="36" spans="2:17" ht="14.25" customHeight="1" x14ac:dyDescent="0.3">
      <c r="B36" s="4" t="s">
        <v>28</v>
      </c>
      <c r="C36" s="4" t="s">
        <v>29</v>
      </c>
      <c r="D36" s="1"/>
    </row>
    <row r="37" spans="2:17" ht="4.5" customHeight="1" x14ac:dyDescent="0.3"/>
    <row r="38" spans="2:17" x14ac:dyDescent="0.3">
      <c r="E38" s="89" t="s">
        <v>30</v>
      </c>
      <c r="F38" s="90"/>
      <c r="G38" s="91"/>
      <c r="H38" s="87" t="s">
        <v>31</v>
      </c>
      <c r="I38" s="88"/>
      <c r="J38" s="16" t="s">
        <v>32</v>
      </c>
      <c r="L38" s="37"/>
      <c r="M38" s="37"/>
      <c r="N38" s="37"/>
      <c r="O38" s="37"/>
      <c r="P38" s="37"/>
      <c r="Q38" s="50"/>
    </row>
    <row r="39" spans="2:17" ht="3.75" customHeight="1" x14ac:dyDescent="0.3">
      <c r="E39" s="20"/>
      <c r="F39" s="20"/>
      <c r="G39" s="21"/>
      <c r="H39" s="21"/>
      <c r="I39" s="21"/>
      <c r="J39" s="22"/>
      <c r="L39" s="38"/>
      <c r="M39" s="38"/>
      <c r="N39" s="38"/>
      <c r="O39" s="38"/>
      <c r="P39" s="38"/>
      <c r="Q39" s="38"/>
    </row>
    <row r="40" spans="2:17" x14ac:dyDescent="0.3">
      <c r="E40" s="87" t="s">
        <v>33</v>
      </c>
      <c r="F40" s="92"/>
      <c r="G40" s="88"/>
      <c r="H40" s="85" t="s">
        <v>104</v>
      </c>
      <c r="I40" s="86"/>
      <c r="J40" s="24">
        <v>45757</v>
      </c>
      <c r="L40" s="39"/>
      <c r="M40" s="39"/>
      <c r="N40" s="39"/>
      <c r="O40" s="39"/>
      <c r="P40" s="39"/>
      <c r="Q40" s="38"/>
    </row>
    <row r="41" spans="2:17" ht="3.75" customHeight="1" x14ac:dyDescent="0.3">
      <c r="E41" s="20"/>
      <c r="F41" s="20"/>
      <c r="G41" s="21"/>
      <c r="H41" s="21"/>
      <c r="I41" s="21"/>
      <c r="J41" s="22"/>
      <c r="L41" s="38"/>
      <c r="M41" s="38"/>
      <c r="N41" s="38"/>
      <c r="O41" s="38"/>
      <c r="P41" s="38"/>
      <c r="Q41" s="38"/>
    </row>
    <row r="42" spans="2:17" x14ac:dyDescent="0.3">
      <c r="E42" s="87" t="s">
        <v>34</v>
      </c>
      <c r="F42" s="92"/>
      <c r="G42" s="88"/>
      <c r="H42" s="85"/>
      <c r="I42" s="86"/>
      <c r="J42" s="24"/>
      <c r="L42" s="39"/>
      <c r="M42" s="39"/>
      <c r="N42" s="39"/>
      <c r="O42" s="39"/>
      <c r="P42" s="39"/>
      <c r="Q42" s="38"/>
    </row>
    <row r="43" spans="2:17" ht="3" customHeight="1" x14ac:dyDescent="0.3"/>
    <row r="44" spans="2:17" x14ac:dyDescent="0.3">
      <c r="E44" s="87" t="s">
        <v>35</v>
      </c>
      <c r="F44" s="92"/>
      <c r="G44" s="88"/>
      <c r="H44" s="85"/>
      <c r="I44" s="86"/>
      <c r="J44" s="24"/>
      <c r="L44" s="39"/>
      <c r="M44" s="39"/>
      <c r="N44" s="39"/>
      <c r="O44" s="39"/>
      <c r="P44" s="39"/>
      <c r="Q44" s="38"/>
    </row>
  </sheetData>
  <mergeCells count="26">
    <mergeCell ref="H42:I42"/>
    <mergeCell ref="E44:G44"/>
    <mergeCell ref="H44:I44"/>
    <mergeCell ref="E40:G40"/>
    <mergeCell ref="E42:G42"/>
    <mergeCell ref="J8:J9"/>
    <mergeCell ref="B29:E30"/>
    <mergeCell ref="H40:I40"/>
    <mergeCell ref="B33:C33"/>
    <mergeCell ref="F8:F9"/>
    <mergeCell ref="G8:G9"/>
    <mergeCell ref="H8:H9"/>
    <mergeCell ref="I8:I9"/>
    <mergeCell ref="H38:I38"/>
    <mergeCell ref="E38:G38"/>
    <mergeCell ref="B6:E6"/>
    <mergeCell ref="B1:D4"/>
    <mergeCell ref="F6:K6"/>
    <mergeCell ref="B5:K5"/>
    <mergeCell ref="E1:I2"/>
    <mergeCell ref="P8:P9"/>
    <mergeCell ref="K8:K9"/>
    <mergeCell ref="L8:L9"/>
    <mergeCell ref="M8:M9"/>
    <mergeCell ref="N8:N9"/>
    <mergeCell ref="O8:O9"/>
  </mergeCells>
  <conditionalFormatting sqref="F10:Q27">
    <cfRule type="cellIs" dxfId="3" priority="3" operator="equal">
      <formula>"Atende parcialmente"</formula>
    </cfRule>
    <cfRule type="cellIs" dxfId="2" priority="4" operator="equal">
      <formula>"Não Atende"</formula>
    </cfRule>
  </conditionalFormatting>
  <conditionalFormatting sqref="F30:Q30">
    <cfRule type="cellIs" dxfId="1" priority="1" operator="equal">
      <formula>"APROVADO"</formula>
    </cfRule>
    <cfRule type="cellIs" dxfId="0" priority="2" operator="equal">
      <formula>"REPROVADO"</formula>
    </cfRule>
  </conditionalFormatting>
  <dataValidations count="2">
    <dataValidation type="list" allowBlank="1" showInputMessage="1" showErrorMessage="1" sqref="F10:Q27">
      <formula1>"Atende, Atende Parcialmente, Não Atende"</formula1>
    </dataValidation>
    <dataValidation type="list" allowBlank="1" showInputMessage="1" showErrorMessage="1" sqref="E10:E27">
      <formula1>"1,2,3"</formula1>
    </dataValidation>
  </dataValidations>
  <pageMargins left="0.51181102362204722" right="0.51181102362204722" top="0.78740157480314965" bottom="0.78740157480314965" header="0.31496062992125984" footer="0.31496062992125984"/>
  <pageSetup paperSize="9" scale="8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R68"/>
  <sheetViews>
    <sheetView showGridLines="0" zoomScale="85" zoomScaleNormal="85" workbookViewId="0">
      <selection activeCell="E4" sqref="E4"/>
    </sheetView>
  </sheetViews>
  <sheetFormatPr defaultRowHeight="14.4" x14ac:dyDescent="0.3"/>
  <cols>
    <col min="1" max="1" width="3.88671875" customWidth="1"/>
    <col min="2" max="2" width="6.5546875" customWidth="1"/>
    <col min="3" max="3" width="84.6640625" customWidth="1"/>
    <col min="4" max="4" width="15.6640625" customWidth="1"/>
    <col min="18" max="18" width="12.6640625" customWidth="1"/>
  </cols>
  <sheetData>
    <row r="1" spans="2:18" ht="26.4" x14ac:dyDescent="0.3">
      <c r="B1" s="58"/>
      <c r="C1" s="60"/>
      <c r="D1" s="8"/>
      <c r="E1" s="73" t="s">
        <v>0</v>
      </c>
      <c r="F1" s="74"/>
      <c r="G1" s="74"/>
      <c r="H1" s="74"/>
      <c r="I1" s="74"/>
      <c r="J1" s="74"/>
      <c r="K1" s="74"/>
      <c r="L1" s="74"/>
      <c r="M1" s="74"/>
      <c r="N1" s="74"/>
      <c r="O1" s="74"/>
      <c r="P1" s="75"/>
      <c r="Q1" s="9" t="s">
        <v>1</v>
      </c>
      <c r="R1" s="9" t="s">
        <v>2</v>
      </c>
    </row>
    <row r="2" spans="2:18" x14ac:dyDescent="0.3">
      <c r="B2" s="61"/>
      <c r="C2" s="63"/>
      <c r="D2" s="1"/>
      <c r="E2" s="76"/>
      <c r="F2" s="77"/>
      <c r="G2" s="77"/>
      <c r="H2" s="77"/>
      <c r="I2" s="77"/>
      <c r="J2" s="77"/>
      <c r="K2" s="77"/>
      <c r="L2" s="77"/>
      <c r="M2" s="77"/>
      <c r="N2" s="77"/>
      <c r="O2" s="77"/>
      <c r="P2" s="78"/>
      <c r="Q2" s="9" t="s">
        <v>3</v>
      </c>
      <c r="R2" s="29">
        <v>45757</v>
      </c>
    </row>
    <row r="3" spans="2:18" x14ac:dyDescent="0.3">
      <c r="B3" s="61"/>
      <c r="C3" s="63"/>
      <c r="D3" s="1"/>
      <c r="E3" s="10" t="s">
        <v>4</v>
      </c>
      <c r="F3" s="11"/>
      <c r="G3" s="11"/>
      <c r="H3" s="11"/>
      <c r="K3" s="1"/>
      <c r="Q3" s="9" t="s">
        <v>5</v>
      </c>
      <c r="R3" s="9" t="s">
        <v>6</v>
      </c>
    </row>
    <row r="4" spans="2:18" x14ac:dyDescent="0.3">
      <c r="B4" s="64"/>
      <c r="C4" s="66"/>
      <c r="D4" s="5"/>
      <c r="E4" s="12" t="str">
        <f>'Matriz de Avaliação'!E4</f>
        <v>Matriz de Avaliação Técnica e Qualidade</v>
      </c>
      <c r="F4" s="13"/>
      <c r="G4" s="13"/>
      <c r="H4" s="13"/>
      <c r="I4" s="31"/>
      <c r="J4" s="31"/>
      <c r="K4" s="5"/>
      <c r="L4" s="31"/>
      <c r="M4" s="31"/>
      <c r="N4" s="31"/>
      <c r="O4" s="31"/>
      <c r="P4" s="31"/>
      <c r="Q4" s="9" t="s">
        <v>7</v>
      </c>
      <c r="R4" s="30">
        <v>44594</v>
      </c>
    </row>
    <row r="5" spans="2:18" x14ac:dyDescent="0.3">
      <c r="B5" s="99" t="str">
        <f>'Matriz de Avaliação'!B5:J5</f>
        <v xml:space="preserve">Matriz de Avaliação Técnica e Qualidade </v>
      </c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</row>
    <row r="6" spans="2:18" x14ac:dyDescent="0.3">
      <c r="B6" s="57" t="s">
        <v>8</v>
      </c>
      <c r="C6" s="57"/>
      <c r="D6" s="57"/>
      <c r="E6" s="57"/>
      <c r="F6" s="67" t="s">
        <v>9</v>
      </c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</row>
    <row r="7" spans="2:18" x14ac:dyDescent="0.3">
      <c r="B7" s="96" t="str">
        <f>'Matriz de Avaliação'!F8</f>
        <v>NTT DATA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8"/>
    </row>
    <row r="8" spans="2:18" x14ac:dyDescent="0.3">
      <c r="B8" s="23" t="s">
        <v>15</v>
      </c>
      <c r="C8" s="23" t="s">
        <v>16</v>
      </c>
      <c r="D8" s="23" t="s">
        <v>17</v>
      </c>
      <c r="E8" s="96" t="s">
        <v>36</v>
      </c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8"/>
    </row>
    <row r="9" spans="2:18" x14ac:dyDescent="0.3">
      <c r="B9" s="27">
        <v>1</v>
      </c>
      <c r="C9" s="25" t="str">
        <f>'Matriz de Avaliação'!C10</f>
        <v>A proposta contempla licenciamento do NGINX Plus em cluster com validade de 60 meses?</v>
      </c>
      <c r="D9" s="25" t="str">
        <f>'Matriz de Avaliação'!D10</f>
        <v>Área tecnica</v>
      </c>
      <c r="E9" s="101" t="s">
        <v>65</v>
      </c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4"/>
    </row>
    <row r="10" spans="2:18" x14ac:dyDescent="0.3">
      <c r="B10" s="27">
        <v>2</v>
      </c>
      <c r="C10" s="25" t="str">
        <f>'Matriz de Avaliação'!C11</f>
        <v>O fornecedor possui parceria oficial com a F5 e experiência comprovada na oferta de suporte técnico para o NGINX Plus?</v>
      </c>
      <c r="D10" s="25" t="str">
        <f>'Matriz de Avaliação'!D11</f>
        <v>Área tecnica</v>
      </c>
      <c r="E10" s="101" t="s">
        <v>66</v>
      </c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4"/>
    </row>
    <row r="11" spans="2:18" x14ac:dyDescent="0.3">
      <c r="B11" s="27">
        <v>3</v>
      </c>
      <c r="C11" s="25" t="str">
        <f>'Matriz de Avaliação'!C12</f>
        <v>O suporte técnico oferecido é 24x7, com acesso direto ao fabricante e com garantia de atualizações e correções de segurança?</v>
      </c>
      <c r="D11" s="25" t="str">
        <f>'Matriz de Avaliação'!D12</f>
        <v>Área tecnica</v>
      </c>
      <c r="E11" s="101" t="s">
        <v>67</v>
      </c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4"/>
    </row>
    <row r="12" spans="2:18" x14ac:dyDescent="0.3">
      <c r="B12" s="27">
        <v>4</v>
      </c>
      <c r="C12" s="25" t="str">
        <f>'Matriz de Avaliação'!C13</f>
        <v>O suporte técnico será prestado em quais idiomas? Existe opção de atendimento em português?</v>
      </c>
      <c r="D12" s="25" t="str">
        <f>'Matriz de Avaliação'!D13</f>
        <v>Área tecnica</v>
      </c>
      <c r="E12" s="101" t="s">
        <v>68</v>
      </c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4"/>
    </row>
    <row r="13" spans="2:18" x14ac:dyDescent="0.3">
      <c r="B13" s="27">
        <v>5</v>
      </c>
      <c r="C13" s="25" t="str">
        <f>'Matriz de Avaliação'!C14</f>
        <v>O licenciamento contempla a entrega de duas ou mais instâncias em alta disponibilidade (HA)?</v>
      </c>
      <c r="D13" s="25" t="str">
        <f>'Matriz de Avaliação'!D14</f>
        <v>Área tecnica</v>
      </c>
      <c r="E13" s="101" t="s">
        <v>69</v>
      </c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4"/>
    </row>
    <row r="14" spans="2:18" x14ac:dyDescent="0.3">
      <c r="B14" s="27">
        <v>6</v>
      </c>
      <c r="C14" s="25" t="str">
        <f>'Matriz de Avaliação'!C15</f>
        <v>Quais documentos técnicos comprovam a aptidão técnica para prestação dos serviços descritos neste TR?</v>
      </c>
      <c r="D14" s="25" t="str">
        <f>'Matriz de Avaliação'!D15</f>
        <v>Área tecnica</v>
      </c>
      <c r="E14" s="101" t="s">
        <v>70</v>
      </c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4"/>
    </row>
    <row r="15" spans="2:18" x14ac:dyDescent="0.3">
      <c r="B15" s="27">
        <v>7</v>
      </c>
      <c r="C15" s="25" t="str">
        <f>'Matriz de Avaliação'!C16</f>
        <v>A proposta apresenta referências de clientes anteriores com casos semelhantes?</v>
      </c>
      <c r="D15" s="25" t="str">
        <f>'Matriz de Avaliação'!D16</f>
        <v>Área tecnica</v>
      </c>
      <c r="E15" s="101" t="s">
        <v>71</v>
      </c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4"/>
    </row>
    <row r="16" spans="2:18" x14ac:dyDescent="0.3">
      <c r="B16" s="27">
        <v>8</v>
      </c>
      <c r="C16" s="25" t="str">
        <f>'Matriz de Avaliação'!C17</f>
        <v>Haverá alguma limitação quanto ao canal de atendimento com o fabricante (F5)?</v>
      </c>
      <c r="D16" s="25" t="str">
        <f>'Matriz de Avaliação'!D17</f>
        <v>Área tecnica</v>
      </c>
      <c r="E16" s="101" t="s">
        <v>72</v>
      </c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4"/>
    </row>
    <row r="17" spans="2:18" x14ac:dyDescent="0.3">
      <c r="B17" s="27">
        <v>9</v>
      </c>
      <c r="C17" s="25" t="str">
        <f>'Matriz de Avaliação'!C18</f>
        <v>A empresa consegue atender 100% do escopo com equipe própria, ou haverá subcontratação?</v>
      </c>
      <c r="D17" s="25" t="str">
        <f>'Matriz de Avaliação'!D18</f>
        <v>Área tecnica</v>
      </c>
      <c r="E17" s="101" t="s">
        <v>73</v>
      </c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4"/>
    </row>
    <row r="18" spans="2:18" x14ac:dyDescent="0.3">
      <c r="B18" s="27">
        <v>10</v>
      </c>
      <c r="C18" s="25" t="str">
        <f>'Matriz de Avaliação'!C19</f>
        <v>Existe garantia formal de acesso aos patches e atualizações de segurança durante toda a vigência do contrato?</v>
      </c>
      <c r="D18" s="25" t="str">
        <f>'Matriz de Avaliação'!D19</f>
        <v>Área tecnica</v>
      </c>
      <c r="E18" s="101" t="s">
        <v>74</v>
      </c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4"/>
    </row>
    <row r="19" spans="2:18" x14ac:dyDescent="0.3">
      <c r="B19" s="27">
        <v>11</v>
      </c>
      <c r="C19" s="25" t="str">
        <f>'Matriz de Avaliação'!C20</f>
        <v>O contrato proposto está alinhado ao modelo de OPEX com vigência contínua, conforme definido no TR?</v>
      </c>
      <c r="D19" s="25" t="str">
        <f>'Matriz de Avaliação'!D20</f>
        <v>Área tecnica</v>
      </c>
      <c r="E19" s="101" t="s">
        <v>75</v>
      </c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4"/>
    </row>
    <row r="20" spans="2:18" x14ac:dyDescent="0.3">
      <c r="B20" s="27">
        <v>12</v>
      </c>
      <c r="C20" s="25" t="str">
        <f>'Matriz de Avaliação'!C21</f>
        <v>Existe cronograma proposto de ativação e entrega das licenças?</v>
      </c>
      <c r="D20" s="25" t="str">
        <f>'Matriz de Avaliação'!D21</f>
        <v>Área tecnica</v>
      </c>
      <c r="E20" s="101" t="s">
        <v>76</v>
      </c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4"/>
    </row>
    <row r="21" spans="2:18" x14ac:dyDescent="0.3">
      <c r="B21" s="27">
        <v>13</v>
      </c>
      <c r="C21" s="25" t="str">
        <f>'Matriz de Avaliação'!C22</f>
        <v>Há previsão de entrega de documentação técnica ao final da implantação?</v>
      </c>
      <c r="D21" s="25" t="str">
        <f>'Matriz de Avaliação'!D22</f>
        <v>Área tecnica</v>
      </c>
      <c r="E21" s="101" t="s">
        <v>77</v>
      </c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4"/>
    </row>
    <row r="22" spans="2:18" x14ac:dyDescent="0.3">
      <c r="B22" s="27">
        <v>14</v>
      </c>
      <c r="C22" s="25" t="str">
        <f>'Matriz de Avaliação'!C23</f>
        <v>O fornecedor está apto a entregar comprovante de realização de treinamento, se exigido?</v>
      </c>
      <c r="D22" s="25" t="str">
        <f>'Matriz de Avaliação'!D23</f>
        <v>Área tecnica</v>
      </c>
      <c r="E22" s="101" t="s">
        <v>78</v>
      </c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4"/>
    </row>
    <row r="23" spans="2:18" x14ac:dyDescent="0.3">
      <c r="B23" s="27">
        <v>15</v>
      </c>
      <c r="C23" s="25" t="str">
        <f>'Matriz de Avaliação'!C24</f>
        <v>Existe algum SLA formal (mesmo que do fabricante) com prazos definidos para resposta e resolução de chamados críticos?</v>
      </c>
      <c r="D23" s="25" t="str">
        <f>'Matriz de Avaliação'!D24</f>
        <v>Área tecnica</v>
      </c>
      <c r="E23" s="101" t="s">
        <v>79</v>
      </c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4"/>
    </row>
    <row r="24" spans="2:18" x14ac:dyDescent="0.3">
      <c r="B24" s="27">
        <v>16</v>
      </c>
      <c r="C24" s="25" t="str">
        <f>'Matriz de Avaliação'!C25</f>
        <v>Caso o suporte seja prestado via F5, o parceiro tem capacidade de intermediar e acompanhar chamados de forma ativa?</v>
      </c>
      <c r="D24" s="25" t="str">
        <f>'Matriz de Avaliação'!D25</f>
        <v>Área tecnica</v>
      </c>
      <c r="E24" s="101" t="s">
        <v>80</v>
      </c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4"/>
    </row>
    <row r="25" spans="2:18" s="102" customFormat="1" x14ac:dyDescent="0.3">
      <c r="B25" s="27">
        <v>17</v>
      </c>
      <c r="C25" s="25" t="str">
        <f>'Matriz de Avaliação'!C26</f>
        <v>Quais canais de contato técnico estarão disponíveis para a GRU Airport?</v>
      </c>
      <c r="D25" s="25" t="str">
        <f>'Matriz de Avaliação'!D26</f>
        <v>Área tecnica</v>
      </c>
      <c r="E25" s="101" t="s">
        <v>81</v>
      </c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4"/>
    </row>
    <row r="26" spans="2:18" x14ac:dyDescent="0.3">
      <c r="B26" s="27">
        <v>18</v>
      </c>
      <c r="C26" s="25" t="str">
        <f>'Matriz de Avaliação'!C27</f>
        <v>O fornecedor possui capacidade de atuação conforme regras de segurança, mesmo sendo serviço remoto?</v>
      </c>
      <c r="D26" s="25" t="str">
        <f>'Matriz de Avaliação'!D27</f>
        <v>Área tecnica</v>
      </c>
      <c r="E26" s="101" t="s">
        <v>82</v>
      </c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4"/>
    </row>
    <row r="28" spans="2:18" x14ac:dyDescent="0.3">
      <c r="B28" s="96" t="str">
        <f>'Matriz de Avaliação'!G8</f>
        <v>Agility</v>
      </c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8"/>
    </row>
    <row r="29" spans="2:18" x14ac:dyDescent="0.3">
      <c r="B29" s="23" t="s">
        <v>15</v>
      </c>
      <c r="C29" s="23" t="s">
        <v>16</v>
      </c>
      <c r="D29" s="23" t="s">
        <v>17</v>
      </c>
      <c r="E29" s="96" t="s">
        <v>36</v>
      </c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8"/>
    </row>
    <row r="30" spans="2:18" x14ac:dyDescent="0.3">
      <c r="B30" s="27">
        <v>1</v>
      </c>
      <c r="C30" s="25" t="str">
        <f>'Matriz de Avaliação'!C10</f>
        <v>A proposta contempla licenciamento do NGINX Plus em cluster com validade de 60 meses?</v>
      </c>
      <c r="D30" s="25" t="str">
        <f>'Matriz de Avaliação'!D10</f>
        <v>Área tecnica</v>
      </c>
      <c r="E30" s="93" t="s">
        <v>83</v>
      </c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5"/>
    </row>
    <row r="31" spans="2:18" x14ac:dyDescent="0.3">
      <c r="B31" s="27">
        <v>2</v>
      </c>
      <c r="C31" s="25" t="str">
        <f>'Matriz de Avaliação'!C11</f>
        <v>O fornecedor possui parceria oficial com a F5 e experiência comprovada na oferta de suporte técnico para o NGINX Plus?</v>
      </c>
      <c r="D31" s="25" t="str">
        <f>'Matriz de Avaliação'!D11</f>
        <v>Área tecnica</v>
      </c>
      <c r="E31" s="93" t="s">
        <v>84</v>
      </c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5"/>
    </row>
    <row r="32" spans="2:18" x14ac:dyDescent="0.3">
      <c r="B32" s="27">
        <v>3</v>
      </c>
      <c r="C32" s="25" t="str">
        <f>'Matriz de Avaliação'!C12</f>
        <v>O suporte técnico oferecido é 24x7, com acesso direto ao fabricante e com garantia de atualizações e correções de segurança?</v>
      </c>
      <c r="D32" s="25" t="str">
        <f>'Matriz de Avaliação'!D12</f>
        <v>Área tecnica</v>
      </c>
      <c r="E32" s="93" t="s">
        <v>85</v>
      </c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5"/>
    </row>
    <row r="33" spans="2:18" x14ac:dyDescent="0.3">
      <c r="B33" s="27">
        <v>4</v>
      </c>
      <c r="C33" s="25" t="str">
        <f>'Matriz de Avaliação'!C13</f>
        <v>O suporte técnico será prestado em quais idiomas? Existe opção de atendimento em português?</v>
      </c>
      <c r="D33" s="25" t="str">
        <f>'Matriz de Avaliação'!D13</f>
        <v>Área tecnica</v>
      </c>
      <c r="E33" s="93" t="s">
        <v>86</v>
      </c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5"/>
    </row>
    <row r="34" spans="2:18" x14ac:dyDescent="0.3">
      <c r="B34" s="27">
        <v>5</v>
      </c>
      <c r="C34" s="25" t="str">
        <f>'Matriz de Avaliação'!C14</f>
        <v>O licenciamento contempla a entrega de duas ou mais instâncias em alta disponibilidade (HA)?</v>
      </c>
      <c r="D34" s="25" t="str">
        <f>'Matriz de Avaliação'!D14</f>
        <v>Área tecnica</v>
      </c>
      <c r="E34" s="93" t="s">
        <v>87</v>
      </c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5"/>
    </row>
    <row r="35" spans="2:18" x14ac:dyDescent="0.3">
      <c r="B35" s="27">
        <v>6</v>
      </c>
      <c r="C35" s="25" t="str">
        <f>'Matriz de Avaliação'!C15</f>
        <v>Quais documentos técnicos comprovam a aptidão técnica para prestação dos serviços descritos neste TR?</v>
      </c>
      <c r="D35" s="25" t="str">
        <f>'Matriz de Avaliação'!D15</f>
        <v>Área tecnica</v>
      </c>
      <c r="E35" s="93" t="s">
        <v>88</v>
      </c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5"/>
    </row>
    <row r="36" spans="2:18" x14ac:dyDescent="0.3">
      <c r="B36" s="27">
        <v>7</v>
      </c>
      <c r="C36" s="25" t="str">
        <f>'Matriz de Avaliação'!C16</f>
        <v>A proposta apresenta referências de clientes anteriores com casos semelhantes?</v>
      </c>
      <c r="D36" s="25" t="str">
        <f>'Matriz de Avaliação'!D16</f>
        <v>Área tecnica</v>
      </c>
      <c r="E36" s="93" t="s">
        <v>89</v>
      </c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5"/>
    </row>
    <row r="37" spans="2:18" x14ac:dyDescent="0.3">
      <c r="B37" s="27">
        <v>8</v>
      </c>
      <c r="C37" s="25" t="str">
        <f>'Matriz de Avaliação'!C17</f>
        <v>Haverá alguma limitação quanto ao canal de atendimento com o fabricante (F5)?</v>
      </c>
      <c r="D37" s="25" t="str">
        <f>'Matriz de Avaliação'!D17</f>
        <v>Área tecnica</v>
      </c>
      <c r="E37" s="93" t="s">
        <v>90</v>
      </c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5"/>
    </row>
    <row r="38" spans="2:18" x14ac:dyDescent="0.3">
      <c r="B38" s="27">
        <v>9</v>
      </c>
      <c r="C38" s="25" t="str">
        <f>'Matriz de Avaliação'!C18</f>
        <v>A empresa consegue atender 100% do escopo com equipe própria, ou haverá subcontratação?</v>
      </c>
      <c r="D38" s="25" t="str">
        <f>'Matriz de Avaliação'!D18</f>
        <v>Área tecnica</v>
      </c>
      <c r="E38" s="93" t="s">
        <v>91</v>
      </c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5"/>
    </row>
    <row r="39" spans="2:18" x14ac:dyDescent="0.3">
      <c r="B39" s="27">
        <v>10</v>
      </c>
      <c r="C39" s="25" t="str">
        <f>'Matriz de Avaliação'!C19</f>
        <v>Existe garantia formal de acesso aos patches e atualizações de segurança durante toda a vigência do contrato?</v>
      </c>
      <c r="D39" s="25" t="str">
        <f>'Matriz de Avaliação'!D19</f>
        <v>Área tecnica</v>
      </c>
      <c r="E39" s="93" t="s">
        <v>92</v>
      </c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5"/>
    </row>
    <row r="40" spans="2:18" x14ac:dyDescent="0.3">
      <c r="B40" s="27">
        <v>11</v>
      </c>
      <c r="C40" s="25" t="str">
        <f>'Matriz de Avaliação'!C20</f>
        <v>O contrato proposto está alinhado ao modelo de OPEX com vigência contínua, conforme definido no TR?</v>
      </c>
      <c r="D40" s="25" t="str">
        <f>'Matriz de Avaliação'!D20</f>
        <v>Área tecnica</v>
      </c>
      <c r="E40" s="93" t="s">
        <v>93</v>
      </c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5"/>
    </row>
    <row r="41" spans="2:18" x14ac:dyDescent="0.3">
      <c r="B41" s="27">
        <v>12</v>
      </c>
      <c r="C41" s="25" t="str">
        <f>'Matriz de Avaliação'!C21</f>
        <v>Existe cronograma proposto de ativação e entrega das licenças?</v>
      </c>
      <c r="D41" s="25" t="str">
        <f>'Matriz de Avaliação'!D21</f>
        <v>Área tecnica</v>
      </c>
      <c r="E41" s="93" t="s">
        <v>94</v>
      </c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5"/>
    </row>
    <row r="42" spans="2:18" x14ac:dyDescent="0.3">
      <c r="B42" s="27">
        <v>13</v>
      </c>
      <c r="C42" s="25" t="str">
        <f>'Matriz de Avaliação'!C22</f>
        <v>Há previsão de entrega de documentação técnica ao final da implantação?</v>
      </c>
      <c r="D42" s="25" t="str">
        <f>'Matriz de Avaliação'!D22</f>
        <v>Área tecnica</v>
      </c>
      <c r="E42" s="93" t="s">
        <v>95</v>
      </c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5"/>
    </row>
    <row r="43" spans="2:18" x14ac:dyDescent="0.3">
      <c r="B43" s="27">
        <v>14</v>
      </c>
      <c r="C43" s="25" t="str">
        <f>'Matriz de Avaliação'!C23</f>
        <v>O fornecedor está apto a entregar comprovante de realização de treinamento, se exigido?</v>
      </c>
      <c r="D43" s="25" t="str">
        <f>'Matriz de Avaliação'!D23</f>
        <v>Área tecnica</v>
      </c>
      <c r="E43" s="93" t="s">
        <v>96</v>
      </c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5"/>
    </row>
    <row r="44" spans="2:18" x14ac:dyDescent="0.3">
      <c r="B44" s="27">
        <v>15</v>
      </c>
      <c r="C44" s="25" t="str">
        <f>'Matriz de Avaliação'!C24</f>
        <v>Existe algum SLA formal (mesmo que do fabricante) com prazos definidos para resposta e resolução de chamados críticos?</v>
      </c>
      <c r="D44" s="25" t="str">
        <f>'Matriz de Avaliação'!D24</f>
        <v>Área tecnica</v>
      </c>
      <c r="E44" s="93" t="s">
        <v>97</v>
      </c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5"/>
    </row>
    <row r="45" spans="2:18" x14ac:dyDescent="0.3">
      <c r="B45" s="27">
        <v>16</v>
      </c>
      <c r="C45" s="25" t="str">
        <f>'Matriz de Avaliação'!C25</f>
        <v>Caso o suporte seja prestado via F5, o parceiro tem capacidade de intermediar e acompanhar chamados de forma ativa?</v>
      </c>
      <c r="D45" s="25" t="str">
        <f>'Matriz de Avaliação'!D25</f>
        <v>Área tecnica</v>
      </c>
      <c r="E45" s="93" t="s">
        <v>98</v>
      </c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5"/>
    </row>
    <row r="46" spans="2:18" x14ac:dyDescent="0.3">
      <c r="B46" s="27">
        <v>17</v>
      </c>
      <c r="C46" s="25" t="str">
        <f>'Matriz de Avaliação'!C26</f>
        <v>Quais canais de contato técnico estarão disponíveis para a GRU Airport?</v>
      </c>
      <c r="D46" s="25" t="str">
        <f>'Matriz de Avaliação'!D26</f>
        <v>Área tecnica</v>
      </c>
      <c r="E46" s="93" t="s">
        <v>99</v>
      </c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5"/>
    </row>
    <row r="47" spans="2:18" x14ac:dyDescent="0.3">
      <c r="B47" s="27">
        <v>18</v>
      </c>
      <c r="C47" s="25" t="str">
        <f>'Matriz de Avaliação'!C27</f>
        <v>O fornecedor possui capacidade de atuação conforme regras de segurança, mesmo sendo serviço remoto?</v>
      </c>
      <c r="D47" s="25" t="str">
        <f>'Matriz de Avaliação'!D27</f>
        <v>Área tecnica</v>
      </c>
      <c r="E47" s="93" t="s">
        <v>100</v>
      </c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5"/>
    </row>
    <row r="49" spans="2:18" x14ac:dyDescent="0.3">
      <c r="B49" s="105" t="str">
        <f>'Matriz de Avaliação'!H8</f>
        <v>Fornecedor03</v>
      </c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8"/>
    </row>
    <row r="50" spans="2:18" x14ac:dyDescent="0.3">
      <c r="B50" s="23" t="s">
        <v>15</v>
      </c>
      <c r="C50" s="23" t="s">
        <v>16</v>
      </c>
      <c r="D50" s="23" t="s">
        <v>17</v>
      </c>
      <c r="E50" s="96" t="s">
        <v>36</v>
      </c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8"/>
    </row>
    <row r="51" spans="2:18" x14ac:dyDescent="0.3">
      <c r="B51" s="27">
        <v>1</v>
      </c>
      <c r="C51" s="25" t="str">
        <f>'Matriz de Avaliação'!C10</f>
        <v>A proposta contempla licenciamento do NGINX Plus em cluster com validade de 60 meses?</v>
      </c>
      <c r="D51" s="25" t="str">
        <f>'Matriz de Avaliação'!D10</f>
        <v>Área tecnica</v>
      </c>
      <c r="E51" s="93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5"/>
    </row>
    <row r="52" spans="2:18" x14ac:dyDescent="0.3">
      <c r="B52" s="27">
        <v>2</v>
      </c>
      <c r="C52" s="25" t="str">
        <f>'Matriz de Avaliação'!C11</f>
        <v>O fornecedor possui parceria oficial com a F5 e experiência comprovada na oferta de suporte técnico para o NGINX Plus?</v>
      </c>
      <c r="D52" s="25" t="str">
        <f>'Matriz de Avaliação'!D11</f>
        <v>Área tecnica</v>
      </c>
      <c r="E52" s="93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5"/>
    </row>
    <row r="53" spans="2:18" x14ac:dyDescent="0.3">
      <c r="B53" s="27">
        <v>3</v>
      </c>
      <c r="C53" s="25" t="str">
        <f>'Matriz de Avaliação'!C12</f>
        <v>O suporte técnico oferecido é 24x7, com acesso direto ao fabricante e com garantia de atualizações e correções de segurança?</v>
      </c>
      <c r="D53" s="25" t="str">
        <f>'Matriz de Avaliação'!D12</f>
        <v>Área tecnica</v>
      </c>
      <c r="E53" s="93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5"/>
    </row>
    <row r="54" spans="2:18" x14ac:dyDescent="0.3">
      <c r="B54" s="27">
        <v>4</v>
      </c>
      <c r="C54" s="25" t="str">
        <f>'Matriz de Avaliação'!C13</f>
        <v>O suporte técnico será prestado em quais idiomas? Existe opção de atendimento em português?</v>
      </c>
      <c r="D54" s="25" t="str">
        <f>'Matriz de Avaliação'!D13</f>
        <v>Área tecnica</v>
      </c>
      <c r="E54" s="93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5"/>
    </row>
    <row r="55" spans="2:18" x14ac:dyDescent="0.3">
      <c r="B55" s="27">
        <v>5</v>
      </c>
      <c r="C55" s="25" t="str">
        <f>'Matriz de Avaliação'!C14</f>
        <v>O licenciamento contempla a entrega de duas ou mais instâncias em alta disponibilidade (HA)?</v>
      </c>
      <c r="D55" s="25" t="str">
        <f>'Matriz de Avaliação'!D14</f>
        <v>Área tecnica</v>
      </c>
      <c r="E55" s="93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5"/>
    </row>
    <row r="56" spans="2:18" x14ac:dyDescent="0.3">
      <c r="B56" s="27">
        <v>6</v>
      </c>
      <c r="C56" s="25" t="str">
        <f>'Matriz de Avaliação'!C15</f>
        <v>Quais documentos técnicos comprovam a aptidão técnica para prestação dos serviços descritos neste TR?</v>
      </c>
      <c r="D56" s="25" t="str">
        <f>'Matriz de Avaliação'!D15</f>
        <v>Área tecnica</v>
      </c>
      <c r="E56" s="93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5"/>
    </row>
    <row r="57" spans="2:18" x14ac:dyDescent="0.3">
      <c r="B57" s="27">
        <v>7</v>
      </c>
      <c r="C57" s="25" t="str">
        <f>'Matriz de Avaliação'!C16</f>
        <v>A proposta apresenta referências de clientes anteriores com casos semelhantes?</v>
      </c>
      <c r="D57" s="25" t="str">
        <f>'Matriz de Avaliação'!D16</f>
        <v>Área tecnica</v>
      </c>
      <c r="E57" s="93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5"/>
    </row>
    <row r="58" spans="2:18" x14ac:dyDescent="0.3">
      <c r="B58" s="27">
        <v>8</v>
      </c>
      <c r="C58" s="25" t="str">
        <f>'Matriz de Avaliação'!C17</f>
        <v>Haverá alguma limitação quanto ao canal de atendimento com o fabricante (F5)?</v>
      </c>
      <c r="D58" s="25" t="str">
        <f>'Matriz de Avaliação'!D17</f>
        <v>Área tecnica</v>
      </c>
      <c r="E58" s="93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5"/>
    </row>
    <row r="59" spans="2:18" x14ac:dyDescent="0.3">
      <c r="B59" s="27">
        <v>9</v>
      </c>
      <c r="C59" s="25" t="str">
        <f>'Matriz de Avaliação'!C18</f>
        <v>A empresa consegue atender 100% do escopo com equipe própria, ou haverá subcontratação?</v>
      </c>
      <c r="D59" s="25" t="str">
        <f>'Matriz de Avaliação'!D18</f>
        <v>Área tecnica</v>
      </c>
      <c r="E59" s="93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5"/>
    </row>
    <row r="60" spans="2:18" x14ac:dyDescent="0.3">
      <c r="B60" s="27">
        <v>10</v>
      </c>
      <c r="C60" s="25" t="str">
        <f>'Matriz de Avaliação'!C19</f>
        <v>Existe garantia formal de acesso aos patches e atualizações de segurança durante toda a vigência do contrato?</v>
      </c>
      <c r="D60" s="25" t="str">
        <f>'Matriz de Avaliação'!D19</f>
        <v>Área tecnica</v>
      </c>
      <c r="E60" s="93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5"/>
    </row>
    <row r="61" spans="2:18" x14ac:dyDescent="0.3">
      <c r="B61" s="27">
        <v>11</v>
      </c>
      <c r="C61" s="25" t="str">
        <f>'Matriz de Avaliação'!C20</f>
        <v>O contrato proposto está alinhado ao modelo de OPEX com vigência contínua, conforme definido no TR?</v>
      </c>
      <c r="D61" s="25" t="str">
        <f>'Matriz de Avaliação'!D20</f>
        <v>Área tecnica</v>
      </c>
      <c r="E61" s="93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5"/>
    </row>
    <row r="62" spans="2:18" x14ac:dyDescent="0.3">
      <c r="B62" s="27">
        <v>12</v>
      </c>
      <c r="C62" s="25" t="str">
        <f>'Matriz de Avaliação'!C21</f>
        <v>Existe cronograma proposto de ativação e entrega das licenças?</v>
      </c>
      <c r="D62" s="25" t="str">
        <f>'Matriz de Avaliação'!D21</f>
        <v>Área tecnica</v>
      </c>
      <c r="E62" s="93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5"/>
    </row>
    <row r="63" spans="2:18" x14ac:dyDescent="0.3">
      <c r="B63" s="27">
        <v>13</v>
      </c>
      <c r="C63" s="25" t="str">
        <f>'Matriz de Avaliação'!C22</f>
        <v>Há previsão de entrega de documentação técnica ao final da implantação?</v>
      </c>
      <c r="D63" s="25" t="str">
        <f>'Matriz de Avaliação'!D22</f>
        <v>Área tecnica</v>
      </c>
      <c r="E63" s="93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5"/>
    </row>
    <row r="64" spans="2:18" x14ac:dyDescent="0.3">
      <c r="B64" s="27">
        <v>14</v>
      </c>
      <c r="C64" s="25" t="str">
        <f>'Matriz de Avaliação'!C23</f>
        <v>O fornecedor está apto a entregar comprovante de realização de treinamento, se exigido?</v>
      </c>
      <c r="D64" s="25" t="str">
        <f>'Matriz de Avaliação'!D23</f>
        <v>Área tecnica</v>
      </c>
      <c r="E64" s="93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5"/>
    </row>
    <row r="65" spans="2:18" x14ac:dyDescent="0.3">
      <c r="B65" s="27">
        <v>15</v>
      </c>
      <c r="C65" s="25" t="str">
        <f>'Matriz de Avaliação'!C24</f>
        <v>Existe algum SLA formal (mesmo que do fabricante) com prazos definidos para resposta e resolução de chamados críticos?</v>
      </c>
      <c r="D65" s="25" t="str">
        <f>'Matriz de Avaliação'!D24</f>
        <v>Área tecnica</v>
      </c>
      <c r="E65" s="93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5"/>
    </row>
    <row r="66" spans="2:18" x14ac:dyDescent="0.3">
      <c r="B66" s="27">
        <v>16</v>
      </c>
      <c r="C66" s="25" t="str">
        <f>'Matriz de Avaliação'!C25</f>
        <v>Caso o suporte seja prestado via F5, o parceiro tem capacidade de intermediar e acompanhar chamados de forma ativa?</v>
      </c>
      <c r="D66" s="25" t="str">
        <f>'Matriz de Avaliação'!D25</f>
        <v>Área tecnica</v>
      </c>
      <c r="E66" s="93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5"/>
    </row>
    <row r="67" spans="2:18" x14ac:dyDescent="0.3">
      <c r="B67" s="27">
        <v>17</v>
      </c>
      <c r="C67" s="25" t="str">
        <f>'Matriz de Avaliação'!C26</f>
        <v>Quais canais de contato técnico estarão disponíveis para a GRU Airport?</v>
      </c>
      <c r="D67" s="25" t="str">
        <f>'Matriz de Avaliação'!D26</f>
        <v>Área tecnica</v>
      </c>
      <c r="E67" s="93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5"/>
    </row>
    <row r="68" spans="2:18" x14ac:dyDescent="0.3">
      <c r="B68" s="27">
        <v>18</v>
      </c>
      <c r="C68" s="25" t="str">
        <f>'Matriz de Avaliação'!C27</f>
        <v>O fornecedor possui capacidade de atuação conforme regras de segurança, mesmo sendo serviço remoto?</v>
      </c>
      <c r="D68" s="25" t="str">
        <f>'Matriz de Avaliação'!D27</f>
        <v>Área tecnica</v>
      </c>
      <c r="E68" s="93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5"/>
    </row>
  </sheetData>
  <mergeCells count="65">
    <mergeCell ref="E58:R58"/>
    <mergeCell ref="E67:R67"/>
    <mergeCell ref="E59:R59"/>
    <mergeCell ref="E60:R60"/>
    <mergeCell ref="E61:R61"/>
    <mergeCell ref="E68:R68"/>
    <mergeCell ref="E55:R55"/>
    <mergeCell ref="E56:R56"/>
    <mergeCell ref="E57:R57"/>
    <mergeCell ref="E62:R62"/>
    <mergeCell ref="E63:R63"/>
    <mergeCell ref="B1:C4"/>
    <mergeCell ref="B6:E6"/>
    <mergeCell ref="B5:R5"/>
    <mergeCell ref="F6:R6"/>
    <mergeCell ref="E1:P2"/>
    <mergeCell ref="E19:R19"/>
    <mergeCell ref="E15:R15"/>
    <mergeCell ref="E16:R16"/>
    <mergeCell ref="E17:R17"/>
    <mergeCell ref="E36:R36"/>
    <mergeCell ref="E37:R37"/>
    <mergeCell ref="E38:R38"/>
    <mergeCell ref="E9:R9"/>
    <mergeCell ref="E8:R8"/>
    <mergeCell ref="B7:R7"/>
    <mergeCell ref="E10:R10"/>
    <mergeCell ref="E11:R11"/>
    <mergeCell ref="E34:R34"/>
    <mergeCell ref="E35:R35"/>
    <mergeCell ref="E39:R39"/>
    <mergeCell ref="E40:R40"/>
    <mergeCell ref="E31:R31"/>
    <mergeCell ref="E32:R32"/>
    <mergeCell ref="E33:R33"/>
    <mergeCell ref="B28:R28"/>
    <mergeCell ref="E29:R29"/>
    <mergeCell ref="E30:R30"/>
    <mergeCell ref="E12:R12"/>
    <mergeCell ref="E13:R13"/>
    <mergeCell ref="E14:R14"/>
    <mergeCell ref="E18:R18"/>
    <mergeCell ref="E20:R20"/>
    <mergeCell ref="E21:R21"/>
    <mergeCell ref="E22:R22"/>
    <mergeCell ref="E23:R23"/>
    <mergeCell ref="E24:R24"/>
    <mergeCell ref="E25:R25"/>
    <mergeCell ref="E26:R26"/>
    <mergeCell ref="E44:R44"/>
    <mergeCell ref="E45:R45"/>
    <mergeCell ref="E46:R46"/>
    <mergeCell ref="E64:R64"/>
    <mergeCell ref="E65:R65"/>
    <mergeCell ref="E66:R66"/>
    <mergeCell ref="E47:R47"/>
    <mergeCell ref="B49:R49"/>
    <mergeCell ref="E50:R50"/>
    <mergeCell ref="E51:R51"/>
    <mergeCell ref="E52:R52"/>
    <mergeCell ref="E53:R53"/>
    <mergeCell ref="E54:R54"/>
    <mergeCell ref="E41:R41"/>
    <mergeCell ref="E42:R42"/>
    <mergeCell ref="E43:R43"/>
  </mergeCells>
  <pageMargins left="0.511811024" right="0.511811024" top="0.78740157499999996" bottom="0.78740157499999996" header="0.31496062000000002" footer="0.31496062000000002"/>
  <pageSetup paperSize="9" scale="45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7DA7F11BFF8348A281123FA759489B" ma:contentTypeVersion="18" ma:contentTypeDescription="Create a new document." ma:contentTypeScope="" ma:versionID="55960894e9b9eca623b501acff1d77a1">
  <xsd:schema xmlns:xsd="http://www.w3.org/2001/XMLSchema" xmlns:xs="http://www.w3.org/2001/XMLSchema" xmlns:p="http://schemas.microsoft.com/office/2006/metadata/properties" xmlns:ns2="7a85f6cd-20e2-4f4b-a58b-48e6cf62fddf" xmlns:ns3="71dd692b-de43-4715-84c1-c9a20cc2277a" targetNamespace="http://schemas.microsoft.com/office/2006/metadata/properties" ma:root="true" ma:fieldsID="352f121306374fb6fb8bd532b32e72a9" ns2:_="" ns3:_="">
    <xsd:import namespace="7a85f6cd-20e2-4f4b-a58b-48e6cf62fddf"/>
    <xsd:import namespace="71dd692b-de43-4715-84c1-c9a20cc227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85f6cd-20e2-4f4b-a58b-48e6cf62fd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09d7919-2225-45b9-be17-ee3f4662be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dd692b-de43-4715-84c1-c9a20cc2277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308206-48b0-4e59-90f9-94ae004952ae}" ma:internalName="TaxCatchAll" ma:showField="CatchAllData" ma:web="71dd692b-de43-4715-84c1-c9a20cc227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dd692b-de43-4715-84c1-c9a20cc2277a" xsi:nil="true"/>
    <lcf76f155ced4ddcb4097134ff3c332f xmlns="7a85f6cd-20e2-4f4b-a58b-48e6cf62fdd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772289-A3B6-49F3-B1D0-3ABA5D97CA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C96FEE-541F-4BA4-B28B-3AB1F12B7B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85f6cd-20e2-4f4b-a58b-48e6cf62fddf"/>
    <ds:schemaRef ds:uri="71dd692b-de43-4715-84c1-c9a20cc227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F1CFA9-E09F-43CC-9CC3-228E94C46128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71dd692b-de43-4715-84c1-c9a20cc2277a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7a85f6cd-20e2-4f4b-a58b-48e6cf62fddf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Matriz de Avaliação</vt:lpstr>
      <vt:lpstr>Justificativas</vt:lpstr>
      <vt:lpstr>Justificativas!Area_de_impressao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De Oliveira Gomes</dc:creator>
  <cp:keywords/>
  <dc:description/>
  <cp:lastModifiedBy>Evandro Pereira Santiago</cp:lastModifiedBy>
  <cp:revision/>
  <dcterms:created xsi:type="dcterms:W3CDTF">2022-05-19T12:34:26Z</dcterms:created>
  <dcterms:modified xsi:type="dcterms:W3CDTF">2025-04-10T17:31:28Z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0x0101006E7DA7F11BFF8348A281123FA759489B</vt:lpwstr>
  </property>
  <property fmtid="{D5CDD505-2E9C-101B-9397-08002B2CF9AE}" pid="3" name="MediaServiceImageTags">
    <vt:lpwstr/>
  </property>
</Properties>
</file>